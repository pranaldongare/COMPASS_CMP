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ummary" sheetId="2" state="visible" r:id="rId2"/>
    <sheet name="Test Cases" sheetId="3" state="visible" r:id="rId3"/>
    <sheet name="Test Steps" sheetId="4" state="visible" r:id="rId4"/>
    <sheet name="Defect Log" sheetId="5" state="visible" r:id="rId5"/>
    <sheet name="Accounts" sheetId="6" state="visible" r:id="rId6"/>
  </sheets>
  <definedNames>
    <definedName name="_xlnm._FilterDatabase" localSheetId="2" hidden="1">'Test Cases'!$A$1:$R$131</definedName>
    <definedName name="_xlnm._FilterDatabase" localSheetId="3" hidden="1">'Test Steps'!$A$1:$G$1013</definedName>
  </definedNames>
  <calcPr calcId="124519" fullCalcOnLoad="1"/>
</workbook>
</file>

<file path=xl/styles.xml><?xml version="1.0" encoding="utf-8"?>
<styleSheet xmlns="http://schemas.openxmlformats.org/spreadsheetml/2006/main">
  <numFmts count="1">
    <numFmt numFmtId="164" formatCode="DD-MMM-YYYY"/>
  </numFmts>
  <fonts count="10">
    <font>
      <name val="Calibri"/>
      <family val="2"/>
      <color theme="1"/>
      <sz val="11"/>
      <scheme val="minor"/>
    </font>
    <font>
      <name val="Arial"/>
      <b val="1"/>
      <color rgb="001F4E79"/>
      <sz val="16"/>
    </font>
    <font>
      <name val="Arial"/>
      <b val="1"/>
      <color rgb="00000000"/>
      <sz val="10"/>
    </font>
    <font>
      <name val="Arial"/>
      <sz val="10"/>
    </font>
    <font>
      <name val="Arial"/>
      <b val="1"/>
      <sz val="10"/>
    </font>
    <font>
      <name val="Arial"/>
      <i val="1"/>
      <sz val="10"/>
    </font>
    <font>
      <name val="Arial"/>
      <b val="1"/>
      <color rgb="00FFFFFF"/>
      <sz val="10"/>
    </font>
    <font>
      <name val="Arial"/>
      <b val="1"/>
      <color rgb="001F4E79"/>
      <sz val="14"/>
    </font>
    <font>
      <name val="Arial"/>
      <i val="1"/>
      <sz val="9"/>
    </font>
    <font>
      <name val="Arial"/>
      <b val="1"/>
      <color rgb="001F4E79"/>
      <sz val="12"/>
    </font>
  </fonts>
  <fills count="5">
    <fill>
      <patternFill/>
    </fill>
    <fill>
      <patternFill patternType="gray125"/>
    </fill>
    <fill>
      <patternFill patternType="solid">
        <fgColor rgb="00FFF2CC"/>
      </patternFill>
    </fill>
    <fill>
      <patternFill patternType="solid">
        <fgColor rgb="001F4E79"/>
      </patternFill>
    </fill>
    <fill>
      <patternFill patternType="solid">
        <fgColor rgb="00F3F4F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3" fillId="2" borderId="0" pivotButton="0" quotePrefix="0" xfId="0"/>
    <xf numFmtId="0" fontId="7" fillId="0" borderId="0" pivotButton="0" quotePrefix="0" xfId="0"/>
    <xf numFmtId="0" fontId="8" fillId="0" borderId="0" pivotButton="0" quotePrefix="0" xfId="0"/>
    <xf numFmtId="0" fontId="6" fillId="3" borderId="1" applyAlignment="1" pivotButton="0" quotePrefix="0" xfId="0">
      <alignment vertical="center" wrapText="1"/>
    </xf>
    <xf numFmtId="0" fontId="4" fillId="0" borderId="1" applyAlignment="1" pivotButton="0" quotePrefix="0" xfId="0">
      <alignment vertical="top" wrapText="1"/>
    </xf>
    <xf numFmtId="0" fontId="3" fillId="0" borderId="1" applyAlignment="1" pivotButton="0" quotePrefix="0" xfId="0">
      <alignment vertical="top" wrapText="1"/>
    </xf>
    <xf numFmtId="9" fontId="3" fillId="0" borderId="1" applyAlignment="1" pivotButton="0" quotePrefix="0" xfId="0">
      <alignment vertical="top" wrapText="1"/>
    </xf>
    <xf numFmtId="0" fontId="4" fillId="4" borderId="1" applyAlignment="1" pivotButton="0" quotePrefix="0" xfId="0">
      <alignment vertical="top" wrapText="1"/>
    </xf>
    <xf numFmtId="9" fontId="4" fillId="4" borderId="1" applyAlignment="1" pivotButton="0" quotePrefix="0" xfId="0">
      <alignment vertical="top" wrapText="1"/>
    </xf>
    <xf numFmtId="0" fontId="9" fillId="0" borderId="0" pivotButton="0" quotePrefix="0" xfId="0"/>
    <xf numFmtId="0" fontId="3" fillId="2" borderId="1" applyAlignment="1" pivotButton="0" quotePrefix="0" xfId="0">
      <alignment vertical="top" wrapText="1"/>
    </xf>
    <xf numFmtId="164" fontId="3" fillId="2" borderId="1" applyAlignment="1" pivotButton="0" quotePrefix="0" xfId="0">
      <alignment vertical="top" wrapText="1"/>
    </xf>
    <xf numFmtId="0" fontId="3" fillId="0" borderId="0" pivotButton="0" quotePrefix="0" xfId="0"/>
  </cellXfs>
  <cellStyles count="1">
    <cellStyle name="Normal" xfId="0" builtinId="0" hidden="0"/>
  </cellStyles>
  <dxfs count="3">
    <dxf>
      <fill>
        <patternFill patternType="solid">
          <fgColor rgb="00C6EF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zoomScale="100" workbookViewId="0">
      <selection activeCell="A1" sqref="A1"/>
    </sheetView>
  </sheetViews>
  <sheetFormatPr baseColWidth="8" defaultRowHeight="15"/>
  <cols>
    <col width="26" customWidth="1" min="1" max="1"/>
    <col width="110" customWidth="1" min="2" max="2"/>
  </cols>
  <sheetData>
    <row r="1">
      <c r="A1" s="1" t="inlineStr">
        <is>
          <t>COMPASS CMP - User Acceptance Testing</t>
        </is>
      </c>
    </row>
    <row r="2">
      <c r="A2" s="2" t="inlineStr">
        <is>
          <t>Build under test</t>
        </is>
      </c>
      <c r="B2" s="3" t="inlineStr">
        <is>
          <t>Branch sprint-3/breach-and-correction, commit ebac9f4 - 5 October 2026</t>
        </is>
      </c>
    </row>
    <row r="3">
      <c r="A3" s="2" t="inlineStr">
        <is>
          <t>Read first</t>
        </is>
      </c>
      <c r="B3" s="3" t="inlineStr">
        <is>
          <t>COMPASS-CMP-UAT-Runbook-and-Test-Cases.docx, Part A (the runbook). It explains the system, the accounts, the test outbox for one-time codes, and how to record results.</t>
        </is>
      </c>
    </row>
    <row r="4">
      <c r="A4" s="2" t="inlineStr">
        <is>
          <t>Where to record results</t>
        </is>
      </c>
      <c r="B4" s="3" t="inlineStr">
        <is>
          <t>Test Cases sheet: one row per case - fill in Tester, Date, Status, Actual result / notes, Defect IDs. Test Steps sheet: optional, one row per step, for a failed or complex case. Defect Log: one row per defect.</t>
        </is>
      </c>
    </row>
    <row r="5">
      <c r="A5" s="2" t="inlineStr">
        <is>
          <t>Cells you fill in</t>
        </is>
      </c>
      <c r="B5" s="3" t="inlineStr">
        <is>
          <t>Only the pale yellow cells. Everything else is the test definition - do not edit it; tell the coordinator if a step is wrong.</t>
        </is>
      </c>
    </row>
    <row r="6">
      <c r="A6" s="2" t="inlineStr">
        <is>
          <t>Status values</t>
        </is>
      </c>
      <c r="B6" s="3" t="inlineStr">
        <is>
          <t>Not run (default), Pass, Fail, Blocked - choose from the drop-down. The Summary sheet counts them.</t>
        </is>
      </c>
    </row>
    <row r="7">
      <c r="A7" s="2" t="inlineStr">
        <is>
          <t>Severity values</t>
        </is>
      </c>
      <c r="B7" s="3" t="inlineStr">
        <is>
          <t>Critical, High, Medium, Low - see the runbook, section 7.</t>
        </is>
      </c>
    </row>
    <row r="8">
      <c r="A8" s="2" t="inlineStr">
        <is>
          <t>Staff password</t>
        </is>
      </c>
      <c r="B8" s="3" t="inlineStr">
        <is>
          <t>SeedPassw0rd!2026 for every staff account (see the Accounts sheet).</t>
        </is>
      </c>
    </row>
    <row r="9">
      <c r="A9" s="2" t="inlineStr">
        <is>
          <t>Console / portal</t>
        </is>
      </c>
      <c r="B9" s="3" t="inlineStr">
        <is>
          <t>Staff console http://localhost:3000  -  Data principal portal http://localhost:3001</t>
        </is>
      </c>
    </row>
    <row r="10">
      <c r="A10" s="2" t="inlineStr">
        <is>
          <t>Example of a filled result row</t>
        </is>
      </c>
    </row>
    <row r="11">
      <c r="A11" s="4" t="inlineStr">
        <is>
          <t>Columns</t>
        </is>
      </c>
      <c r="B11" s="5" t="inlineStr">
        <is>
          <t>Tester  |  Date  |  Status  |  Actual result / notes  |  Defect IDs</t>
        </is>
      </c>
    </row>
    <row r="12">
      <c r="A12" s="4" t="inlineStr">
        <is>
          <t>Example values</t>
        </is>
      </c>
      <c r="B12" s="6" t="inlineStr">
        <is>
          <t>Tester 07 (Ravi)  |  25-Sep-2026  |  Fail  |  Step 4: toast read "Saved" instead of "Processor updated". Screenshot DEF-003.png  |  DEF-003</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1"/>
  <sheetViews>
    <sheetView zoomScale="100" workbookViewId="0">
      <selection activeCell="A1" sqref="A1"/>
    </sheetView>
  </sheetViews>
  <sheetFormatPr baseColWidth="8" defaultRowHeight="15"/>
  <cols>
    <col width="30" customWidth="1" min="1" max="1"/>
    <col width="9" customWidth="1" min="2" max="2"/>
    <col width="9" customWidth="1" min="3" max="3"/>
    <col width="9" customWidth="1" min="4" max="4"/>
    <col width="9" customWidth="1" min="5" max="5"/>
    <col width="9" customWidth="1" min="6" max="6"/>
    <col width="11" customWidth="1" min="7" max="7"/>
    <col width="11" customWidth="1" min="8" max="8"/>
  </cols>
  <sheetData>
    <row r="1">
      <c r="A1" s="7" t="inlineStr">
        <is>
          <t>UAT progress</t>
        </is>
      </c>
    </row>
    <row r="2">
      <c r="A2" s="8" t="inlineStr">
        <is>
          <t>Counts come from the Status column of the Test Cases sheet and update as it is filled in.</t>
        </is>
      </c>
    </row>
    <row r="4">
      <c r="A4" s="9" t="inlineStr">
        <is>
          <t>Area</t>
        </is>
      </c>
      <c r="B4" s="9" t="inlineStr">
        <is>
          <t>Cases</t>
        </is>
      </c>
      <c r="C4" s="9" t="inlineStr">
        <is>
          <t>Pass</t>
        </is>
      </c>
      <c r="D4" s="9" t="inlineStr">
        <is>
          <t>Fail</t>
        </is>
      </c>
      <c r="E4" s="9" t="inlineStr">
        <is>
          <t>Blocked</t>
        </is>
      </c>
      <c r="F4" s="9" t="inlineStr">
        <is>
          <t>Not run</t>
        </is>
      </c>
      <c r="G4" s="9" t="inlineStr">
        <is>
          <t>% executed</t>
        </is>
      </c>
      <c r="H4" s="9" t="inlineStr">
        <is>
          <t>% passed</t>
        </is>
      </c>
    </row>
    <row r="5">
      <c r="A5" s="10" t="inlineStr">
        <is>
          <t>Access and accounts</t>
        </is>
      </c>
      <c r="B5" s="11">
        <f>COUNTIFS('Test Cases'!$B$2:$B$131,$A5)</f>
        <v/>
      </c>
      <c r="C5" s="11">
        <f>COUNTIFS('Test Cases'!$B$2:$B$131,$A5,'Test Cases'!$P$2:$P$131,"Pass")</f>
        <v/>
      </c>
      <c r="D5" s="11">
        <f>COUNTIFS('Test Cases'!$B$2:$B$131,$A5,'Test Cases'!$P$2:$P$131,"Fail")</f>
        <v/>
      </c>
      <c r="E5" s="11">
        <f>COUNTIFS('Test Cases'!$B$2:$B$131,$A5,'Test Cases'!$P$2:$P$131,"Blocked")</f>
        <v/>
      </c>
      <c r="F5" s="11">
        <f>COUNTIFS('Test Cases'!$B$2:$B$131,$A5,'Test Cases'!$P$2:$P$131,"Not run")</f>
        <v/>
      </c>
      <c r="G5" s="12">
        <f>IFERROR((C5+D5+E5)/B5,0)</f>
        <v/>
      </c>
      <c r="H5" s="12">
        <f>IFERROR(C5/B5,0)</f>
        <v/>
      </c>
    </row>
    <row r="6">
      <c r="A6" s="10" t="inlineStr">
        <is>
          <t>Registry and administration</t>
        </is>
      </c>
      <c r="B6" s="11">
        <f>COUNTIFS('Test Cases'!$B$2:$B$131,$A6)</f>
        <v/>
      </c>
      <c r="C6" s="11">
        <f>COUNTIFS('Test Cases'!$B$2:$B$131,$A6,'Test Cases'!$P$2:$P$131,"Pass")</f>
        <v/>
      </c>
      <c r="D6" s="11">
        <f>COUNTIFS('Test Cases'!$B$2:$B$131,$A6,'Test Cases'!$P$2:$P$131,"Fail")</f>
        <v/>
      </c>
      <c r="E6" s="11">
        <f>COUNTIFS('Test Cases'!$B$2:$B$131,$A6,'Test Cases'!$P$2:$P$131,"Blocked")</f>
        <v/>
      </c>
      <c r="F6" s="11">
        <f>COUNTIFS('Test Cases'!$B$2:$B$131,$A6,'Test Cases'!$P$2:$P$131,"Not run")</f>
        <v/>
      </c>
      <c r="G6" s="12">
        <f>IFERROR((C6+D6+E6)/B6,0)</f>
        <v/>
      </c>
      <c r="H6" s="12">
        <f>IFERROR(C6/B6,0)</f>
        <v/>
      </c>
    </row>
    <row r="7">
      <c r="A7" s="10" t="inlineStr">
        <is>
          <t>Projects, notices and links</t>
        </is>
      </c>
      <c r="B7" s="11">
        <f>COUNTIFS('Test Cases'!$B$2:$B$131,$A7)</f>
        <v/>
      </c>
      <c r="C7" s="11">
        <f>COUNTIFS('Test Cases'!$B$2:$B$131,$A7,'Test Cases'!$P$2:$P$131,"Pass")</f>
        <v/>
      </c>
      <c r="D7" s="11">
        <f>COUNTIFS('Test Cases'!$B$2:$B$131,$A7,'Test Cases'!$P$2:$P$131,"Fail")</f>
        <v/>
      </c>
      <c r="E7" s="11">
        <f>COUNTIFS('Test Cases'!$B$2:$B$131,$A7,'Test Cases'!$P$2:$P$131,"Blocked")</f>
        <v/>
      </c>
      <c r="F7" s="11">
        <f>COUNTIFS('Test Cases'!$B$2:$B$131,$A7,'Test Cases'!$P$2:$P$131,"Not run")</f>
        <v/>
      </c>
      <c r="G7" s="12">
        <f>IFERROR((C7+D7+E7)/B7,0)</f>
        <v/>
      </c>
      <c r="H7" s="12">
        <f>IFERROR(C7/B7,0)</f>
        <v/>
      </c>
    </row>
    <row r="8">
      <c r="A8" s="10" t="inlineStr">
        <is>
          <t>Consent and data exchange</t>
        </is>
      </c>
      <c r="B8" s="11">
        <f>COUNTIFS('Test Cases'!$B$2:$B$131,$A8)</f>
        <v/>
      </c>
      <c r="C8" s="11">
        <f>COUNTIFS('Test Cases'!$B$2:$B$131,$A8,'Test Cases'!$P$2:$P$131,"Pass")</f>
        <v/>
      </c>
      <c r="D8" s="11">
        <f>COUNTIFS('Test Cases'!$B$2:$B$131,$A8,'Test Cases'!$P$2:$P$131,"Fail")</f>
        <v/>
      </c>
      <c r="E8" s="11">
        <f>COUNTIFS('Test Cases'!$B$2:$B$131,$A8,'Test Cases'!$P$2:$P$131,"Blocked")</f>
        <v/>
      </c>
      <c r="F8" s="11">
        <f>COUNTIFS('Test Cases'!$B$2:$B$131,$A8,'Test Cases'!$P$2:$P$131,"Not run")</f>
        <v/>
      </c>
      <c r="G8" s="12">
        <f>IFERROR((C8+D8+E8)/B8,0)</f>
        <v/>
      </c>
      <c r="H8" s="12">
        <f>IFERROR(C8/B8,0)</f>
        <v/>
      </c>
    </row>
    <row r="9">
      <c r="A9" s="10" t="inlineStr">
        <is>
          <t>Rights requests</t>
        </is>
      </c>
      <c r="B9" s="11">
        <f>COUNTIFS('Test Cases'!$B$2:$B$131,$A9)</f>
        <v/>
      </c>
      <c r="C9" s="11">
        <f>COUNTIFS('Test Cases'!$B$2:$B$131,$A9,'Test Cases'!$P$2:$P$131,"Pass")</f>
        <v/>
      </c>
      <c r="D9" s="11">
        <f>COUNTIFS('Test Cases'!$B$2:$B$131,$A9,'Test Cases'!$P$2:$P$131,"Fail")</f>
        <v/>
      </c>
      <c r="E9" s="11">
        <f>COUNTIFS('Test Cases'!$B$2:$B$131,$A9,'Test Cases'!$P$2:$P$131,"Blocked")</f>
        <v/>
      </c>
      <c r="F9" s="11">
        <f>COUNTIFS('Test Cases'!$B$2:$B$131,$A9,'Test Cases'!$P$2:$P$131,"Not run")</f>
        <v/>
      </c>
      <c r="G9" s="12">
        <f>IFERROR((C9+D9+E9)/B9,0)</f>
        <v/>
      </c>
      <c r="H9" s="12">
        <f>IFERROR(C9/B9,0)</f>
        <v/>
      </c>
    </row>
    <row r="10">
      <c r="A10" s="10" t="inlineStr">
        <is>
          <t>Oversight and audit</t>
        </is>
      </c>
      <c r="B10" s="11">
        <f>COUNTIFS('Test Cases'!$B$2:$B$131,$A10)</f>
        <v/>
      </c>
      <c r="C10" s="11">
        <f>COUNTIFS('Test Cases'!$B$2:$B$131,$A10,'Test Cases'!$P$2:$P$131,"Pass")</f>
        <v/>
      </c>
      <c r="D10" s="11">
        <f>COUNTIFS('Test Cases'!$B$2:$B$131,$A10,'Test Cases'!$P$2:$P$131,"Fail")</f>
        <v/>
      </c>
      <c r="E10" s="11">
        <f>COUNTIFS('Test Cases'!$B$2:$B$131,$A10,'Test Cases'!$P$2:$P$131,"Blocked")</f>
        <v/>
      </c>
      <c r="F10" s="11">
        <f>COUNTIFS('Test Cases'!$B$2:$B$131,$A10,'Test Cases'!$P$2:$P$131,"Not run")</f>
        <v/>
      </c>
      <c r="G10" s="12">
        <f>IFERROR((C10+D10+E10)/B10,0)</f>
        <v/>
      </c>
      <c r="H10" s="12">
        <f>IFERROR(C10/B10,0)</f>
        <v/>
      </c>
    </row>
    <row r="11">
      <c r="A11" s="13" t="inlineStr">
        <is>
          <t>All areas</t>
        </is>
      </c>
      <c r="B11" s="13">
        <f>SUM(B5:B10)</f>
        <v/>
      </c>
      <c r="C11" s="13">
        <f>SUM(C5:C10)</f>
        <v/>
      </c>
      <c r="D11" s="13">
        <f>SUM(D5:D10)</f>
        <v/>
      </c>
      <c r="E11" s="13">
        <f>SUM(E5:E10)</f>
        <v/>
      </c>
      <c r="F11" s="13">
        <f>SUM(F5:F10)</f>
        <v/>
      </c>
      <c r="G11" s="14">
        <f>IFERROR((C11+D11+E11)/B11,0)</f>
        <v/>
      </c>
      <c r="H11" s="14">
        <f>IFERROR(C11/B11,0)</f>
        <v/>
      </c>
    </row>
    <row r="12">
      <c r="A12" s="13" t="inlineStr">
        <is>
          <t>High priority only</t>
        </is>
      </c>
      <c r="B12" s="13">
        <f>COUNTIFS('Test Cases'!$F$2:$F$131,"High")</f>
        <v/>
      </c>
      <c r="C12" s="13">
        <f>COUNTIFS('Test Cases'!$F$2:$F$131,"High",'Test Cases'!$P$2:$P$131,"Pass")</f>
        <v/>
      </c>
      <c r="D12" s="13">
        <f>COUNTIFS('Test Cases'!$F$2:$F$131,"High",'Test Cases'!$P$2:$P$131,"Fail")</f>
        <v/>
      </c>
      <c r="E12" s="13">
        <f>COUNTIFS('Test Cases'!$F$2:$F$131,"High",'Test Cases'!$P$2:$P$131,"Blocked")</f>
        <v/>
      </c>
      <c r="F12" s="13">
        <f>COUNTIFS('Test Cases'!$F$2:$F$131,"High",'Test Cases'!$P$2:$P$131,"Not run")</f>
        <v/>
      </c>
      <c r="G12" s="14">
        <f>IFERROR((C12+D12+E12)/B12,0)</f>
        <v/>
      </c>
      <c r="H12" s="14">
        <f>IFERROR(C12/B12,0)</f>
        <v/>
      </c>
    </row>
    <row r="14">
      <c r="A14" s="15" t="inlineStr">
        <is>
          <t>Open defects by severity</t>
        </is>
      </c>
    </row>
    <row r="15">
      <c r="A15" s="9" t="inlineStr">
        <is>
          <t>Severity</t>
        </is>
      </c>
      <c r="B15" s="9" t="inlineStr">
        <is>
          <t>Open</t>
        </is>
      </c>
      <c r="C15" s="9" t="inlineStr">
        <is>
          <t>All raised</t>
        </is>
      </c>
    </row>
    <row r="16">
      <c r="A16" s="10" t="inlineStr">
        <is>
          <t>Critical</t>
        </is>
      </c>
      <c r="B16" s="11">
        <f>COUNTIFS('Defect Log'!$E$3:$E$201,$A16,'Defect Log'!$L$3:$L$201,"&lt;&gt;Closed",'Defect Log'!$L$3:$L$201,"&lt;&gt;Rejected")</f>
        <v/>
      </c>
      <c r="C16" s="11">
        <f>COUNTIFS('Defect Log'!$E$3:$E$201,$A16)</f>
        <v/>
      </c>
    </row>
    <row r="17">
      <c r="A17" s="10" t="inlineStr">
        <is>
          <t>High</t>
        </is>
      </c>
      <c r="B17" s="11">
        <f>COUNTIFS('Defect Log'!$E$3:$E$201,$A17,'Defect Log'!$L$3:$L$201,"&lt;&gt;Closed",'Defect Log'!$L$3:$L$201,"&lt;&gt;Rejected")</f>
        <v/>
      </c>
      <c r="C17" s="11">
        <f>COUNTIFS('Defect Log'!$E$3:$E$201,$A17)</f>
        <v/>
      </c>
    </row>
    <row r="18">
      <c r="A18" s="10" t="inlineStr">
        <is>
          <t>Medium</t>
        </is>
      </c>
      <c r="B18" s="11">
        <f>COUNTIFS('Defect Log'!$E$3:$E$201,$A18,'Defect Log'!$L$3:$L$201,"&lt;&gt;Closed",'Defect Log'!$L$3:$L$201,"&lt;&gt;Rejected")</f>
        <v/>
      </c>
      <c r="C18" s="11">
        <f>COUNTIFS('Defect Log'!$E$3:$E$201,$A18)</f>
        <v/>
      </c>
    </row>
    <row r="19">
      <c r="A19" s="10" t="inlineStr">
        <is>
          <t>Low</t>
        </is>
      </c>
      <c r="B19" s="11">
        <f>COUNTIFS('Defect Log'!$E$3:$E$201,$A19,'Defect Log'!$L$3:$L$201,"&lt;&gt;Closed",'Defect Log'!$L$3:$L$201,"&lt;&gt;Rejected")</f>
        <v/>
      </c>
      <c r="C19" s="11">
        <f>COUNTIFS('Defect Log'!$E$3:$E$201,$A19)</f>
        <v/>
      </c>
    </row>
    <row r="21">
      <c r="A21" s="8" t="inlineStr">
        <is>
          <t>Row 2 of the Defect Log is the example and is not counted. Acceptance: every High-priority case passes and no Critical or High defect is open.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31"/>
  <sheetViews>
    <sheetView zoomScale="100" workbookViewId="0">
      <pane xSplit="3" ySplit="1" topLeftCell="D2" activePane="bottomRight" state="frozen"/>
      <selection pane="topRight"/>
      <selection pane="bottomLeft"/>
      <selection pane="bottomRight" activeCell="A1" sqref="A1"/>
    </sheetView>
  </sheetViews>
  <sheetFormatPr baseColWidth="8" defaultRowHeight="15"/>
  <cols>
    <col width="9" customWidth="1" min="1" max="1"/>
    <col width="18" customWidth="1" min="2" max="2"/>
    <col width="34" customWidth="1" min="3" max="3"/>
    <col width="20" customWidth="1" min="4" max="4"/>
    <col width="20" customWidth="1" min="5" max="5"/>
    <col width="9" customWidth="1" min="6" max="6"/>
    <col width="10" customWidth="1" min="7" max="7"/>
    <col width="8" customWidth="1" min="8" max="8"/>
    <col width="38" customWidth="1" min="9" max="9"/>
    <col width="30" customWidth="1" min="10" max="10"/>
    <col width="60" customWidth="1" min="11" max="11"/>
    <col width="60" customWidth="1" min="12" max="12"/>
    <col width="36" customWidth="1" min="13" max="13"/>
    <col width="14" customWidth="1" min="14" max="14"/>
    <col width="12" customWidth="1" min="15" max="15"/>
    <col width="11" customWidth="1" min="16" max="16"/>
    <col width="38" customWidth="1" min="17" max="17"/>
    <col width="12" customWidth="1" min="18" max="18"/>
  </cols>
  <sheetData>
    <row r="1">
      <c r="A1" s="9" t="inlineStr">
        <is>
          <t>ID</t>
        </is>
      </c>
      <c r="B1" s="9" t="inlineStr">
        <is>
          <t>Area</t>
        </is>
      </c>
      <c r="C1" s="9" t="inlineStr">
        <is>
          <t>Title</t>
        </is>
      </c>
      <c r="D1" s="9" t="inlineStr">
        <is>
          <t>Feature</t>
        </is>
      </c>
      <c r="E1" s="9" t="inlineStr">
        <is>
          <t>Performed by</t>
        </is>
      </c>
      <c r="F1" s="9" t="inlineStr">
        <is>
          <t>Priority</t>
        </is>
      </c>
      <c r="G1" s="9" t="inlineStr">
        <is>
          <t>Type</t>
        </is>
      </c>
      <c r="H1" s="9" t="inlineStr">
        <is>
          <t>Ref</t>
        </is>
      </c>
      <c r="I1" s="9" t="inlineStr">
        <is>
          <t>Preconditions</t>
        </is>
      </c>
      <c r="J1" s="9" t="inlineStr">
        <is>
          <t>Test data</t>
        </is>
      </c>
      <c r="K1" s="9" t="inlineStr">
        <is>
          <t>Steps</t>
        </is>
      </c>
      <c r="L1" s="9" t="inlineStr">
        <is>
          <t>Expected results</t>
        </is>
      </c>
      <c r="M1" s="9" t="inlineStr">
        <is>
          <t>Pass criteria</t>
        </is>
      </c>
      <c r="N1" s="9" t="inlineStr">
        <is>
          <t>Tester</t>
        </is>
      </c>
      <c r="O1" s="9" t="inlineStr">
        <is>
          <t>Date</t>
        </is>
      </c>
      <c r="P1" s="9" t="inlineStr">
        <is>
          <t>Status</t>
        </is>
      </c>
      <c r="Q1" s="9" t="inlineStr">
        <is>
          <t>Actual result / notes</t>
        </is>
      </c>
      <c r="R1" s="9" t="inlineStr">
        <is>
          <t>Defect IDs</t>
        </is>
      </c>
    </row>
    <row r="2">
      <c r="A2" s="10" t="inlineStr">
        <is>
          <t>ACC-01</t>
        </is>
      </c>
      <c r="B2" s="11" t="inlineStr">
        <is>
          <t>Access and accounts</t>
        </is>
      </c>
      <c r="C2" s="11" t="inlineStr">
        <is>
          <t>Sign in to the console with password and email code</t>
        </is>
      </c>
      <c r="D2" s="11" t="inlineStr">
        <is>
          <t>Staff sign-in and second factor</t>
        </is>
      </c>
      <c r="E2" s="11" t="inlineStr">
        <is>
          <t>DPO on console</t>
        </is>
      </c>
      <c r="F2" s="11" t="inlineStr">
        <is>
          <t>High</t>
        </is>
      </c>
      <c r="G2" s="11" t="inlineStr">
        <is>
          <t>Positive</t>
        </is>
      </c>
      <c r="H2" s="11" t="inlineStr">
        <is>
          <t>Core</t>
        </is>
      </c>
      <c r="I2" s="11" t="inlineStr">
        <is>
          <t>- The console is running at http://localhost:3000.
- Use a fresh private/incognito browser window in which nobody is signed in to the console or the portal (both sites share one sign-in on this machine).
- The test coordinator can read the test outbox.</t>
        </is>
      </c>
      <c r="J2" s="11" t="inlineStr">
        <is>
          <t>- Email or username: dpo@cmp.local
- Password: SeedPassw0rd!2026</t>
        </is>
      </c>
      <c r="K2" s="11" t="inlineStr">
        <is>
          <t>1. Open http://localhost:3000 in the browser.
2. Type dpo@cmp.local in 'Email or username' and SeedPassw0rd!2026 in 'Password', then click 'Sign in'.
3. Without typing a code, look at the 'Verify and continue' button. Then type only 3 digits into '6-digit code'.
4. Ask the test coordinator for the code sent to dpo@cmp.local (from the test outbox). Clear the box, type the six-digit code into '6-digit code' and click 'Verify and continue'. Do this within 5 minutes of step 2.
5. Look at the top right of the header.
6. Look at the left-hand sidebar.</t>
        </is>
      </c>
      <c r="L2" s="11" t="inlineStr">
        <is>
          <t>1. You are taken to the page headed 'Sign in' with the text 'Sign in with your password, then the code sent to your email.' It shows the fields 'Email or username' and 'Password', a 'Sign in' button, a 'Forgotten your password?' link and, at the bottom, a 'Go to the consent portal' link.
2. The page changes to 'Verify it is you' with the text 'Your role requires a second factor. We have sent a 6-digit code to your registered email.' There is a '6-digit code' box, a 'Verify and continue' button, a 'Send a new code' link and a 'Start over' link.
3. 'Verify and continue' stays greyed out (disabled) until exactly six digits are entered. Letters typed into the box are ignored.
4. You are signed in and land on the Dashboard. The page heading reads 'Good day, Priya'.
5. The header shows the name 'Priya Menon' with a 'DPO' role badge and the initials 'PM'.
6. The sidebar starts with the group 'Your work' - 'Dashboard', 'Rights requests', 'Breaches', 'My tasks', 'Projects', 'Notices' - followed by the groups Governance, Consent, Registry, Data movement and Oversight. Under Oversight there are 'Audit trail', 'Users', 'Delegations' and 'Message templates'. 'My profile' is not in the sidebar (it is in the account menu under your name at the top right), and notifications open from the bell in the header. A 'Sign out' button is at the bottom of the sidebar.</t>
        </is>
      </c>
      <c r="M2" s="11" t="inlineStr">
        <is>
          <t>The DPO can sign in only after entering both the password and the emailed six-digit code, and then lands on the dashboard greeted by first name with the DPO role shown.</t>
        </is>
      </c>
      <c r="N2" s="16" t="n"/>
      <c r="O2" s="17" t="n"/>
      <c r="P2" s="16" t="inlineStr">
        <is>
          <t>Not run</t>
        </is>
      </c>
      <c r="Q2" s="16" t="n"/>
      <c r="R2" s="16" t="n"/>
    </row>
    <row r="3">
      <c r="A3" s="10" t="inlineStr">
        <is>
          <t>ACC-02</t>
        </is>
      </c>
      <c r="B3" s="11" t="inlineStr">
        <is>
          <t>Access and accounts</t>
        </is>
      </c>
      <c r="C3" s="11" t="inlineStr">
        <is>
          <t>Check each staff role lands on its own dashboard and menu</t>
        </is>
      </c>
      <c r="D3" s="11" t="inlineStr">
        <is>
          <t>Role-based landing page and navigation</t>
        </is>
      </c>
      <c r="E3" s="11" t="inlineStr">
        <is>
          <t>DCO and Administrator on console</t>
        </is>
      </c>
      <c r="F3" s="11" t="inlineStr">
        <is>
          <t>Medium</t>
        </is>
      </c>
      <c r="G3" s="11" t="inlineStr">
        <is>
          <t>Positive</t>
        </is>
      </c>
      <c r="H3" s="11" t="inlineStr">
        <is>
          <t>Core</t>
        </is>
      </c>
      <c r="I3" s="11" t="inlineStr">
        <is>
          <t>- A fresh private/incognito browser window with nobody signed in.
- The test coordinator can read the test outbox.</t>
        </is>
      </c>
      <c r="J3" s="11" t="inlineStr">
        <is>
          <t>- DCO: dco@cmp.local (Arun Shetty)
- Administrator: admin@cmp.local (System Admin)
- Password for both: SeedPassw0rd!2026</t>
        </is>
      </c>
      <c r="K3" s="11" t="inlineStr">
        <is>
          <t>1. Open http://localhost:3000/sign-in. Type dco@cmp.local in 'Email or username' and SeedPassw0rd!2026 in 'Password' and click 'Sign in'.
2. Ask the test coordinator for the code sent to dco@cmp.local (from the test outbox), type it into '6-digit code' and click 'Verify and continue'.
3. Read the sidebar menu from top to bottom.
4. In the address bar, open http://localhost:3000/users.
5. Click 'Sign out' at the bottom of the sidebar.
6. Sign in as admin@cmp.local with SeedPassw0rd!2026, then enter the code the test coordinator gives you for admin@cmp.local (from the test outbox) and click 'Verify and continue'.
7. Read the sidebar menu.
8. Click 'Sign out'.</t>
        </is>
      </c>
      <c r="L3" s="11" t="inlineStr">
        <is>
          <t>1. The 'Verify it is you' page appears: the DCO also needs the second factor.
2. The Dashboard opens with the heading 'Good day, Arun'. The header shows 'Arun Shetty' with the role badge 'Data Collection Owner'.
3. The menu shows exactly: Your work - Dashboard, My projects, Collection sites, Consent links, My tasks, Collections; Consent - Consents; Registry - Data sources; Data movement - Exports, Imports; Oversight - Delegations. There is no 'Approval documents', 'Notices', 'Purposes', 'Audit trail', 'Users' or 'Message templates'.
4. The users register is not shown. The sidebar stays, and the page shows a notice titled 'Not part of your account' reading 'This section belongs to a different role, so there is nothing here for you.' with a 'Back to your dashboard' button.
5. You are returned to the 'Sign in' page.
6. The Dashboard opens with the heading 'Good day, System'. The header shows 'System Admin' with the role badge 'Administrator'.
7. The menu shows: Your work - Dashboard, Users, Grievances about the DPO, Message templates, Processors, Data sources, Audit trail; Oversight - Delegations; You - My tasks. There is no 'Projects', 'Consents' or 'Consent links'. The rights item is labelled 'Grievances about the DPO', not 'Rights requests'.
8. You are returned to the 'Sign in' page.</t>
        </is>
      </c>
      <c r="M3" s="11" t="inlineStr">
        <is>
          <t>Each role sees only the menu items for its role after sign-in, and the header shows the correct name and role badge.</t>
        </is>
      </c>
      <c r="N3" s="16" t="n"/>
      <c r="O3" s="17" t="n"/>
      <c r="P3" s="16" t="inlineStr">
        <is>
          <t>Not run</t>
        </is>
      </c>
      <c r="Q3" s="16" t="n"/>
      <c r="R3" s="16" t="n"/>
    </row>
    <row r="4">
      <c r="A4" s="10" t="inlineStr">
        <is>
          <t>ACC-03</t>
        </is>
      </c>
      <c r="B4" s="11" t="inlineStr">
        <is>
          <t>Access and accounts</t>
        </is>
      </c>
      <c r="C4" s="11" t="inlineStr">
        <is>
          <t>Refuse a wrong password without saying which part was wrong</t>
        </is>
      </c>
      <c r="D4" s="11" t="inlineStr">
        <is>
          <t>Staff sign-in - failed attempts</t>
        </is>
      </c>
      <c r="E4" s="11" t="inlineStr">
        <is>
          <t>Staff user on console</t>
        </is>
      </c>
      <c r="F4" s="11" t="inlineStr">
        <is>
          <t>High</t>
        </is>
      </c>
      <c r="G4" s="11" t="inlineStr">
        <is>
          <t>Negative</t>
        </is>
      </c>
      <c r="H4" s="11" t="inlineStr">
        <is>
          <t>Core</t>
        </is>
      </c>
      <c r="I4" s="11" t="inlineStr">
        <is>
          <t>- A fresh private/incognito browser window with nobody signed in.
- Do not make more than 3 wrong attempts on dpo@cmp.local in this case: 5 wrong attempts in 30 minutes lock the account (see ACC-05).</t>
        </is>
      </c>
      <c r="J4" s="11" t="inlineStr">
        <is>
          <t>- Real account: dpo@cmp.local with wrong password WrongPassword!1
- Account that does not exist: nobody-here@cmp.local with password SeedPassw0rd!2026
- Data principal (has no password): subject@cmp.local with password SeedPassw0rd!2026</t>
        </is>
      </c>
      <c r="K4" s="11" t="inlineStr">
        <is>
          <t>1. Open http://localhost:3000/sign-in and click 'Sign in' without typing anything.
2. Type dpo@cmp.local in 'Email or username' and WrongPassword!1 in 'Password'. Click 'Sign in'.
3. Change 'Email or username' to nobody-here@cmp.local, type SeedPassw0rd!2026 in 'Password' and click 'Sign in'.
4. Change 'Email or username' to subject@cmp.local, type SeedPassw0rd!2026 in 'Password' and click 'Sign in'.
5. Now type dpo@cmp.local with the correct password SeedPassw0rd!2026 and click 'Sign in'.</t>
        </is>
      </c>
      <c r="L4" s="11" t="inlineStr">
        <is>
          <t>1. The form is not sent. Under 'Email or username' the message 'Enter your email address or username' appears, and under 'Password' the message 'Enter your password' appears.
2. You stay on the 'Sign in' page. A red banner above the fields reads 'Those credentials are not valid'. No code page is shown.
3. The same red banner 'Those credentials are not valid' appears. The message does not say that the account does not exist.
4. The same red banner 'Those credentials are not valid' appears. A data principal cannot sign in to the console.
5. The 'Verify it is you' code page appears, showing that the earlier failures did not block a correct sign-in. (You can click 'Start over' to stop here.)</t>
        </is>
      </c>
      <c r="M4" s="11" t="inlineStr">
        <is>
          <t>Every failed sign-in shows the same message 'Those credentials are not valid', whatever the reason, and the correct password still reaches the code step.</t>
        </is>
      </c>
      <c r="N4" s="16" t="n"/>
      <c r="O4" s="17" t="n"/>
      <c r="P4" s="16" t="inlineStr">
        <is>
          <t>Not run</t>
        </is>
      </c>
      <c r="Q4" s="16" t="n"/>
      <c r="R4" s="16" t="n"/>
    </row>
    <row r="5">
      <c r="A5" s="10" t="inlineStr">
        <is>
          <t>ACC-04</t>
        </is>
      </c>
      <c r="B5" s="11" t="inlineStr">
        <is>
          <t>Access and accounts</t>
        </is>
      </c>
      <c r="C5" s="11" t="inlineStr">
        <is>
          <t>Refuse a wrong or replaced sign-in code on the console</t>
        </is>
      </c>
      <c r="D5" s="11" t="inlineStr">
        <is>
          <t>Staff second factor - code step</t>
        </is>
      </c>
      <c r="E5" s="11" t="inlineStr">
        <is>
          <t>DPO on console</t>
        </is>
      </c>
      <c r="F5" s="11" t="inlineStr">
        <is>
          <t>High</t>
        </is>
      </c>
      <c r="G5" s="11" t="inlineStr">
        <is>
          <t>Negative</t>
        </is>
      </c>
      <c r="H5" s="11" t="inlineStr">
        <is>
          <t>Core</t>
        </is>
      </c>
      <c r="I5" s="11" t="inlineStr">
        <is>
          <t>- A fresh private/incognito browser window with nobody signed in.
- The test coordinator can read the test outbox.
- No more than 3 new codes may be requested for one account in 10 minutes.</t>
        </is>
      </c>
      <c r="J5" s="11" t="inlineStr">
        <is>
          <t>- Email or username: dpo@cmp.local
- Password: SeedPassw0rd!2026
- Wrong code: 000000</t>
        </is>
      </c>
      <c r="K5" s="11" t="inlineStr">
        <is>
          <t>1. Open http://localhost:3000/sign-in, sign in with dpo@cmp.local and SeedPassw0rd!2026 and click 'Sign in'.
2. Type 000000 into '6-digit code' and click 'Verify and continue'.
3. Ask the test coordinator for the code sent to dpo@cmp.local (from the test outbox) and write it down as Code A. Do not enter it yet. Click 'Send a new code'.
4. Type Code A into '6-digit code' and click 'Verify and continue'.
5. Click 'Start over'.
6. Sign in again with dpo@cmp.local and SeedPassw0rd!2026, ask the test coordinator for the newest code sent to dpo@cmp.local (from the test outbox), type it and click 'Verify and continue'.</t>
        </is>
      </c>
      <c r="L5" s="11" t="inlineStr">
        <is>
          <t>1. The 'Verify it is you' page appears.
2. You stay on the code page. A red banner reads 'Invalid or expired code'.
3. The link briefly reads 'Sending…', then a blue banner reads 'A new code has been sent. The previous one no longer works.' The code box is emptied.
4. The old code is refused with the red banner 'Invalid or expired code'.
5. You are back on the 'Sign in' page with the password form.
6. The newest code is accepted and the Dashboard opens with 'Good day, Priya'.</t>
        </is>
      </c>
      <c r="M5" s="11" t="inlineStr">
        <is>
          <t>A wrong code and a code replaced by 'Send a new code' are both refused with 'Invalid or expired code', and only the latest code signs the user in.</t>
        </is>
      </c>
      <c r="N5" s="16" t="n"/>
      <c r="O5" s="17" t="n"/>
      <c r="P5" s="16" t="inlineStr">
        <is>
          <t>Not run</t>
        </is>
      </c>
      <c r="Q5" s="16" t="n"/>
      <c r="R5" s="16" t="n"/>
    </row>
    <row r="6">
      <c r="A6" s="10" t="inlineStr">
        <is>
          <t>ACC-05</t>
        </is>
      </c>
      <c r="B6" s="11" t="inlineStr">
        <is>
          <t>Access and accounts</t>
        </is>
      </c>
      <c r="C6" s="11" t="inlineStr">
        <is>
          <t>Lock a staff account after five wrong passwords</t>
        </is>
      </c>
      <c r="D6" s="11" t="inlineStr">
        <is>
          <t>Staff sign-in - account lockout</t>
        </is>
      </c>
      <c r="E6" s="11" t="inlineStr">
        <is>
          <t>R&amp;D User on console</t>
        </is>
      </c>
      <c r="F6" s="11" t="inlineStr">
        <is>
          <t>Medium</t>
        </is>
      </c>
      <c r="G6" s="11" t="inlineStr">
        <is>
          <t>Negative</t>
        </is>
      </c>
      <c r="H6" s="11" t="inlineStr">
        <is>
          <t>Core</t>
        </is>
      </c>
      <c r="I6" s="11" t="inlineStr">
        <is>
          <t>- Agree with the test coordinator before running: this locks rnd@cmp.local for about 30 minutes, so nobody else may need that account during that time.
- A fresh private/incognito browser window with nobody signed in.
- Nobody has signed in to rnd@cmp.local successfully and nobody has failed a sign-in to it in the last 30 minutes.</t>
        </is>
      </c>
      <c r="J6" s="11" t="inlineStr">
        <is>
          <t>- Email or username: rnd@cmp.local (Kavya Rao, R&amp;D User)
- Wrong password: NotThePassword!9
- Correct password: SeedPassw0rd!2026</t>
        </is>
      </c>
      <c r="K6" s="11" t="inlineStr">
        <is>
          <t>1. Open http://localhost:3000/sign-in. Type rnd@cmp.local and NotThePassword!9 and click 'Sign in'.
2. Repeat the same wrong attempt three more times (attempts 2, 3 and 4).
3. Make a fifth attempt with the same wrong password.
4. Now type the correct password SeedPassw0rd!2026 for rnd@cmp.local and click 'Sign in'.
5. Wait until the 30-minute lock has passed (or ask the test coordinator to confirm it has expired), then sign in with rnd@cmp.local and SeedPassw0rd!2026.</t>
        </is>
      </c>
      <c r="L6" s="11" t="inlineStr">
        <is>
          <t>1. Red banner: 'Those credentials are not valid'.
2. Each time the red banner reads 'Those credentials are not valid'.
3. The red banner still reads 'Those credentials are not valid' (the lock is set now, but this answer does not reveal it).
4. Sign-in is refused even with the correct password. The red banner reads 'Too many failed attempts. Try again later. Try again in about 30 minutes.' (the number of minutes may be slightly lower). No code page is shown.
5. The 'Verify it is you' code page appears; the lock has lifted by itself without an administrator.</t>
        </is>
      </c>
      <c r="M6" s="11" t="inlineStr">
        <is>
          <t>After five wrong passwords the account refuses even the correct password with a 'Too many failed attempts' message for about 30 minutes, and then works again on its own.</t>
        </is>
      </c>
      <c r="N6" s="16" t="n"/>
      <c r="O6" s="17" t="n"/>
      <c r="P6" s="16" t="inlineStr">
        <is>
          <t>Not run</t>
        </is>
      </c>
      <c r="Q6" s="16" t="n"/>
      <c r="R6" s="16" t="n"/>
    </row>
    <row r="7">
      <c r="A7" s="10" t="inlineStr">
        <is>
          <t>ACC-06</t>
        </is>
      </c>
      <c r="B7" s="11" t="inlineStr">
        <is>
          <t>Access and accounts</t>
        </is>
      </c>
      <c r="C7" s="11" t="inlineStr">
        <is>
          <t>Sign out of the console and confirm the session has ended</t>
        </is>
      </c>
      <c r="D7" s="11" t="inlineStr">
        <is>
          <t>Staff sign-out</t>
        </is>
      </c>
      <c r="E7" s="11" t="inlineStr">
        <is>
          <t>DCO Admin on console</t>
        </is>
      </c>
      <c r="F7" s="11" t="inlineStr">
        <is>
          <t>High</t>
        </is>
      </c>
      <c r="G7" s="11" t="inlineStr">
        <is>
          <t>Positive</t>
        </is>
      </c>
      <c r="H7" s="11" t="inlineStr">
        <is>
          <t>Core</t>
        </is>
      </c>
      <c r="I7" s="11" t="inlineStr">
        <is>
          <t>- Signed in to the console as dcoadmin@cmp.local (Nikhil Bose) using the password and code, in a private/incognito window.</t>
        </is>
      </c>
      <c r="J7" s="11" t="inlineStr">
        <is>
          <t>- Account: dcoadmin@cmp.local / SeedPassw0rd!2026</t>
        </is>
      </c>
      <c r="K7" s="11" t="inlineStr">
        <is>
          <t>1. Check the header after signing in.
2. Click 'Data sources' in the sidebar.
3. Click 'Sign out' at the bottom of the sidebar.
4. Click the browser's Back button.
5. Type http://localhost:3000/dashboard into the address bar and press Enter.</t>
        </is>
      </c>
      <c r="L7" s="11" t="inlineStr">
        <is>
          <t>1. The Dashboard shows 'Good day, Nikhil' and the header shows 'Nikhil Bose' with the role badge 'DCO Admin'.
2. The Data sources page opens.
3. You are taken to the 'Sign in' page.
4. The Data sources page is not shown again with data; you end up on the 'Sign in' page.
5. You are sent to the 'Sign in' page (the address now contains 'next='), not to the dashboard.</t>
        </is>
      </c>
      <c r="M7" s="11" t="inlineStr">
        <is>
          <t>After 'Sign out' no console page can be reached again by the Back button or a typed address without signing in again.</t>
        </is>
      </c>
      <c r="N7" s="16" t="n"/>
      <c r="O7" s="17" t="n"/>
      <c r="P7" s="16" t="inlineStr">
        <is>
          <t>Not run</t>
        </is>
      </c>
      <c r="Q7" s="16" t="n"/>
      <c r="R7" s="16" t="n"/>
    </row>
    <row r="8">
      <c r="A8" s="10" t="inlineStr">
        <is>
          <t>ACC-07</t>
        </is>
      </c>
      <c r="B8" s="11" t="inlineStr">
        <is>
          <t>Access and accounts</t>
        </is>
      </c>
      <c r="C8" s="11" t="inlineStr">
        <is>
          <t>Follow a link while signed out and return to it after sign-in</t>
        </is>
      </c>
      <c r="D8" s="11" t="inlineStr">
        <is>
          <t>Console sign-in redirects</t>
        </is>
      </c>
      <c r="E8" s="11" t="inlineStr">
        <is>
          <t>DPO on console</t>
        </is>
      </c>
      <c r="F8" s="11" t="inlineStr">
        <is>
          <t>Medium</t>
        </is>
      </c>
      <c r="G8" s="11" t="inlineStr">
        <is>
          <t>Positive</t>
        </is>
      </c>
      <c r="H8" s="11" t="inlineStr">
        <is>
          <t>Core</t>
        </is>
      </c>
      <c r="I8" s="11" t="inlineStr">
        <is>
          <t>- A fresh private/incognito browser window with nobody signed in.
- The test coordinator can read the test outbox.</t>
        </is>
      </c>
      <c r="J8" s="11" t="inlineStr">
        <is>
          <t>- Account: dpo@cmp.local / SeedPassw0rd!2026
- Link to follow: http://localhost:3000/purposes</t>
        </is>
      </c>
      <c r="K8" s="11" t="inlineStr">
        <is>
          <t>1. Type http://localhost:3000/purposes into the address bar and press Enter.
2. Sign in with dpo@cmp.local and SeedPassw0rd!2026 and click 'Sign in'.
3. Enter the code the test coordinator gives you for dpo@cmp.local (from the test outbox) and click 'Verify and continue'.
4. While still signed in, type http://localhost:3000/sign-in into the address bar and press Enter.
5. In the same window, open http://localhost:3001/my-consents (the data principal portal).
6. Click 'Go to the staff console'.
7. Click 'Sign out' in the sidebar. Then type http://localhost:3000/sign-in/verify into the address bar and press Enter.</t>
        </is>
      </c>
      <c r="L8" s="11" t="inlineStr">
        <is>
          <t>1. No Purposes data is shown. You are taken to the 'Sign in' page and the address contains 'next=' followed by '/purposes' (shown as %2Fpurposes).
2. The 'Verify it is you' page appears and its address still carries 'next=' for purposes.
3. You land directly on the page headed 'Purposes', not on the Dashboard.
4. The sign-in form does not stay on screen; you are sent straight to the Dashboard ('Good day, Priya').
5. The portal shows a page headed 'This portal is for data principals' with the text 'You are signed in as Priya Menon, a staff account. Your console is a separate site.' and the buttons 'Go to the staff console' and 'Sign out'.
6. The console opens and shows the Dashboard, still signed in.
7. With no sign-in in progress, the code page does not stay on screen; you are taken to the 'Sign in' page.</t>
        </is>
      </c>
      <c r="M8" s="11" t="inlineStr">
        <is>
          <t>A signed-out link leads to sign-in and then back to the page asked for; a signed-in user is never shown the sign-in form again, and the portal tells a staff session where it belongs.</t>
        </is>
      </c>
      <c r="N8" s="16" t="n"/>
      <c r="O8" s="17" t="n"/>
      <c r="P8" s="16" t="inlineStr">
        <is>
          <t>Not run</t>
        </is>
      </c>
      <c r="Q8" s="16" t="n"/>
      <c r="R8" s="16" t="n"/>
    </row>
    <row r="9">
      <c r="A9" s="10" t="inlineStr">
        <is>
          <t>ACC-08</t>
        </is>
      </c>
      <c r="B9" s="11" t="inlineStr">
        <is>
          <t>Access and accounts</t>
        </is>
      </c>
      <c r="C9" s="11" t="inlineStr">
        <is>
          <t>Add a personal email and end another session from My profile</t>
        </is>
      </c>
      <c r="D9" s="11" t="inlineStr">
        <is>
          <t>Staff account page (My profile)</t>
        </is>
      </c>
      <c r="E9" s="11" t="inlineStr">
        <is>
          <t>R&amp;D User on console</t>
        </is>
      </c>
      <c r="F9" s="11" t="inlineStr">
        <is>
          <t>Medium</t>
        </is>
      </c>
      <c r="G9" s="11" t="inlineStr">
        <is>
          <t>Positive</t>
        </is>
      </c>
      <c r="H9" s="11" t="inlineStr">
        <is>
          <t>Core</t>
        </is>
      </c>
      <c r="I9" s="11" t="inlineStr">
        <is>
          <t>- rnd@cmp.local is not locked (ACC-05 not run in the last 30 minutes).
- Two separate browsers (for example Chrome and Edge, or a normal and a private window) are available.
- The test coordinator can read the test outbox.</t>
        </is>
      </c>
      <c r="J9" s="11" t="inlineStr">
        <is>
          <t>- Account: rnd@cmp.local (Kavya Rao) / SeedPassw0rd!2026
- Personal email to add: tester01-kavya@example.org (make it unique if already used)</t>
        </is>
      </c>
      <c r="K9" s="11" t="inlineStr">
        <is>
          <t>1. In browser 1, sign in to http://localhost:3000 as rnd@cmp.local with the password and code. Click your name at the top right to open the account menu, then click 'My profile'.
2. On the 'Contacts' tab, look at the 'Work email' row.
3. In the 'Personal email' row, click 'Add' (or 'Change' if one is already there). Type tester01-kavya@example.org in the 'Personal email' box and click 'Save and send a code'.
4. Type 000000 into 'Six-digit code' and click 'Confirm'.
5. Ask the test coordinator for the code sent to tester01-kavya@example.org (from the test outbox). Replace the digits with it and click 'Confirm'.
6. In browser 2, sign in to http://localhost:3000 as rnd@cmp.local with the password and a new code. Go back to browser 1 and refresh the 'My profile' page and click the 'Active sessions' tab.
7. In browser 1, click 'End session' on the other session.
8. In browser 2, click any sidebar item (for example 'My projects').</t>
        </is>
      </c>
      <c r="L9" s="11" t="inlineStr">
        <is>
          <t>1. The page 'My profile' opens with three tabs - 'Contacts' (selected), 'Active sessions' with a count, and 'Password' - and the 'Identity' card beside them. Identity shows Name 'Kavya Rao', Role 'R&amp;D User', Status 'Active' and a 'Session expires' time about 8 hours from now.
2. It shows rnd@cmp.local with a 'Confirmed' badge. It has no 'Change', 'Add' or 'Remove' button.
3. A green toast 'Saved' says 'We have sent a code to tester01-kavya@example.org.' The row shows the address with a 'Not confirmed' badge and a 'Six-digit code' box with 'Confirm' and 'Later' buttons.
4. A red message 'Invalid or expired code' appears in the row; the address stays 'Not confirmed'.
5. A green toast 'Confirmed' says 'tester01-kavya@example.org can now sign you in.' The row now shows a 'Confirmed' badge.
6. The tab's count is 2 or more, and a table lists the sessions with 'Device' (for example 'Chrome on Windows'), 'Address', 'Last active' and 'Expires'. The one for browser 1 is marked 'this device' and has no button; the other has an 'End session' button. 'End all other sessions' is shown above the table.
7. A green toast 'Session ended' appears; that row disappears from the table and the tab's count drops to 1.
8. Browser 2 is sent to the 'Sign in' page: its session was ended from browser 1.</t>
        </is>
      </c>
      <c r="M9" s="11" t="inlineStr">
        <is>
          <t>A member of staff can add and confirm a personal email with the code sent to it, cannot edit the work email, and can end another of their own sessions from the 'Active sessions' tab.</t>
        </is>
      </c>
      <c r="N9" s="16" t="n"/>
      <c r="O9" s="17" t="n"/>
      <c r="P9" s="16" t="inlineStr">
        <is>
          <t>Not run</t>
        </is>
      </c>
      <c r="Q9" s="16" t="n"/>
      <c r="R9" s="16" t="n"/>
    </row>
    <row r="10">
      <c r="A10" s="10" t="inlineStr">
        <is>
          <t>ACC-09</t>
        </is>
      </c>
      <c r="B10" s="11" t="inlineStr">
        <is>
          <t>Access and accounts</t>
        </is>
      </c>
      <c r="C10" s="11" t="inlineStr">
        <is>
          <t>Create a new data principal account with mobile and email</t>
        </is>
      </c>
      <c r="D10" s="11" t="inlineStr">
        <is>
          <t>Portal sign-up</t>
        </is>
      </c>
      <c r="E10" s="11" t="inlineStr">
        <is>
          <t>New data principal on portal</t>
        </is>
      </c>
      <c r="F10" s="11" t="inlineStr">
        <is>
          <t>High</t>
        </is>
      </c>
      <c r="G10" s="11" t="inlineStr">
        <is>
          <t>Positive</t>
        </is>
      </c>
      <c r="H10" s="11" t="inlineStr">
        <is>
          <t>S2-01</t>
        </is>
      </c>
      <c r="I10" s="11" t="inlineStr">
        <is>
          <t>- The portal is running at http://localhost:3001.
- A fresh private/incognito browser window with nobody signed in.
- The mobile and email below have never been registered (make up new ones if needed).
- The test coordinator can read the test outbox.</t>
        </is>
      </c>
      <c r="J10" s="11" t="inlineStr">
        <is>
          <t>- Full name: Tester One
- Mobile number: +91 98111 22301 (made up; form +91 98xxx xxxxx)
- Email address: tester01@example.org
- Date of birth: 15 August 1990
- Wrong codes: 000000 and 000000</t>
        </is>
      </c>
      <c r="K10" s="11" t="inlineStr">
        <is>
          <t>1. Open http://localhost:3001. On the 'Sign in' page, click 'Create an account'.
2. Read the hint under 'Date of birth'.
3. Fill in Full name 'Tester One', Mobile number '+91 98111 22301', Email address 'tester01@example.org' and Date of birth 15 August 1990. Click 'Create account'.
4. Type 000000 in both code boxes and click 'Confirm and sign in'.
5. Ask the test coordinator for the code sent to +91 98111 22301 and the code sent to tester01@example.org (both from the test outbox). Replace the digits in each box with the matching code and click 'Confirm and sign in'.
6. Look at the header and the sidebar.
7. Click your name at the top right to open the account menu, then click 'My profile'.</t>
        </is>
      </c>
      <c r="L10" s="11" t="inlineStr">
        <is>
          <t>1. The page 'Create your account' opens with the text 'For people whose data is being collected. Staff accounts are issued by your administrator.' It has the fields 'Full name', 'Mobile number', 'Email address' (marked optional in its hint) and 'Date of birth', and a 'Create account' button.
2. It reads 'The law protects people under 18 differently, so we ask before an account is opened.' It does not mention a parent or guardian.
3. The page 'Confirm your contacts' opens with the text 'If those details are new to us, a code has gone to your mobile and another to your email. Enter both.' It shows 'Code sent to your mobile' (with the mobile number under it), 'Code sent to your email' (with the email under it) and a 'Confirm and sign in' button.
4. You stay on the page. A red banner reads 'Invalid or expired code'.
5. Both codes are accepted even though a wrong pair was tried first. You are signed in and land on the page headed 'My consents'.
6. The header shows 'Tester One' with the role badge 'Data Subject'. The sidebar shows 'My consents', 'My requests', 'My nominations', 'Updates' and 'Sign out'; 'My profile' is in the account menu under the name. There is no 'We need your date of birth' notice.
7. 'My profile' opens. Identity shows Name 'Tester One', Mobile and Email as entered, Role 'Data Subject', Status 'Active' and Date of birth 15 Aug 1990 (no under-18 badge). In Contacts, the mobile and email both show 'Confirmed'.</t>
        </is>
      </c>
      <c r="M10" s="11" t="inlineStr">
        <is>
          <t>A new adult can register with a mobile, an optional email and a date of birth, must confirm every contact given with its own code, and is then signed in to 'My consents'.</t>
        </is>
      </c>
      <c r="N10" s="16" t="n"/>
      <c r="O10" s="17" t="n"/>
      <c r="P10" s="16" t="inlineStr">
        <is>
          <t>Not run</t>
        </is>
      </c>
      <c r="Q10" s="16" t="n"/>
      <c r="R10" s="16" t="n"/>
    </row>
    <row r="11">
      <c r="A11" s="10" t="inlineStr">
        <is>
          <t>ACC-10</t>
        </is>
      </c>
      <c r="B11" s="11" t="inlineStr">
        <is>
          <t>Access and accounts</t>
        </is>
      </c>
      <c r="C11" s="11" t="inlineStr">
        <is>
          <t>Refuse sign-up for a person under 18 with no guardian route</t>
        </is>
      </c>
      <c r="D11" s="11" t="inlineStr">
        <is>
          <t>Portal sign-up - age check</t>
        </is>
      </c>
      <c r="E11" s="11" t="inlineStr">
        <is>
          <t>New data principal on portal</t>
        </is>
      </c>
      <c r="F11" s="11" t="inlineStr">
        <is>
          <t>High</t>
        </is>
      </c>
      <c r="G11" s="11" t="inlineStr">
        <is>
          <t>Negative</t>
        </is>
      </c>
      <c r="H11" s="11" t="inlineStr">
        <is>
          <t>S2-01</t>
        </is>
      </c>
      <c r="I11" s="11" t="inlineStr">
        <is>
          <t>- A fresh private/incognito browser window with nobody signed in.
- The mobile below has never been registered.
- The test coordinator can read the test outbox.</t>
        </is>
      </c>
      <c r="J11" s="11" t="inlineStr">
        <is>
          <t>- Full name: Minor Tester
- Mobile number: +91 98111 22302 (made up)
- Email address: leave empty
- Date of birth: a date less than 18 years before today, e.g. 10 May 2012
- Boundary check: the day after today's date 18 years ago (e.g. if today is 24 Sep 2026, use 25 Sep 2008)</t>
        </is>
      </c>
      <c r="K11" s="11" t="inlineStr">
        <is>
          <t>1. Open http://localhost:3001/sign-up. Fill in Full name 'Minor Tester', Mobile number '+91 98111 22302', leave Email address empty, and set Date of birth to 10 May 2012. Click 'Create account'.
2. Read the whole page, including the message and the hints.
3. Change Date of birth to the boundary date (one day short of 18 years ago) and click 'Create account' again.
4. Click 'Sign in' at the bottom of the page. On the 'Sign in' page keep 'Mobile' selected, type +91 98111 22302 in 'Mobile number' and click 'Send me a code'.
5. Ask the test coordinator to check the test outbox for any message to +91 98111 22302.</t>
        </is>
      </c>
      <c r="L11" s="11" t="inlineStr">
        <is>
          <t>1. No account is created and you stay on 'Create your account'. A red message says the person cannot be registered because they are under eighteen. The expected wording is 'We cannot register or record consent for a person under eighteen. If you think your date of birth is wrong, contact the Privacy Office.'
2. Nothing on the page offers a parent, guardian or 'register on behalf of a child' option; the 'Confirm your contacts' step is not shown.
3. The same refusal is shown: a person one day short of 18 is still refused.
4. The page shows 'Check your messages' and 'If +91 98111 22302 is registered with us, a six-digit code is on its way.' (the same neutral wording as for any number).
5. The coordinator confirms that no registration code and no sign-in code was sent to that number: no account exists for it.</t>
        </is>
      </c>
      <c r="M11" s="11" t="inlineStr">
        <is>
          <t>A date of birth under 18 is refused at sign-up with a message that offers no guardian route, and no account or code is created for that mobile.</t>
        </is>
      </c>
      <c r="N11" s="16" t="n"/>
      <c r="O11" s="17" t="n"/>
      <c r="P11" s="16" t="inlineStr">
        <is>
          <t>Not run</t>
        </is>
      </c>
      <c r="Q11" s="16" t="n"/>
      <c r="R11" s="16" t="n"/>
    </row>
    <row r="12">
      <c r="A12" s="10" t="inlineStr">
        <is>
          <t>ACC-11</t>
        </is>
      </c>
      <c r="B12" s="11" t="inlineStr">
        <is>
          <t>Access and accounts</t>
        </is>
      </c>
      <c r="C12" s="11" t="inlineStr">
        <is>
          <t>Reject a future date of birth and badly formed details at sign-up</t>
        </is>
      </c>
      <c r="D12" s="11" t="inlineStr">
        <is>
          <t>Portal sign-up - field checks</t>
        </is>
      </c>
      <c r="E12" s="11" t="inlineStr">
        <is>
          <t>New data principal on portal</t>
        </is>
      </c>
      <c r="F12" s="11" t="inlineStr">
        <is>
          <t>Medium</t>
        </is>
      </c>
      <c r="G12" s="11" t="inlineStr">
        <is>
          <t>Negative</t>
        </is>
      </c>
      <c r="H12" s="11" t="inlineStr">
        <is>
          <t>S2-01</t>
        </is>
      </c>
      <c r="I12" s="11" t="inlineStr">
        <is>
          <t>- A fresh private/incognito browser window with nobody signed in.</t>
        </is>
      </c>
      <c r="J12" s="11" t="inlineStr">
        <is>
          <t>- Mobile with letters: 98abc12345
- Badly formed email: tester01@
- Future date of birth: 1 January 2030 (type it if the calendar will not let you pick it)
- Valid values for the rest: Full name 'Tester Two', Mobile '+91 98111 22303'</t>
        </is>
      </c>
      <c r="K12" s="11" t="inlineStr">
        <is>
          <t>1. Open http://localhost:3001/sign-up and click 'Create account' without filling anything in.
2. Type 'Tester Two' in 'Full name', '98abc12345' in 'Mobile number' and 'tester01@' in 'Email address'. Click 'Create account'.
3. Correct the mobile to '+91 98111 22303' and clear 'Email address'. Type 1 January 2030 into 'Date of birth' and click 'Create account'.
4. Type today's date into 'Date of birth' and click 'Create account'.
5. Click 'Sign in' at the bottom of the page without submitting further.</t>
        </is>
      </c>
      <c r="L12" s="11" t="inlineStr">
        <is>
          <t>1. Nothing is sent. Messages appear under the fields: 'Enter your full name', 'A mobile number is required' and 'Enter your date of birth'. 'Email address' shows no error because it is optional.
2. Under 'Mobile number': 'A mobile number may contain digits, spaces, dashes and a leading +'. Under 'Email address': 'That does not look like an email address'.
3. Under 'Date of birth': 'Date of birth must be in the past'. The page stays on 'Create your account'.
4. The same message 'Date of birth must be in the past' appears; today is not accepted.
5. The portal 'Sign in' page opens; no account was created for +91 98111 22303 (the coordinator can confirm no code was written for it in the test outbox).</t>
        </is>
      </c>
      <c r="M12" s="11" t="inlineStr">
        <is>
          <t>Sign-up will not proceed with missing details, a malformed mobile or email, or a date of birth that is today or in the future, and each problem is named under its own field.</t>
        </is>
      </c>
      <c r="N12" s="16" t="n"/>
      <c r="O12" s="17" t="n"/>
      <c r="P12" s="16" t="inlineStr">
        <is>
          <t>Not run</t>
        </is>
      </c>
      <c r="Q12" s="16" t="n"/>
      <c r="R12" s="16" t="n"/>
    </row>
    <row r="13">
      <c r="A13" s="10" t="inlineStr">
        <is>
          <t>ACC-12</t>
        </is>
      </c>
      <c r="B13" s="11" t="inlineStr">
        <is>
          <t>Access and accounts</t>
        </is>
      </c>
      <c r="C13" s="11" t="inlineStr">
        <is>
          <t>Stop sign-up with a mobile or email that is already registered</t>
        </is>
      </c>
      <c r="D13" s="11" t="inlineStr">
        <is>
          <t>Portal sign-up - contact already registered</t>
        </is>
      </c>
      <c r="E13" s="11" t="inlineStr">
        <is>
          <t>New data principal on portal</t>
        </is>
      </c>
      <c r="F13" s="11" t="inlineStr">
        <is>
          <t>Medium</t>
        </is>
      </c>
      <c r="G13" s="11" t="inlineStr">
        <is>
          <t>Negative</t>
        </is>
      </c>
      <c r="H13" s="11" t="inlineStr">
        <is>
          <t>Core</t>
        </is>
      </c>
      <c r="I13" s="11" t="inlineStr">
        <is>
          <t>- A fresh private/incognito browser window with nobody signed in.
- The seeded data principal Anjali Verma exists with mobile +91 90000 00001 and email subject@cmp.local.</t>
        </is>
      </c>
      <c r="J13" s="11" t="inlineStr">
        <is>
          <t>- Taken mobile: +91 90000 00001
- Taken email: subject@cmp.local
- New mobile for the email check: +91 98111 22304 (made up)
- Date of birth: 1 March 1985</t>
        </is>
      </c>
      <c r="K13" s="11" t="inlineStr">
        <is>
          <t>1. Open http://localhost:3001/sign-up. Fill in Full name 'Tester Three', Mobile number '+91 90000 00001', leave Email address empty, Date of birth 1 March 1985. Click 'Create account'.
2. Check the notice for a link.
3. Change Mobile number to '+91 98111 22304', type 'subject@cmp.local' in Email address and click 'Create account'.
4. Click 'Sign in with this email'.</t>
        </is>
      </c>
      <c r="L13" s="11" t="inlineStr">
        <is>
          <t>1. You stay on 'Create your account'. A yellow notice titled 'That mobile is already registered' says 'If it is yours, sign in with it - there is no password, we send a code. Otherwise change it below.' Under 'Mobile number' the message reads 'An account already exists with this mobile. Sign in with it instead, or use a different mobile.'
2. The notice has a link 'Sign in with this mobile'. The 'Confirm your contacts' step is not shown.
3. The notice now reads 'That email is already registered' with a link 'Sign in with this email', and the message under 'Email address' reads 'An account already exists with this email. Sign in with it instead, or use a different email.'
4. The portal 'Sign in' page opens with 'Email' selected under 'Sign in with' and subject@cmp.local already filled in the 'Email address' box. (Do not click 'Send me a code' unless you intend to sign in as Anjali.)</t>
        </is>
      </c>
      <c r="M13" s="11" t="inlineStr">
        <is>
          <t>Sign-up refuses a mobile or email that already belongs to an account, says which one on its field, and offers sign-in with that contact filled in.</t>
        </is>
      </c>
      <c r="N13" s="16" t="n"/>
      <c r="O13" s="17" t="n"/>
      <c r="P13" s="16" t="inlineStr">
        <is>
          <t>Not run</t>
        </is>
      </c>
      <c r="Q13" s="16" t="n"/>
      <c r="R13" s="16" t="n"/>
    </row>
    <row r="14">
      <c r="A14" s="10" t="inlineStr">
        <is>
          <t>ACC-13</t>
        </is>
      </c>
      <c r="B14" s="11" t="inlineStr">
        <is>
          <t>Access and accounts</t>
        </is>
      </c>
      <c r="C14" s="11" t="inlineStr">
        <is>
          <t>Sign in to the portal with a one-time code sent to the mobile</t>
        </is>
      </c>
      <c r="D14" s="11" t="inlineStr">
        <is>
          <t>Portal sign-in (mobile code)</t>
        </is>
      </c>
      <c r="E14" s="11" t="inlineStr">
        <is>
          <t>Data principal on portal</t>
        </is>
      </c>
      <c r="F14" s="11" t="inlineStr">
        <is>
          <t>High</t>
        </is>
      </c>
      <c r="G14" s="11" t="inlineStr">
        <is>
          <t>Positive</t>
        </is>
      </c>
      <c r="H14" s="11" t="inlineStr">
        <is>
          <t>Core</t>
        </is>
      </c>
      <c r="I14" s="11" t="inlineStr">
        <is>
          <t>- A fresh private/incognito browser window with nobody signed in.
- The test coordinator can read the test outbox.
- No more than 5 codes may be requested for one contact per hour.</t>
        </is>
      </c>
      <c r="J14" s="11" t="inlineStr">
        <is>
          <t>- Data principal: Anjali Verma
- Mobile number: +91 90000 00001</t>
        </is>
      </c>
      <c r="K14" s="11" t="inlineStr">
        <is>
          <t>1. Open http://localhost:3001.
2. Type +91 90000 00001 into 'Mobile number' and click 'Send me a code'.
3. Ask the test coordinator for the code sent to +91 90000 00001 (from the test outbox). Type it into 'Six-digit code' and click 'Verify'.
4. Look at the sidebar.
5. Click 'My requests'.
6. Click 'Sign out' in the sidebar.
7. Type http://localhost:3001/my-consents into the address bar and press Enter.</t>
        </is>
      </c>
      <c r="L14" s="11" t="inlineStr">
        <is>
          <t>1. The page headed 'Sign in' opens with the text 'Enter the mobile number or email address you registered with and we will send you a one-time code.' Under 'Sign in with' the 'Mobile' option is selected. At the bottom are 'Create an account', 'Your rights and how to exercise them', 'Act on their behalf here' and 'Sign in to the console'.
2. A blue notice 'Check your messages' reads 'If +91 90000 00001 is registered with us, a six-digit code is on its way. It expires in ten minutes.' Below it are a 'Six-digit code' box, a 'Verify' button (disabled until six digits are typed) and a 'Use a different contact' button.
3. You land on the page headed 'My consents'. The header shows 'Anjali Verma' with the role badge 'Data Subject'.
4. Under 'Your data' are 'My consents', 'My requests', 'My nominations' and 'Updates'; 'Sign out' is at the bottom. 'My profile' is in the account menu under her name at the top right. There is no staff menu and no staff-account notice.
5. The page headed 'My requests' opens.
6. You are taken back to the portal 'Sign in' page.
7. You are sent to the 'Sign in' page instead of seeing the consents.</t>
        </is>
      </c>
      <c r="M14" s="11" t="inlineStr">
        <is>
          <t>A registered data principal signs in with just the code sent to her mobile, lands on 'My consents', and after 'Sign out' can no longer open her pages.</t>
        </is>
      </c>
      <c r="N14" s="16" t="n"/>
      <c r="O14" s="17" t="n"/>
      <c r="P14" s="16" t="inlineStr">
        <is>
          <t>Not run</t>
        </is>
      </c>
      <c r="Q14" s="16" t="n"/>
      <c r="R14" s="16" t="n"/>
    </row>
    <row r="15">
      <c r="A15" s="10" t="inlineStr">
        <is>
          <t>ACC-14</t>
        </is>
      </c>
      <c r="B15" s="11" t="inlineStr">
        <is>
          <t>Access and accounts</t>
        </is>
      </c>
      <c r="C15" s="11" t="inlineStr">
        <is>
          <t>Refuse a wrong portal code and stay neutral about unknown contacts</t>
        </is>
      </c>
      <c r="D15" s="11" t="inlineStr">
        <is>
          <t>Portal sign-in (email code) - failures</t>
        </is>
      </c>
      <c r="E15" s="11" t="inlineStr">
        <is>
          <t>Data principal on portal</t>
        </is>
      </c>
      <c r="F15" s="11" t="inlineStr">
        <is>
          <t>High</t>
        </is>
      </c>
      <c r="G15" s="11" t="inlineStr">
        <is>
          <t>Negative</t>
        </is>
      </c>
      <c r="H15" s="11" t="inlineStr">
        <is>
          <t>Core</t>
        </is>
      </c>
      <c r="I15" s="11" t="inlineStr">
        <is>
          <t>- A fresh private/incognito browser window with nobody signed in.
- The test coordinator can read the test outbox.</t>
        </is>
      </c>
      <c r="J15" s="11" t="inlineStr">
        <is>
          <t>- Registered email: subject@cmp.local (Anjali Verma)
- Unregistered email: nobody-registered@example.org
- Wrong code: 123456</t>
        </is>
      </c>
      <c r="K15" s="11" t="inlineStr">
        <is>
          <t>1. Open http://localhost:3001/sign-in. Under 'Sign in with' choose 'Email'.
2. Type nobody-registered@example.org and click 'Send me a code'.
3. Click 'Use a different contact'.
4. Choose 'Email', type subject@cmp.local and click 'Send me a code'.
5. Type 123456 into 'Six-digit code' and click 'Verify'.
6. Ask the test coordinator for the code sent to subject@cmp.local (from the test outbox). Replace the digits and click 'Verify'.
7. Click 'Sign out'.</t>
        </is>
      </c>
      <c r="L15" s="11" t="inlineStr">
        <is>
          <t>1. The field label changes from 'Mobile number' to 'Email address'.
2. The same 'Check your messages' notice appears: 'If nobody-registered@example.org is registered with us, a six-digit code is on its way.' Nothing says the address is unknown. (The coordinator can confirm no code was written to the test outbox for it.)
3. The form returns to the contact step with the 'Send me a code' button.
4. 'Check your messages' appears for subject@cmp.local with the 'Six-digit code' box.
5. You stay on the page. A red banner reads 'Invalid or expired code'.
6. The correct code is accepted and you land on 'My consents' as Anjali Verma.
7. You are back on the portal 'Sign in' page.</t>
        </is>
      </c>
      <c r="M15" s="11" t="inlineStr">
        <is>
          <t>A wrong code is refused with 'Invalid or expired code', the portal answers identically for registered and unregistered contacts, and the right code signs in by email.</t>
        </is>
      </c>
      <c r="N15" s="16" t="n"/>
      <c r="O15" s="17" t="n"/>
      <c r="P15" s="16" t="inlineStr">
        <is>
          <t>Not run</t>
        </is>
      </c>
      <c r="Q15" s="16" t="n"/>
      <c r="R15" s="16" t="n"/>
    </row>
    <row r="16">
      <c r="A16" s="10" t="inlineStr">
        <is>
          <t>ACC-15</t>
        </is>
      </c>
      <c r="B16" s="11" t="inlineStr">
        <is>
          <t>Access and accounts</t>
        </is>
      </c>
      <c r="C16" s="11" t="inlineStr">
        <is>
          <t>Ask for a missing date of birth at the next portal sign-in</t>
        </is>
      </c>
      <c r="D16" s="11" t="inlineStr">
        <is>
          <t>Date-of-birth prompt for accounts with no age on record</t>
        </is>
      </c>
      <c r="E16" s="11" t="inlineStr">
        <is>
          <t>Account with no date of birth, as data principal on portal</t>
        </is>
      </c>
      <c r="F16" s="11" t="inlineStr">
        <is>
          <t>High</t>
        </is>
      </c>
      <c r="G16" s="11" t="inlineStr">
        <is>
          <t>Positive</t>
        </is>
      </c>
      <c r="H16" s="11" t="inlineStr">
        <is>
          <t>S2-01</t>
        </is>
      </c>
      <c r="I16" s="11" t="inlineStr">
        <is>
          <t>- The test coordinator confirms that rco@cmp.local (Meera Iyer) has no date of birth recorded. If it already has one, the coordinator names another account with none.
- A date of birth, once saved, cannot be removed from the screens, so this case can be run only once per account.
- A fresh private/incognito browser window with nobody signed in.
- The test coordinator can read the test outbox.</t>
        </is>
      </c>
      <c r="J16" s="11" t="inlineStr">
        <is>
          <t>- Sign-in email: rco@cmp.local
- Future date to try first: 1 January 2030
- Valid date of birth: 21 July 1985</t>
        </is>
      </c>
      <c r="K16" s="11" t="inlineStr">
        <is>
          <t>1. Open http://localhost:3001/sign-in, choose 'Email', type rco@cmp.local, click 'Send me a code', then enter the code the test coordinator gives you for rco@cmp.local (from the test outbox) and click 'Verify'.
2. Click 'My requests' in the sidebar.
3. Click 'Updates' in the sidebar.
4. Click your name at the top right to open the account menu, then click 'My profile'.
5. Click the 'make a request' link on the card.
6. Go back to 'My consents' and click 'Add it now' in the notice.
7. Open 'My profile' from the account menu to reach the 'Your date of birth' card. Type 1 January 2030 into 'Date of birth' and click 'Save and continue'.
8. Change 'Date of birth' to 21 July 1985 and click 'Save and continue'.
9. Click 'My consents' and then 'Updates'.
10. Click 'Sign out', sign in again with rco@cmp.local and a new code.</t>
        </is>
      </c>
      <c r="L16" s="11" t="inlineStr">
        <is>
          <t>1. You land on 'My consents'. Above the list is a blue notice titled 'We need your date of birth' reading 'You can withdraw a consent or make a request without it, but we need it before you give a new consent.' with an 'Add it now' link.
2. The page 'My requests' opens normally, with the same 'We need your date of birth' notice above it. Nothing blocks this page.
3. Instead of the updates, a card headed 'Your date of birth' appears: 'The law protects people under 18 differently, and we do not have your date of birth yet. We need it before you can give a new consent.' It has a 'Date of birth' field, a 'Save and continue' button and links 'withdraw a consent' and 'make a request'.
4. The same 'Your date of birth' card appears instead of the account page.
5. 'My requests' opens without answering the question.
6. The 'Your date of birth' question is shown so the date can be added. (Record a defect if the link just reloads 'My consents'.)
7. The date is refused with 'Date of birth must be in the past' under the field; the card stays.
8. The card disappears and the 'My profile' page opens. In Identity, 'Date of birth' shows 21 Jul 1985 with no under-18 badge.
9. The 'We need your date of birth' notice no longer appears on 'My consents', and 'Updates' opens normally.
10. You land on 'My consents' with no date-of-birth notice; the question is not asked again.</t>
        </is>
      </c>
      <c r="M16" s="11" t="inlineStr">
        <is>
          <t>An account with no date of birth is asked for one on every page except My consents and My requests, which stay usable with a reminder; a future date is refused and a valid date clears the prompt for good.</t>
        </is>
      </c>
      <c r="N16" s="16" t="n"/>
      <c r="O16" s="17" t="n"/>
      <c r="P16" s="16" t="inlineStr">
        <is>
          <t>Not run</t>
        </is>
      </c>
      <c r="Q16" s="16" t="n"/>
      <c r="R16" s="16" t="n"/>
    </row>
    <row r="17">
      <c r="A17" s="10" t="inlineStr">
        <is>
          <t>ACC-16</t>
        </is>
      </c>
      <c r="B17" s="11" t="inlineStr">
        <is>
          <t>Access and accounts</t>
        </is>
      </c>
      <c r="C17" s="11" t="inlineStr">
        <is>
          <t>Sign in to the portal with a staff email and act only as a data principal</t>
        </is>
      </c>
      <c r="D17" s="11" t="inlineStr">
        <is>
          <t>Staff member on the portal</t>
        </is>
      </c>
      <c r="E17" s="11" t="inlineStr">
        <is>
          <t>DPO signing in on the portal</t>
        </is>
      </c>
      <c r="F17" s="11" t="inlineStr">
        <is>
          <t>High</t>
        </is>
      </c>
      <c r="G17" s="11" t="inlineStr">
        <is>
          <t>Positive</t>
        </is>
      </c>
      <c r="H17" s="11" t="inlineStr">
        <is>
          <t>Core</t>
        </is>
      </c>
      <c r="I17" s="11" t="inlineStr">
        <is>
          <t>- A fresh private/incognito browser window in which nobody is signed in to the console or the portal (a console session in the same window would send you to the console instead).
- The test coordinator can read the test outbox.</t>
        </is>
      </c>
      <c r="J17" s="11" t="inlineStr">
        <is>
          <t>- Sign-in email: dpo@cmp.local (Priya Menon)
- If asked for a date of birth: 21 July 1985</t>
        </is>
      </c>
      <c r="K17" s="11" t="inlineStr">
        <is>
          <t>1. Open http://localhost:3001/sign-in, choose 'Email', type dpo@cmp.local and click 'Send me a code'.
2. Enter the code the test coordinator gives you for dpo@cmp.local (from the test outbox) and click 'Verify'.
3. Look at the header and sidebar.
4. Click your name at the top right to open the account menu, then click 'My profile'. If the 'Your date of birth' card appears, enter 21 July 1985 and click 'Save and continue'.
5. In the same window, open http://localhost:3000/users (the console).
6. Open http://localhost:3000/sign-in in the same window.
7. On the portal click 'Sign out'. Then sign in to the console at http://localhost:3000/sign-in as dpo@cmp.local with SeedPassw0rd!2026 and the emailed code.</t>
        </is>
      </c>
      <c r="L17" s="11" t="inlineStr">
        <is>
          <t>1. 'Check your messages' appears with the 'Six-digit code' box. No password is asked for.
2. You land on 'My consents'. A line across the top reads 'You are signed in with your staff account, as a data principal. Only your own consents, requests and rights are here; your console is a separate site.'
3. The header shows 'Priya Menon' with the role badge 'Data Subject' (not 'DPO'). The sidebar has only 'My consents', 'My requests', 'My nominations', 'Updates' and 'Sign out'; 'My profile' is in the account menu.
4. 'My profile' opens. In Identity, Role shows 'Data Subject' and an 'Account' line reads 'Your staff account, used here as a data principal.' In Contacts, the 'Email' row shows dpo@cmp.local with the hint 'Your staff address, managed by your organisation. If you may lose it one day, add a personal one below.' and no 'Change' button.
5. No user list is shown. The console shows a page headed 'This console is for staff' reading 'You are signed in as Priya Menon. Your consents, your requests and your rights are on the consent portal.' with the buttons 'Go to the consent portal' and 'Sign out'.
6. The console sign-in form does not stay; you are sent to the portal (http://localhost:3001), because this window holds a data principal session.
7. The console asks for the password and the code, and only then shows the full DPO Dashboard with the 'DPO' badge. The portal code alone never gave DPO access.</t>
        </is>
      </c>
      <c r="M17" s="11" t="inlineStr">
        <is>
          <t>A staff email signs in to the portal with a code but the session is only a data principal's: it is labelled as the staff account, shows only the principal's own pages, and cannot open the console.</t>
        </is>
      </c>
      <c r="N17" s="16" t="n"/>
      <c r="O17" s="17" t="n"/>
      <c r="P17" s="16" t="inlineStr">
        <is>
          <t>Not run</t>
        </is>
      </c>
      <c r="Q17" s="16" t="n"/>
      <c r="R17" s="16" t="n"/>
    </row>
    <row r="18">
      <c r="A18" s="10" t="inlineStr">
        <is>
          <t>ACC-17</t>
        </is>
      </c>
      <c r="B18" s="11" t="inlineStr">
        <is>
          <t>Access and accounts</t>
        </is>
      </c>
      <c r="C18" s="11" t="inlineStr">
        <is>
          <t>Add a second email on the portal and sign in with it once confirmed</t>
        </is>
      </c>
      <c r="D18" s="11" t="inlineStr">
        <is>
          <t>Portal account - second email</t>
        </is>
      </c>
      <c r="E18" s="11" t="inlineStr">
        <is>
          <t>Data principal on portal</t>
        </is>
      </c>
      <c r="F18" s="11" t="inlineStr">
        <is>
          <t>High</t>
        </is>
      </c>
      <c r="G18" s="11" t="inlineStr">
        <is>
          <t>Positive</t>
        </is>
      </c>
      <c r="H18" s="11" t="inlineStr">
        <is>
          <t>Core</t>
        </is>
      </c>
      <c r="I18" s="11" t="inlineStr">
        <is>
          <t>- ACC-09 has been passed, so the tester owns the account Tester One (+91 98111 22301, tester01@example.org).
- Signed in to the portal as Tester One in a private/incognito window.
- The test coordinator can read the test outbox.</t>
        </is>
      </c>
      <c r="J18" s="11" t="inlineStr">
        <is>
          <t>- Second email: tester01-personal@example.org
- The account's own first email (should be refused as a second one): tester01@example.org
- Email already used by another account: subject@cmp.local</t>
        </is>
      </c>
      <c r="K18" s="11" t="inlineStr">
        <is>
          <t>1. Click your name at the top right to open the account menu, then click 'My profile'.
2. In the 'Second email' row click 'Add', type tester01@example.org and click 'Save and send a code'.
3. Replace it with subject@cmp.local and click 'Save and send a code'.
4. Replace it with tester01-personal@example.org and click 'Save and send a code'.
5. Click 'Later'. Then click 'Sign out'. On 'Sign in', choose 'Email', type tester01-personal@example.org and click 'Send me a code'.
6. Click 'Use a different contact' and sign in with the mobile +91 98111 22301 and its code from the test coordinator. Open 'My profile' from the account menu.
7. Click 'Send a code'. Enter the code the test coordinator gives you for tester01-personal@example.org and click 'Confirm'.
8. Click 'Sign out'. Sign in with 'Email' tester01-personal@example.org and the code the test coordinator gives you for it.</t>
        </is>
      </c>
      <c r="L18" s="11" t="inlineStr">
        <is>
          <t>1. 'My profile' opens. Contacts lists 'Email' (tester01@example.org, 'Confirmed', no Change button), 'Mobile' (with 'Change') and 'Second email' ('None given', with 'Add'). Identity shows a 'Session expires' time about 8 hours after you signed in.
2. A red message in the row reads 'That is already the address on your account'.
3. A red message reads 'That address belongs to another account'.
4. Green toast 'Saved': 'We have sent a code to tester01-personal@example.org.' The row shows the address with 'Not confirmed' and a 'Six-digit code' box with 'Confirm' and 'Later'.
5. The neutral 'Check your messages' notice appears, but the test coordinator confirms that no sign-in code was sent to tester01-personal@example.org: an unconfirmed address cannot sign anyone in.
6. The 'Second email' row shows tester01-personal@example.org with 'Not confirmed' and a 'Send a code' button.
7. Green toast 'Confirmed': 'tester01-personal@example.org can now sign you in.' The row shows 'Confirmed' and a 'Remove' button.
8. You are signed in as Tester One and land on 'My consents'.</t>
        </is>
      </c>
      <c r="M18" s="11" t="inlineStr">
        <is>
          <t>A second email is added only after its own code is confirmed, cannot sign in before that, can sign in afterwards, and duplicates of own or another account's address are refused.</t>
        </is>
      </c>
      <c r="N18" s="16" t="n"/>
      <c r="O18" s="17" t="n"/>
      <c r="P18" s="16" t="inlineStr">
        <is>
          <t>Not run</t>
        </is>
      </c>
      <c r="Q18" s="16" t="n"/>
      <c r="R18" s="16" t="n"/>
    </row>
    <row r="19">
      <c r="A19" s="10" t="inlineStr">
        <is>
          <t>ACC-18</t>
        </is>
      </c>
      <c r="B19" s="11" t="inlineStr">
        <is>
          <t>Access and accounts</t>
        </is>
      </c>
      <c r="C19" s="11" t="inlineStr">
        <is>
          <t>Change the mobile number on the portal and confirm it with a code</t>
        </is>
      </c>
      <c r="D19" s="11" t="inlineStr">
        <is>
          <t>Portal account - mobile</t>
        </is>
      </c>
      <c r="E19" s="11" t="inlineStr">
        <is>
          <t>Data principal on portal</t>
        </is>
      </c>
      <c r="F19" s="11" t="inlineStr">
        <is>
          <t>Medium</t>
        </is>
      </c>
      <c r="G19" s="11" t="inlineStr">
        <is>
          <t>Negative</t>
        </is>
      </c>
      <c r="H19" s="11" t="inlineStr">
        <is>
          <t>Core</t>
        </is>
      </c>
      <c r="I19" s="11" t="inlineStr">
        <is>
          <t>- ACC-09 has been passed, so the tester owns the account Tester One.
- Signed in to the portal as Tester One in a private/incognito window.
- The test coordinator can read the test outbox.</t>
        </is>
      </c>
      <c r="J19" s="11" t="inlineStr">
        <is>
          <t>- Mobile already belonging to another account: +91 90000 00001
- New mobile: +91 98111 22399 (made up, never registered)
- Wrong code: 000000</t>
        </is>
      </c>
      <c r="K19" s="11" t="inlineStr">
        <is>
          <t>1. Click your name at the top right to open the account menu, then click 'My profile'. In the 'Mobile' row click 'Change'.
2. Replace the number with +91 90000 00001 and click 'Save and send a code'.
3. Replace the number with +91 98111 22399 and click 'Save and send a code'.
4. Type 000000 and click 'Confirm'.
5. Click 'Later', then click 'Change' on the Mobile row and, without editing the number, click 'Save and send a code'.
6. Enter the newest code the test coordinator gives you for +91 98111 22399 (from the test outbox) and click 'Confirm'.
7. Click 'Change' on the Mobile row again and, without editing, click 'Save and send a code'.
8. Click 'Sign out' and sign in with 'Mobile' +91 98111 22399 and the code the test coordinator gives you.</t>
        </is>
      </c>
      <c r="L19" s="11" t="inlineStr">
        <is>
          <t>1. A 'Mobile' box opens, already filled with the current number, with the buttons 'Save and send a code' and 'Cancel'.
2. A red message in the row reads 'That mobile belongs to another account'. The mobile is not changed.
3. Green toast 'Saved': 'We have sent a code to +91 98111 22399.' The row shows the new number with 'Not confirmed' and a 'Six-digit code' box (hint: 'Sent to the contact above. It expires in ten minutes.').
4. A red message 'Invalid or expired code' appears; the number stays 'Not confirmed'.
5. A new code is sent (toast 'Saved': 'We have sent a code to +91 98111 22399.') and the 'Six-digit code' box appears again.
6. Green toast 'Confirmed': '+91 98111 22399 can now sign you in.' The row shows 'Confirmed'.
7. Toast 'Saved': 'That contact is already confirmed, so no code was needed.' No code box appears and the badge stays 'Confirmed'.
8. You are signed in as Tester One and land on 'My consents'.</t>
        </is>
      </c>
      <c r="M19" s="11" t="inlineStr">
        <is>
          <t>A new mobile is refused if another account holds it, is not confirmed by a wrong code, is confirmed by the right code, and then signs the principal in.</t>
        </is>
      </c>
      <c r="N19" s="16" t="n"/>
      <c r="O19" s="17" t="n"/>
      <c r="P19" s="16" t="inlineStr">
        <is>
          <t>Not run</t>
        </is>
      </c>
      <c r="Q19" s="16" t="n"/>
      <c r="R19" s="16" t="n"/>
    </row>
    <row r="20">
      <c r="A20" s="10" t="inlineStr">
        <is>
          <t>ACC-19</t>
        </is>
      </c>
      <c r="B20" s="11" t="inlineStr">
        <is>
          <t>Access and accounts</t>
        </is>
      </c>
      <c r="C20" s="11" t="inlineStr">
        <is>
          <t>Check portal page redirects for signed-in, signed-out and staff visitors</t>
        </is>
      </c>
      <c r="D20" s="11" t="inlineStr">
        <is>
          <t>Portal sign-in redirects</t>
        </is>
      </c>
      <c r="E20" s="11" t="inlineStr">
        <is>
          <t>Data principal on portal</t>
        </is>
      </c>
      <c r="F20" s="11" t="inlineStr">
        <is>
          <t>Medium</t>
        </is>
      </c>
      <c r="G20" s="11" t="inlineStr">
        <is>
          <t>Positive</t>
        </is>
      </c>
      <c r="H20" s="11" t="inlineStr">
        <is>
          <t>Core</t>
        </is>
      </c>
      <c r="I20" s="11" t="inlineStr">
        <is>
          <t>- A fresh private/incognito browser window with nobody signed in.
- The test coordinator can read the test outbox.</t>
        </is>
      </c>
      <c r="J20" s="11" t="inlineStr">
        <is>
          <t>- Data principal: subject@cmp.local (Anjali Verma)
- Deep link: http://localhost:3001/my-requests
- Staff code-step address: http://localhost:3001/sign-in/verify</t>
        </is>
      </c>
      <c r="K20" s="11" t="inlineStr">
        <is>
          <t>1. Type http://localhost:3001/sign-in/verify into the address bar and press Enter.
2. Type http://localhost:3001/my-requests into the address bar and press Enter.
3. Choose 'Email', type subject@cmp.local, click 'Send me a code', enter the code the test coordinator gives you for subject@cmp.local (from the test outbox) and click 'Verify'.
4. While signed in, type http://localhost:3001/sign-in into the address bar and press Enter.
5. Type http://localhost:3001/sign-up and press Enter.
6. Type http://localhost:3001 and press Enter.
7. Click 'Sign out'.</t>
        </is>
      </c>
      <c r="L20" s="11" t="inlineStr">
        <is>
          <t>1. A page headed 'Verify it is you' briefly says 'Staff sign in on the console. Taking you there.' and you are then taken to the console (http://localhost:3000). With no sign-in in progress, the console shows its 'Sign in' page. There is no 'page not found'.
2. You are sent to the portal 'Sign in' page; the address contains 'next=' followed by the my-requests path.
3. You land on 'My requests' (the page you asked for), not on 'My consents'.
4. The sign-in form does not stay; you are sent to 'My consents'.
5. The sign-up form does not stay; you are sent to 'My consents'.
6. The portal home goes straight to 'My consents'.
7. You are back on the portal 'Sign in' page.</t>
        </is>
      </c>
      <c r="M20" s="11" t="inlineStr">
        <is>
          <t>The portal sends signed-out visitors to sign-in and back to the page they wanted, never shows sign-in or sign-up to someone already signed in, and forwards the staff code address to the console instead of a missing page.</t>
        </is>
      </c>
      <c r="N20" s="16" t="n"/>
      <c r="O20" s="17" t="n"/>
      <c r="P20" s="16" t="inlineStr">
        <is>
          <t>Not run</t>
        </is>
      </c>
      <c r="Q20" s="16" t="n"/>
      <c r="R20" s="16" t="n"/>
    </row>
    <row r="21">
      <c r="A21" s="10" t="inlineStr">
        <is>
          <t>ACC-20</t>
        </is>
      </c>
      <c r="B21" s="11" t="inlineStr">
        <is>
          <t>Access and accounts</t>
        </is>
      </c>
      <c r="C21" s="11" t="inlineStr">
        <is>
          <t>End a portal session after 30 minutes without activity</t>
        </is>
      </c>
      <c r="D21" s="11" t="inlineStr">
        <is>
          <t>Session idle timeout</t>
        </is>
      </c>
      <c r="E21" s="11" t="inlineStr">
        <is>
          <t>Data principal on portal</t>
        </is>
      </c>
      <c r="F21" s="11" t="inlineStr">
        <is>
          <t>Low</t>
        </is>
      </c>
      <c r="G21" s="11" t="inlineStr">
        <is>
          <t>Negative</t>
        </is>
      </c>
      <c r="H21" s="11" t="inlineStr">
        <is>
          <t>Core</t>
        </is>
      </c>
      <c r="I21" s="11" t="inlineStr">
        <is>
          <t>- A fresh private/incognito browser window with nobody signed in.
- The tester can leave the browser untouched for at least 31 minutes.
- The test coordinator can read the test outbox.</t>
        </is>
      </c>
      <c r="J21" s="11" t="inlineStr">
        <is>
          <t>- Data principal: +91 90000 00001 (Anjali Verma)</t>
        </is>
      </c>
      <c r="K21" s="11" t="inlineStr">
        <is>
          <t>1. Sign in to http://localhost:3001 with 'Mobile' +91 90000 00001 and the code the test coordinator gives you. Open 'My profile' from the account menu (your name at the top right) and note the 'Session expires' time in Identity.
2. Click 'My consents'. Then leave the browser completely untouched (no clicks, no typing, do not switch to this window) for 31 minutes.
3. After 31 minutes, return to the window and, if you are still on 'My consents', click 'My requests'.
4. Sign in again with the mobile and a new code from the test coordinator.</t>
        </is>
      </c>
      <c r="L21" s="11" t="inlineStr">
        <is>
          <t>1. 'My profile' opens. 'Session expires' is about 8 hours after the sign-in time (the absolute limit).
2. Nothing visible happens while you wait.
3. Your data is not shown any more. As soon as you return to the window, or at the latest when you click, you are taken to the portal 'Sign in' page (the address carries 'next='), because the session ended after 30 minutes without activity.
4. You are signed in again and land on the page named in the address ('My consents' or 'My requests'), not on a blank or error page.</t>
        </is>
      </c>
      <c r="M21" s="11" t="inlineStr">
        <is>
          <t>A portal session left unused for more than 30 minutes ends by itself and the next action leads to sign-in, well before the 8-hour absolute limit.</t>
        </is>
      </c>
      <c r="N21" s="16" t="n"/>
      <c r="O21" s="17" t="n"/>
      <c r="P21" s="16" t="inlineStr">
        <is>
          <t>Not run</t>
        </is>
      </c>
      <c r="Q21" s="16" t="n"/>
      <c r="R21" s="16" t="n"/>
    </row>
    <row r="22">
      <c r="A22" s="10" t="inlineStr">
        <is>
          <t>REG-01</t>
        </is>
      </c>
      <c r="B22" s="11" t="inlineStr">
        <is>
          <t>Registry and administration</t>
        </is>
      </c>
      <c r="C22" s="11" t="inlineStr">
        <is>
          <t>Administrator provisions a new staff account</t>
        </is>
      </c>
      <c r="D22" s="11" t="inlineStr">
        <is>
          <t>Users - Provision account</t>
        </is>
      </c>
      <c r="E22" s="11" t="inlineStr">
        <is>
          <t>Administrator (admin@cmp.local)</t>
        </is>
      </c>
      <c r="F22" s="11" t="inlineStr">
        <is>
          <t>High</t>
        </is>
      </c>
      <c r="G22" s="11" t="inlineStr">
        <is>
          <t>Positive</t>
        </is>
      </c>
      <c r="H22" s="11" t="inlineStr">
        <is>
          <t>Core</t>
        </is>
      </c>
      <c r="I22" s="11" t="inlineStr">
        <is>
          <t>- The console is running at http://localhost:3000.
- No account exists yet for uat.dco01@cmp.local.</t>
        </is>
      </c>
      <c r="J22" s="11" t="inlineStr">
        <is>
          <t>- Full name: UAT DCO 01
- Email: uat.dco01@cmp.local
- Role: Data Collection Owner
- Person type: Employee
- Username, Mobile, Organisation id: leave blank</t>
        </is>
      </c>
      <c r="K22" s="11" t="inlineStr">
        <is>
          <t>1. Open http://localhost:3000. On the 'Sign in' page type admin@cmp.local in 'Email or username' and SeedPassw0rd!2026 in 'Password', then click 'Sign in'. On the 'Verify it is you' page, ask the test coordinator for the sign-in code sent to admin@cmp.local (from the test outbox), type it in '6-digit code' and click 'Verify and continue'.
2. In the left-hand sidebar, under 'Your work', click 'Users'.
3. Click 'Provision account'.
4. Type 'UAT DCO 01' in 'Full name' and 'uat.dco01@cmp.local' in 'Email'. In 'Role' choose 'Data Collection Owner'. In 'Person type' choose 'Employee'. Leave the 'Data sources' boxes unticked.
5. Click 'Create account'.
6. In the 'Search' box type uat.dco01@cmp.local and click 'Search'.
7. Look at the 'Action' column for that row.
8. Ask the test coordinator to confirm an invitation email was sent to uat.dco01@cmp.local (from the test outbox).</t>
        </is>
      </c>
      <c r="L22" s="11" t="inlineStr">
        <is>
          <t>1. The Dashboard opens. The top-right corner of the header shows 'System Admin' with the role badge 'Administrator'.
2. The 'Users' page opens with the register of accounts (columns Name, Role, Person type, Status, Registered, Action) and a 'Provision account' button at the top right.
3. A dialog titled 'Provision an account' opens. It says no password is set here and that an email invites the person to choose their own. There is no password field.
4. The fields accept the values. Because the role is Data Collection Owner, a 'Data sources' section is shown (optional).
5. The dialog closes and a green message 'Account created' appears, saying an email is on its way to uat.dco01@cmp.local with a code to set a password and that the account stays pending until they do.
6. The register shows one row: 'UAT DCO 01' (uat.dco01@cmp.local), Role 'Data Collection Owner', Person type 'Employee', Status 'Pending', Registered = today's date.
7. The buttons 'Edit', 'Role', 'Reset MFA', 'Resend invitation' and 'End staff access' are shown.
8. The coordinator confirms an email with the subject beginning 'Set your password for the' that names the role 'Data Collection Owner', contains a link to the console's password page and a numeric code. No password appears in the email.</t>
        </is>
      </c>
      <c r="M22" s="11" t="inlineStr">
        <is>
          <t>The account is created in 'Pending' status with the chosen role, an invitation (link + code, no password) is sent to the address, and the register shows it with a 'Resend invitation' action.</t>
        </is>
      </c>
      <c r="N22" s="16" t="n"/>
      <c r="O22" s="17" t="n"/>
      <c r="P22" s="16" t="inlineStr">
        <is>
          <t>Not run</t>
        </is>
      </c>
      <c r="Q22" s="16" t="n"/>
      <c r="R22" s="16" t="n"/>
    </row>
    <row r="23">
      <c r="A23" s="10" t="inlineStr">
        <is>
          <t>REG-02</t>
        </is>
      </c>
      <c r="B23" s="11" t="inlineStr">
        <is>
          <t>Registry and administration</t>
        </is>
      </c>
      <c r="C23" s="11" t="inlineStr">
        <is>
          <t>New member of staff sets a password from the invitation, which activates the account</t>
        </is>
      </c>
      <c r="D23" s="11" t="inlineStr">
        <is>
          <t>Staff invitation - Set your password</t>
        </is>
      </c>
      <c r="E23" s="11" t="inlineStr">
        <is>
          <t>New staff member (UAT DCO 01), then Administrator</t>
        </is>
      </c>
      <c r="F23" s="11" t="inlineStr">
        <is>
          <t>High</t>
        </is>
      </c>
      <c r="G23" s="11" t="inlineStr">
        <is>
          <t>Positive</t>
        </is>
      </c>
      <c r="H23" s="11" t="inlineStr">
        <is>
          <t>Core</t>
        </is>
      </c>
      <c r="I23" s="11" t="inlineStr">
        <is>
          <t>- REG-01 has been completed: UAT DCO 01 (uat.dco01@cmp.local) exists in 'Pending' status.
- The invitation was sent less than 48 hours ago (otherwise use 'Resend invitation' first).
- Tester is signed out of the console.</t>
        </is>
      </c>
      <c r="J23" s="11" t="inlineStr">
        <is>
          <t>- Invitation link and code: from the test coordinator (test outbox, uat.dco01@cmp.local)
- New password: UatPassw0rd!2026
- Mismatched confirmation: UatPassw0rd!2027</t>
        </is>
      </c>
      <c r="K23" s="11" t="inlineStr">
        <is>
          <t>1. Ask the test coordinator for the invitation sent to uat.dco01@cmp.local (from the test outbox). Open the link it contains in the browser.
2. Type the code from the invitation in 'Code', 'UatPassw0rd!2026' in 'New password' and 'UatPassw0rd!2027' in 'Confirm new password'. Click 'Set the new password'.
3. Correct 'Confirm new password' to 'UatPassw0rd!2026' and click 'Set the new password'.
4. Open http://localhost:3000. On the 'Sign in' page type uat.dco01@cmp.local in 'Email or username' and UatPassw0rd!2026 in 'Password', then click 'Sign in'. On the 'Verify it is you' page, ask the test coordinator for the sign-in code sent to uat.dco01@cmp.local (from the test outbox), type it in '6-digit code' and click 'Verify and continue'.
5. Look at the left-hand sidebar.
6. Click 'Sign out' at the bottom of the left-hand sidebar.
7. Open http://localhost:3000. On the 'Sign in' page type admin@cmp.local in 'Email or username' and SeedPassw0rd!2026 in 'Password', then click 'Sign in'. On the 'Verify it is you' page, ask the test coordinator for the sign-in code sent to admin@cmp.local (from the test outbox), type it in '6-digit code' and click 'Verify and continue'.
8. Click 'Users', search for uat.dco01@cmp.local and click 'Search'.</t>
        </is>
      </c>
      <c r="L23" s="11" t="inlineStr">
        <is>
          <t>1. A page titled 'Set your password' opens, saying 'Enter the code sent to uat.dco01@cmp.local and choose a password.' It shows the fields 'Code', 'New password' and 'Confirm new password'.
2. The password is not set. The message 'The two passwords do not match' appears under 'Confirm new password'.
3. A green panel 'Password changed' appears ('Every other session has been signed out. Taking you to sign in…') and after a few seconds the 'Sign in' page opens.
4. The Dashboard opens. The top-right corner of the header shows 'UAT DCO 01' with the role badge 'Data Collection Owner'.
5. The sidebar shows the Data Collection Owner's pages (for example 'My projects', 'Collection sites', 'Data sources', 'Delegations') and does NOT show 'Users'.
6. You are returned to the 'Sign in' page.
7. The Dashboard opens. The top-right corner of the header shows 'System Admin' with the role badge 'Administrator'.
8. UAT DCO 01 now shows Status 'Active'. The 'Resend invitation' button is no longer offered for that row.</t>
        </is>
      </c>
      <c r="M23" s="11" t="inlineStr">
        <is>
          <t>Setting a password with the invitation code activates the account (Pending -&gt; Active), the person can sign in with password plus a one-time code, and mismatched passwords are refused.</t>
        </is>
      </c>
      <c r="N23" s="16" t="n"/>
      <c r="O23" s="17" t="n"/>
      <c r="P23" s="16" t="inlineStr">
        <is>
          <t>Not run</t>
        </is>
      </c>
      <c r="Q23" s="16" t="n"/>
      <c r="R23" s="16" t="n"/>
    </row>
    <row r="24">
      <c r="A24" s="10" t="inlineStr">
        <is>
          <t>REG-03</t>
        </is>
      </c>
      <c r="B24" s="11" t="inlineStr">
        <is>
          <t>Registry and administration</t>
        </is>
      </c>
      <c r="C24" s="11" t="inlineStr">
        <is>
          <t>Provisioning refuses a duplicate or incomplete account; invitation can be resent</t>
        </is>
      </c>
      <c r="D24" s="11" t="inlineStr">
        <is>
          <t>Users - Provision account validation</t>
        </is>
      </c>
      <c r="E24" s="11" t="inlineStr">
        <is>
          <t>Administrator (admin@cmp.local)</t>
        </is>
      </c>
      <c r="F24" s="11" t="inlineStr">
        <is>
          <t>Medium</t>
        </is>
      </c>
      <c r="G24" s="11" t="inlineStr">
        <is>
          <t>Negative</t>
        </is>
      </c>
      <c r="H24" s="11" t="inlineStr">
        <is>
          <t>Core</t>
        </is>
      </c>
      <c r="I24" s="11" t="inlineStr">
        <is>
          <t>- Seeded account dco@cmp.local exists.
- Tester is signed in as admin@cmp.local.</t>
        </is>
      </c>
      <c r="J24" s="11" t="inlineStr">
        <is>
          <t>- Duplicate email: dco@cmp.local
- Bad email: uat.dco02-at-cmp.local
- Second new account: UAT DCO 02 / uat.dco02@cmp.local</t>
        </is>
      </c>
      <c r="K24" s="11" t="inlineStr">
        <is>
          <t>1. Click 'Users', then 'Provision account'. Leave every field empty and click 'Create account'.
2. Type 'UAT DCO 02' in 'Full name' and 'uat.dco02-at-cmp.local' in 'Email'. Click 'Create account'.
3. Change 'Email' to dco@cmp.local (an address that already has an account) and click 'Create account'.
4. Change 'Email' to uat.dco02@cmp.local, keep role 'Data Collection Owner' and click 'Create account'.
5. On the UAT DCO 02 row click 'Resend invitation'.
6. Ask the test coordinator to confirm (from the test outbox) that uat.dco02@cmp.local received two invitation emails.</t>
        </is>
      </c>
      <c r="L24" s="11" t="inlineStr">
        <is>
          <t>1. Nothing is created. Messages appear under the fields, including 'A full name is required' under 'Full name' and 'An email address is required' under 'Email'.
2. Nothing is created. 'That does not look like an email address' appears under 'Email'.
3. Nothing is created. An error at the top of the dialog reads 'An account with that email, username or organisation id exists'.
4. 'Account created' appears and UAT DCO 02 is listed with Status 'Pending'.
5. A green message 'Invitation sent' appears, saying a new invitation is on its way to uat.dco02@cmp.local.
6. The coordinator confirms two invitation emails for uat.dco02@cmp.local, the second carrying a new code.</t>
        </is>
      </c>
      <c r="M24" s="11" t="inlineStr">
        <is>
          <t>Missing/invalid fields and an already-registered email are refused with clear messages and no account is created; a pending account's invitation can be resent.</t>
        </is>
      </c>
      <c r="N24" s="16" t="n"/>
      <c r="O24" s="17" t="n"/>
      <c r="P24" s="16" t="inlineStr">
        <is>
          <t>Not run</t>
        </is>
      </c>
      <c r="Q24" s="16" t="n"/>
      <c r="R24" s="16" t="n"/>
    </row>
    <row r="25">
      <c r="A25" s="10" t="inlineStr">
        <is>
          <t>REG-04</t>
        </is>
      </c>
      <c r="B25" s="11" t="inlineStr">
        <is>
          <t>Registry and administration</t>
        </is>
      </c>
      <c r="C25" s="11" t="inlineStr">
        <is>
          <t>Roles that may not administer users cannot provision or manage accounts</t>
        </is>
      </c>
      <c r="D25" s="11" t="inlineStr">
        <is>
          <t>Users - access by role; Message templates - access by role</t>
        </is>
      </c>
      <c r="E25" s="11" t="inlineStr">
        <is>
          <t>DPO, Data Collection Owner, R&amp;D User</t>
        </is>
      </c>
      <c r="F25" s="11" t="inlineStr">
        <is>
          <t>High</t>
        </is>
      </c>
      <c r="G25" s="11" t="inlineStr">
        <is>
          <t>Negative</t>
        </is>
      </c>
      <c r="H25" s="11" t="inlineStr">
        <is>
          <t>Core</t>
        </is>
      </c>
      <c r="I25" s="11" t="inlineStr">
        <is>
          <t>- Seeded accounts dpo@cmp.local, dco@cmp.local and rnd@cmp.local are active.</t>
        </is>
      </c>
      <c r="J25" s="11" t="inlineStr">
        <is>
          <t>- Direct addresses: http://localhost:3000/users and http://localhost:3000/messages</t>
        </is>
      </c>
      <c r="K25" s="11" t="inlineStr">
        <is>
          <t>1. 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
2. Click 'Users' in the sidebar (under 'Oversight').
3. Click 'Sign out' at the bottom of the left-hand sidebar.
4. Open http://localhost:3000. On the 'Sign in' page type dco@cmp.local in 'Email or username' and SeedPassw0rd!2026 in 'Password', then click 'Sign in'. On the 'Verify it is you' page, ask the test coordinator for the sign-in code sent to dco@cmp.local (from the test outbox), type it in '6-digit code' and click 'Verify and continue'.
5. Look through the left-hand sidebar.
6. Type http://localhost:3000/users in the browser address bar and press Enter.
7. Type http://localhost:3000/messages in the address bar and press Enter.
8. Click 'Sign out' at the bottom of the left-hand sidebar.
9. Open http://localhost:3000. On the 'Sign in' page type rnd@cmp.local in 'Email or username' and SeedPassw0rd!2026 in 'Password', then click 'Sign in'. On the 'Verify it is you' page, ask the test coordinator for the sign-in code sent to rnd@cmp.local (from the test outbox), type it in '6-digit code' and click 'Verify and continue'.
10. Look through the sidebar, then open http://localhost:3000/users directly.</t>
        </is>
      </c>
      <c r="L25" s="11" t="inlineStr">
        <is>
          <t>1. The Dashboard opens. The top-right corner of the header shows 'Priya Menon' with the role badge 'DPO'.
2. The 'Users' register opens read-only: a blue note says 'You can read the register. Provisioning, role changes and deactivation are restricted to administrators.' There is NO 'Provision account' button, and the 'Action' column of every row is empty (no 'Edit', 'Role', 'Reset MFA', 'Resend invitation' or 'End staff access').
3. You are returned to the 'Sign in' page.
4. The Dashboard opens. The top-right corner of the header shows 'Arun Shetty' with the role badge 'Data Collection Owner'.
5. There is no 'Users' entry and no 'Message templates' entry.
6. No register is shown. A panel titled 'Not part of your account' says the section belongs to a different role, with a 'Back to your dashboard' button.
7. The same 'Not part of your account' panel is shown; no message templates are visible.
8. You are returned to the 'Sign in' page.
9. The Dashboard opens. The top-right corner of the header shows 'Kavya Rao' with the role badge 'R&amp;D User'.
10. No 'Users' entry in the sidebar; the address shows 'Not part of your account'.</t>
        </is>
      </c>
      <c r="M25" s="11" t="inlineStr">
        <is>
          <t>Only the Administrator can provision or change accounts; the DPO sees a read-only register; DCO and R&amp;D User have no Users or Message templates page and are turned away if they type the address.</t>
        </is>
      </c>
      <c r="N25" s="16" t="n"/>
      <c r="O25" s="17" t="n"/>
      <c r="P25" s="16" t="inlineStr">
        <is>
          <t>Not run</t>
        </is>
      </c>
      <c r="Q25" s="16" t="n"/>
      <c r="R25" s="16" t="n"/>
    </row>
    <row r="26">
      <c r="A26" s="10" t="inlineStr">
        <is>
          <t>REG-05</t>
        </is>
      </c>
      <c r="B26" s="11" t="inlineStr">
        <is>
          <t>Registry and administration</t>
        </is>
      </c>
      <c r="C26" s="11" t="inlineStr">
        <is>
          <t>DPO drafts a purpose, edits the draft and activates it</t>
        </is>
      </c>
      <c r="D26" s="11" t="inlineStr">
        <is>
          <t>Purposes - New purpose / Activate</t>
        </is>
      </c>
      <c r="E26" s="11" t="inlineStr">
        <is>
          <t>DPO (dpo@cmp.local)</t>
        </is>
      </c>
      <c r="F26" s="11" t="inlineStr">
        <is>
          <t>High</t>
        </is>
      </c>
      <c r="G26" s="11" t="inlineStr">
        <is>
          <t>Positive</t>
        </is>
      </c>
      <c r="H26" s="11" t="inlineStr">
        <is>
          <t>Core</t>
        </is>
      </c>
      <c r="I26" s="11" t="inlineStr">
        <is>
          <t>- No purpose with code PUR-UAT-01 exists.</t>
        </is>
      </c>
      <c r="J26" s="11" t="inlineStr">
        <is>
          <t>- Code: PUR-UAT-01
- Name: UAT Purpose 01
- Description: Testing the purpose registry during UAT.
- What this allows: Store the recordings for UAT checks only.
- Data collected: Name, Email address
- Lawful basis: Consent (s.6)
- Retention (days): 365; Retention basis: Business policy; Erasure trigger: Withdrawal
- Consent validity (days): blank; When consent lapses: Quarantine
- 'Transfer outside India is permitted for this purpose': ticked; 'May be used for data of children': unticked</t>
        </is>
      </c>
      <c r="K26" s="11" t="inlineStr">
        <is>
          <t>1. 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
2. In the sidebar under 'Governance' click 'Purposes'.
3. Click 'New purpose'.
4. Fill in the form with the test data (tick 'Name' and 'Email address' under 'Data collected'; choose 'Consent (s.6)' as 'Lawful basis'; tick 'Transfer outside India is permitted for this purpose'; leave 'May be used for data of children' unticked). Click 'Create purpose'.
5. Type PUR-UAT-01 in the 'Search' box (the list updates as you type; Enter searches at once).
6. Click 'Edit'. In the 'Edit purpose' dialog, change 'Name' to 'UAT Purpose 01 (edited)'. Note that 'Code' cannot be changed. Click 'Save changes'.
7. Click 'Activate' on the row.
8. Click the purpose name to open it.</t>
        </is>
      </c>
      <c r="L26" s="11" t="inlineStr">
        <is>
          <t>1. The Dashboard opens. The top-right corner of the header shows 'Priya Menon' with the role badge 'DPO'.
2. The 'Purposes' page opens with the list (columns Purpose, Status, Lawful basis, Data collected, Retention, Actions) and a 'New purpose' button.
3. A dialog titled 'New purpose' opens with fields Code, Name, Description, What this allows, Data collected (tick boxes), Lawful basis, Retention (days), Retention basis, Erasure trigger, Consent validity (days), When consent lapses, and two tick boxes: 'Transfer outside India is permitted for this purpose' and 'May be used for data of children'.
4. The dialog closes and 'Purpose created' appears ('It must be activated before a notice can use it.').
5. The row 'UAT Purpose 01' (code PUR-UAT-01) shows Status 'Draft', Lawful basis 'Consent s.6', Data collected 'Name, Email', Retention '365 days', and the buttons 'Edit' and 'Activate'.
6. 'Purpose updated' appears and the row now reads 'UAT Purpose 01 (edited)'.
7. 'Purpose activated' appears ('Notices can now use it.'). Status changes to 'Active'; 'Edit' and 'Activate' disappear and a 'Retire' button is shown.
8. The purpose page shows 'What was promised' (Description, Uses, Data categories Name and Email) and 'Terms' (Code PUR-UAT-01, Lawful basis, Retention). 'Notices using this purpose' shows 'Not attached to any notice'.</t>
        </is>
      </c>
      <c r="M26" s="11" t="inlineStr">
        <is>
          <t>A purpose carrying lawful basis, itemised data categories, retention and the cross-border / minors flags is saved as Draft, can be edited while Draft, and becomes Active (no longer editable) on activation.</t>
        </is>
      </c>
      <c r="N26" s="16" t="n"/>
      <c r="O26" s="17" t="n"/>
      <c r="P26" s="16" t="inlineStr">
        <is>
          <t>Not run</t>
        </is>
      </c>
      <c r="Q26" s="16" t="n"/>
      <c r="R26" s="16" t="n"/>
    </row>
    <row r="27">
      <c r="A27" s="10" t="inlineStr">
        <is>
          <t>REG-06</t>
        </is>
      </c>
      <c r="B27" s="11" t="inlineStr">
        <is>
          <t>Registry and administration</t>
        </is>
      </c>
      <c r="C27" s="11" t="inlineStr">
        <is>
          <t>Purpose form refuses incomplete or inconsistent purposes</t>
        </is>
      </c>
      <c r="D27" s="11" t="inlineStr">
        <is>
          <t>Purposes - New purpose validation</t>
        </is>
      </c>
      <c r="E27" s="11" t="inlineStr">
        <is>
          <t>DPO (dpo@cmp.local)</t>
        </is>
      </c>
      <c r="F27" s="11" t="inlineStr">
        <is>
          <t>Medium</t>
        </is>
      </c>
      <c r="G27" s="11" t="inlineStr">
        <is>
          <t>Negative</t>
        </is>
      </c>
      <c r="H27" s="11" t="inlineStr">
        <is>
          <t>Core</t>
        </is>
      </c>
      <c r="I27" s="11" t="inlineStr">
        <is>
          <t>- Tester is signed in as dpo@cmp.local.
- Seeded purpose PUR-GAIT-TRAIN exists.</t>
        </is>
      </c>
      <c r="J27" s="11" t="inlineStr">
        <is>
          <t>- Code: PUR-UAT-02
- Name: UAT Purpose 02
- Duplicate code: PUR-GAIT-TRAIN</t>
        </is>
      </c>
      <c r="K27" s="11" t="inlineStr">
        <is>
          <t>1. Open 'Purposes' and click 'New purpose'. Without filling anything, click 'Create purpose'.
2. Fill Code 'PUR-UAT-02', Name 'UAT Purpose 02', a Description and 'What this allows', tick 'Name' under 'Data collected'. Set 'Lawful basis' to 'Certain Legitimate Uses (s.7)'.
3. Leave 'Section 7 clause' on 'Choose a clause…' and click 'Create purpose'.
4. Set 'Retention (days)' to 0 and click 'Create purpose'.
5. Set 'Retention (days)' back to 365, choose 's.7(a) - voluntarily provided' as 'Section 7 clause', and change 'Code' to PUR-GAIT-TRAIN (already used). Click 'Create purpose'.
6. Click 'Cancel'.</t>
        </is>
      </c>
      <c r="L27" s="11" t="inlineStr">
        <is>
          <t>1. Nothing is saved. Messages appear, including 'A code is required', 'A name is required', 'Describe what this purpose is', 'State what this purpose lets you actually do' and 'Rule 3(b)(i): itemise at least one category'.
2. A new field 'Section 7 clause' appears, showing 'Choose a clause…'.
3. Nothing is saved. 'An s.7 purpose must name the clause it relies on' appears under 'Section 7 clause'.
4. Nothing is saved; 'At least one day' appears under 'Retention (days)'.
5. Nothing is saved. An error at the top of the dialog reads 'That purpose code already exists'.
6. The dialog closes; no purpose PUR-UAT-02 appears in the list.</t>
        </is>
      </c>
      <c r="M27" s="11" t="inlineStr">
        <is>
          <t>Required fields, the s.7 clause rule, minimum retention and code uniqueness are all enforced; nothing is saved while any of them fails.</t>
        </is>
      </c>
      <c r="N27" s="16" t="n"/>
      <c r="O27" s="17" t="n"/>
      <c r="P27" s="16" t="inlineStr">
        <is>
          <t>Not run</t>
        </is>
      </c>
      <c r="Q27" s="16" t="n"/>
      <c r="R27" s="16" t="n"/>
    </row>
    <row r="28">
      <c r="A28" s="10" t="inlineStr">
        <is>
          <t>REG-07</t>
        </is>
      </c>
      <c r="B28" s="11" t="inlineStr">
        <is>
          <t>Registry and administration</t>
        </is>
      </c>
      <c r="C28" s="11" t="inlineStr">
        <is>
          <t>DPO retires a purpose that is no longer in use</t>
        </is>
      </c>
      <c r="D28" s="11" t="inlineStr">
        <is>
          <t>Purposes - Retire</t>
        </is>
      </c>
      <c r="E28" s="11" t="inlineStr">
        <is>
          <t>DPO (dpo@cmp.local)</t>
        </is>
      </c>
      <c r="F28" s="11" t="inlineStr">
        <is>
          <t>High</t>
        </is>
      </c>
      <c r="G28" s="11" t="inlineStr">
        <is>
          <t>Positive</t>
        </is>
      </c>
      <c r="H28" s="11" t="inlineStr">
        <is>
          <t>Core</t>
        </is>
      </c>
      <c r="I28" s="11" t="inlineStr">
        <is>
          <t>- REG-05 completed: 'UAT Purpose 01 (edited)' (PUR-UAT-01) is Active and not attached to any notice.
- Tester is signed in as dpo@cmp.local.</t>
        </is>
      </c>
      <c r="J28" s="11" t="inlineStr">
        <is>
          <t>- Purpose: PUR-UAT-01</t>
        </is>
      </c>
      <c r="K28" s="11" t="inlineStr">
        <is>
          <t>1. Open 'Purposes', search PUR-UAT-01 and click 'Retire' on its row.
2. Click 'Cancel'.
3. Click 'Retire' again, then 'Retire purpose'.
4. Set the 'Status' filter to 'Retired'.
5. Set the 'Status' filter to 'Active'.</t>
        </is>
      </c>
      <c r="L28" s="11" t="inlineStr">
        <is>
          <t>1. A confirmation dialog titled 'Retire UAT Purpose 01 (edited)?' opens, explaining it can no longer be attached to a notice. It has 'Cancel' and 'Retire purpose' buttons.
2. The dialog closes; the purpose is still 'Active'.
3. 'Purpose retired' appears. The row's Status is now 'Retired' and no action buttons remain on it.
4. The list shows 'UAT Purpose 01 (edited)' among the retired purposes.
5. PUR-UAT-01 is not in the active list (it can no longer be offered on a new notice).</t>
        </is>
      </c>
      <c r="M28" s="11" t="inlineStr">
        <is>
          <t>An active purpose that no published notice uses can be retired after confirmation, and then shows as 'Retired'.</t>
        </is>
      </c>
      <c r="N28" s="16" t="n"/>
      <c r="O28" s="17" t="n"/>
      <c r="P28" s="16" t="inlineStr">
        <is>
          <t>Not run</t>
        </is>
      </c>
      <c r="Q28" s="16" t="n"/>
      <c r="R28" s="16" t="n"/>
    </row>
    <row r="29">
      <c r="A29" s="10" t="inlineStr">
        <is>
          <t>REG-08</t>
        </is>
      </c>
      <c r="B29" s="11" t="inlineStr">
        <is>
          <t>Registry and administration</t>
        </is>
      </c>
      <c r="C29" s="11" t="inlineStr">
        <is>
          <t>A purpose used by a published notice cannot be retired</t>
        </is>
      </c>
      <c r="D29" s="11" t="inlineStr">
        <is>
          <t>Purposes - Retire (blocked)</t>
        </is>
      </c>
      <c r="E29" s="11" t="inlineStr">
        <is>
          <t>DPO (dpo@cmp.local)</t>
        </is>
      </c>
      <c r="F29" s="11" t="inlineStr">
        <is>
          <t>High</t>
        </is>
      </c>
      <c r="G29" s="11" t="inlineStr">
        <is>
          <t>Negative</t>
        </is>
      </c>
      <c r="H29" s="11" t="inlineStr">
        <is>
          <t>Core</t>
        </is>
      </c>
      <c r="I29" s="11" t="inlineStr">
        <is>
          <t>- Seeded purpose 'Gait model training' (PUR-GAIT-TRAIN) is attached to the published notice NTC-GAIT-2026.
- Tester is signed in as dpo@cmp.local.</t>
        </is>
      </c>
      <c r="J29" s="11" t="inlineStr">
        <is>
          <t>- Purpose: Gait model training (PUR-GAIT-TRAIN)</t>
        </is>
      </c>
      <c r="K29" s="11" t="inlineStr">
        <is>
          <t>1. Open 'Purposes' and click the name 'Gait model training'.
2. Go back to 'Purposes', find 'Gait model training' and click 'Retire'.
3. Click 'Retire purpose'.
4. Close the dialog (Cancel) and look at the row.</t>
        </is>
      </c>
      <c r="L29" s="11" t="inlineStr">
        <is>
          <t>1. The purpose page opens. A blue note says 'This purpose is attached to a published notice, so it cannot be retired.' The card 'Notices using this purpose' lists NTC-GAIT-2026 with status Published.
2. The confirmation dialog 'Retire Gait model training?' opens, warning that the server will refuse if a published notice references it.
3. A red message 'Could not retire' appears: 'This purpose is attached to a published notice and cannot be retired'.
4. 'Gait model training' is still 'Active'.</t>
        </is>
      </c>
      <c r="M29" s="11" t="inlineStr">
        <is>
          <t>The system refuses to retire a purpose on a published notice, explains why, and leaves the purpose Active.</t>
        </is>
      </c>
      <c r="N29" s="16" t="n"/>
      <c r="O29" s="17" t="n"/>
      <c r="P29" s="16" t="inlineStr">
        <is>
          <t>Not run</t>
        </is>
      </c>
      <c r="Q29" s="16" t="n"/>
      <c r="R29" s="16" t="n"/>
    </row>
    <row r="30">
      <c r="A30" s="10" t="inlineStr">
        <is>
          <t>REG-09</t>
        </is>
      </c>
      <c r="B30" s="11" t="inlineStr">
        <is>
          <t>Registry and administration</t>
        </is>
      </c>
      <c r="C30" s="11" t="inlineStr">
        <is>
          <t>Register a third-party processor abroad and an in-house team</t>
        </is>
      </c>
      <c r="D30" s="11" t="inlineStr">
        <is>
          <t>Processors - Register processor (with Country)</t>
        </is>
      </c>
      <c r="E30" s="11" t="inlineStr">
        <is>
          <t>DPO (dpo@cmp.local)</t>
        </is>
      </c>
      <c r="F30" s="11" t="inlineStr">
        <is>
          <t>High</t>
        </is>
      </c>
      <c r="G30" s="11" t="inlineStr">
        <is>
          <t>Positive</t>
        </is>
      </c>
      <c r="H30" s="11" t="inlineStr">
        <is>
          <t>S2-04</t>
        </is>
      </c>
      <c r="I30" s="11" t="inlineStr">
        <is>
          <t>- No processors named 'UAT Lab 01' or 'UAT In-house Team 01' exist.</t>
        </is>
      </c>
      <c r="J30" s="11" t="inlineStr">
        <is>
          <t>- Processor A - Registered legal name: UAT Lab 01; Type: Lab; Contract reference: CTR-UAT-001; Country: sg (lower case on purpose); Security confirmed on: 2026-09-01; We collect this ourselves: unticked
- Processor B - Registered legal name: UAT In-house Team 01; Type: Other; Contract reference: in-house - UAT; Country: IN; Security confirmed on: 2026-09-01; We collect this ourselves: ticked</t>
        </is>
      </c>
      <c r="K30" s="11" t="inlineStr">
        <is>
          <t>1. 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
2. In the sidebar under 'Registry' click 'Processors'.
3. Click 'Register processor'.
4. Enter Processor A's data (type 'sg' in 'Country', leave 'We collect this ourselves' unticked) and click 'Register processor'.
5. Type 'UAT Lab 01' in the 'Search' box (the list updates as you type).
6. Click 'Register processor' again, enter Processor B's data and TICK 'We collect this ourselves'. Click 'Register processor'.
7. Search 'UAT In-house Team 01'.</t>
        </is>
      </c>
      <c r="L30" s="11" t="inlineStr">
        <is>
          <t>1. The Dashboard opens. The top-right corner of the header shows 'Priya Menon' with the role badge 'DPO'.
2. The 'Processors' page opens with columns Legal name, Type, Country, Contract, Security confirmed, Status, Action. Seeded SEED, SRIB and Pune Motion Lab Pvt Ltd show Country 'IN'. A 'Register processor' button is at the top right.
3. A dialog 'Register a processor' opens with 'Registered legal name', 'Type', 'Contract reference', 'Country' (hint: two-letter code, IN for India), 'Security confirmed on' and a tick box 'We collect this ourselves'.
4. 'Processor registered' appears: 'Projects naming it go to the DCO Admin to be assigned once approved.'
5. The row shows Type 'Lab', Country 'SG' (converted to capitals), Contract 'CTR-UAT-001', Security confirmed 1 Sep 2026 (date format may vary), Status 'Active', and buttons 'Respondents', 'Edit', 'Suspend'.
6. 'Processor registered' appears, this time saying 'Projects naming it come back to their author to assign sources and an RCO.'
7. The row shows Type 'Other', Country 'IN', Status 'Active'.</t>
        </is>
      </c>
      <c r="M30" s="11" t="inlineStr">
        <is>
          <t>Both processors are registered with legal name, type, contract, security date and country; the country is stored in capitals; the confirmation message reflects whether it is in-house or a third party.</t>
        </is>
      </c>
      <c r="N30" s="16" t="n"/>
      <c r="O30" s="17" t="n"/>
      <c r="P30" s="16" t="inlineStr">
        <is>
          <t>Not run</t>
        </is>
      </c>
      <c r="Q30" s="16" t="n"/>
      <c r="R30" s="16" t="n"/>
    </row>
    <row r="31">
      <c r="A31" s="10" t="inlineStr">
        <is>
          <t>REG-10</t>
        </is>
      </c>
      <c r="B31" s="11" t="inlineStr">
        <is>
          <t>Registry and administration</t>
        </is>
      </c>
      <c r="C31" s="11" t="inlineStr">
        <is>
          <t>Processor with no country shows 'not recorded'; edit sets the country; then suspend it</t>
        </is>
      </c>
      <c r="D31" s="11" t="inlineStr">
        <is>
          <t>Processors - Country / Edit / Suspend</t>
        </is>
      </c>
      <c r="E31" s="11" t="inlineStr">
        <is>
          <t>DPO (dpo@cmp.local)</t>
        </is>
      </c>
      <c r="F31" s="11" t="inlineStr">
        <is>
          <t>High</t>
        </is>
      </c>
      <c r="G31" s="11" t="inlineStr">
        <is>
          <t>Positive</t>
        </is>
      </c>
      <c r="H31" s="11" t="inlineStr">
        <is>
          <t>S2-04</t>
        </is>
      </c>
      <c r="I31" s="11" t="inlineStr">
        <is>
          <t>- Tester is signed in as dpo@cmp.local.
- No processor named 'UAT Lab 02' exists.</t>
        </is>
      </c>
      <c r="J31" s="11" t="inlineStr">
        <is>
          <t>- Registered legal name: UAT Lab 02; Type: Tool; Contract reference: CTR-UAT-002; Country: (blank); Security confirmed on: 2026-09-10
- Country to set on edit: DE</t>
        </is>
      </c>
      <c r="K31" s="11" t="inlineStr">
        <is>
          <t>1. On 'Processors' click 'Register processor', enter the test data leaving 'Country' empty, and click 'Register processor'.
2. Search 'UAT Lab 02'.
3. Click 'Edit' on the UAT Lab 02 row.
4. Type 'DE' in 'Country' and click 'Save changes'.
5. Look at the UAT Lab 02 row.
6. Click 'Suspend' on the UAT Lab 02 row.
7. Set the 'Status' filter to 'Suspended'.</t>
        </is>
      </c>
      <c r="L31" s="11" t="inlineStr">
        <is>
          <t>1. 'Processor registered' appears.
2. The Country column shows 'not recorded' (in warning colour). Hovering over it explains that an export to this processor is refused until its country is recorded.
3. A dialog 'Edit processor' opens with the saved values. 'Type' cannot be changed.
4. 'Processor updated' appears and the dialog closes.
5. Country now shows 'DE' instead of 'not recorded'.
6. 'Processor suspended' appears: 'UAT Lab 02 can no longer be assigned to a site.' Status changes to 'Suspended' and the 'Suspend' button disappears from the row.
7. UAT Lab 02 is listed; the active processors are not.</t>
        </is>
      </c>
      <c r="M31" s="11" t="inlineStr">
        <is>
          <t>A processor registered without a country is flagged 'not recorded'; editing records the country and the list shows it; suspending changes the status to 'Suspended' (processors are never deleted).</t>
        </is>
      </c>
      <c r="N31" s="16" t="n"/>
      <c r="O31" s="17" t="n"/>
      <c r="P31" s="16" t="inlineStr">
        <is>
          <t>Not run</t>
        </is>
      </c>
      <c r="Q31" s="16" t="n"/>
      <c r="R31" s="16" t="n"/>
    </row>
    <row r="32">
      <c r="A32" s="10" t="inlineStr">
        <is>
          <t>REG-11</t>
        </is>
      </c>
      <c r="B32" s="11" t="inlineStr">
        <is>
          <t>Registry and administration</t>
        </is>
      </c>
      <c r="C32" s="11" t="inlineStr">
        <is>
          <t>Processor form refuses a future security date and an invalid country code</t>
        </is>
      </c>
      <c r="D32" s="11" t="inlineStr">
        <is>
          <t>Processors - Register processor validation</t>
        </is>
      </c>
      <c r="E32" s="11" t="inlineStr">
        <is>
          <t>Administrator (admin@cmp.local)</t>
        </is>
      </c>
      <c r="F32" s="11" t="inlineStr">
        <is>
          <t>High</t>
        </is>
      </c>
      <c r="G32" s="11" t="inlineStr">
        <is>
          <t>Negative</t>
        </is>
      </c>
      <c r="H32" s="11" t="inlineStr">
        <is>
          <t>S2-04</t>
        </is>
      </c>
      <c r="I32" s="11" t="inlineStr">
        <is>
          <t>- Tester is signed in as admin@cmp.local (the Administrator may also keep the processor register).</t>
        </is>
      </c>
      <c r="J32" s="11" t="inlineStr">
        <is>
          <t>- Registered legal name: UAT Lab 03; Type: Lab; Contract reference: CTR-UAT-003
- Future date: any date after today, e.g. 2026-12-31
- Invalid country codes: 1N, I</t>
        </is>
      </c>
      <c r="K32" s="11" t="inlineStr">
        <is>
          <t>1. Open http://localhost:3000. On the 'Sign in' page type admin@cmp.local in 'Email or username' and SeedPassw0rd!2026 in 'Password', then click 'Sign in'. On the 'Verify it is you' page, ask the test coordinator for the sign-in code sent to admin@cmp.local (from the test outbox), type it in '6-digit code' and click 'Verify and continue'.
2. Click 'Processors', then 'Register processor'. Leave everything blank and click 'Register processor'.
3. Fill 'Registered legal name' UAT Lab 03 and 'Contract reference' CTR-UAT-003. In 'Security confirmed on' pick a future date (e.g. 31 Dec 2026). Click 'Register processor'.
4. Change 'Security confirmed on' to today's date. Type '1N' in 'Country' and click 'Register processor'.
5. Change 'Country' to 'I' (one letter) and click 'Register processor'.
6. Click 'Cancel' and search 'UAT Lab 03'.</t>
        </is>
      </c>
      <c r="L32" s="11" t="inlineStr">
        <is>
          <t>1. The Dashboard opens. The top-right corner of the header shows 'System Admin' with the role badge 'Administrator'.
2. Nothing is saved. 'The registered legal name is required' and 'A contract reference is required' appear under their fields, and 'The security confirmation date has to be a date' appears under 'Security confirmed on'.
3. Nothing is saved. 'The security confirmation date cannot be in the future' appears under 'Security confirmed on'.
4. Nothing is saved. 'Two letters: the ISO country code, e.g. IN' appears under 'Country'.
5. The same message 'Two letters: the ISO country code, e.g. IN' appears; nothing is saved. (Typing a third letter is not possible - the field accepts at most two characters.)
6. No processor named UAT Lab 03 exists.</t>
        </is>
      </c>
      <c r="M32" s="11" t="inlineStr">
        <is>
          <t>A security confirmation dated in the future, a malformed country code and missing required fields are each refused with a clear message, and no processor is saved.</t>
        </is>
      </c>
      <c r="N32" s="16" t="n"/>
      <c r="O32" s="17" t="n"/>
      <c r="P32" s="16" t="inlineStr">
        <is>
          <t>Not run</t>
        </is>
      </c>
      <c r="Q32" s="16" t="n"/>
      <c r="R32" s="16" t="n"/>
    </row>
    <row r="33">
      <c r="A33" s="10" t="inlineStr">
        <is>
          <t>REG-12</t>
        </is>
      </c>
      <c r="B33" s="11" t="inlineStr">
        <is>
          <t>Registry and administration</t>
        </is>
      </c>
      <c r="C33" s="11" t="inlineStr">
        <is>
          <t>Name the respondents who answer rights tickets for a processor</t>
        </is>
      </c>
      <c r="D33" s="11" t="inlineStr">
        <is>
          <t>Processors - Respondents</t>
        </is>
      </c>
      <c r="E33" s="11" t="inlineStr">
        <is>
          <t>DPO (dpo@cmp.local); read-only check as R&amp;D User</t>
        </is>
      </c>
      <c r="F33" s="11" t="inlineStr">
        <is>
          <t>Medium</t>
        </is>
      </c>
      <c r="G33" s="11" t="inlineStr">
        <is>
          <t>Positive</t>
        </is>
      </c>
      <c r="H33" s="11" t="inlineStr">
        <is>
          <t>Core</t>
        </is>
      </c>
      <c r="I33" s="11" t="inlineStr">
        <is>
          <t>- Seeded processors SEED (third party) and SRIB (in-house) are Active.
- Seeded account Meera Iyer (rco@cmp.local) is active.</t>
        </is>
      </c>
      <c r="J33" s="11" t="inlineStr">
        <is>
          <t>- SEED respondent by mail - Name: UAT Respondent 01; Email address: uat.respondent01@cmp.local
- SRIB respondent account: Meera Iyer (rco@cmp.local)</t>
        </is>
      </c>
      <c r="K33" s="11" t="inlineStr">
        <is>
          <t>1. 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
2. Open 'Processors' and click 'Respondents' on the SEED row.
3. Under 'Who answers for them' keep 'Somebody at the third party, by mail' selected. Type 'UAT Respondent 01' in 'Name' and uat.respondent01@cmp.local in 'Email address'. Click 'Add respondent'.
4. Close the dialog and click 'Respondents' on the SRIB row.
5. In 'Account' choose 'Meera Iyer · Rco · rco@cmp.local' and click 'Add respondent'.
6. Click 'Remove' next to Meera Iyer.
7. Click 'Sign out' at the bottom of the left-hand sidebar.
8. Open http://localhost:3000. On the 'Sign in' page type rnd@cmp.local in 'Email or username' and SeedPassw0rd!2026 in 'Password', then click 'Sign in'. On the 'Verify it is you' page, ask the test coordinator for the sign-in code sent to rnd@cmp.local (from the test outbox), type it in '6-digit code' and click 'Verify and continue'.
9. Open 'Processors' and click 'Respondents' on the SEED row.</t>
        </is>
      </c>
      <c r="L33" s="11" t="inlineStr">
        <is>
          <t>1. The Dashboard opens. The top-right corner of the header shows 'Priya Menon' with the role badge 'DPO'.
2. A dialog 'Respondents · SEED' opens. A blue note explains a third party's respondent is usually a name and address, mailed and tracked by hand. Existing respondents are listed, or 'Nobody yet. Until somebody is named, the DPO types who answers on each request.'
3. 'Respondent added' appears. The list shows 'UAT Respondent 01' with a 'by mail' badge and the email address below.
4. A dialog 'Respondents · SRIB' opens, saying for an in-house processor a respondent is a CMP account. There is no by-mail option - only an 'Account' drop-down.
5. 'Respondent added' appears. Meera Iyer is listed with the badge 'on the portal · Rco'.
6. 'Respondent removed' appears and she is no longer listed.
7. You are returned to the 'Sign in' page.
8. The Dashboard opens. The top-right corner of the header shows 'Kavya Rao' with the role badge 'R&amp;D User'.
9. The dialog lists UAT Respondent 01 (by mail) but offers no 'Add respondent' form and no 'Remove' buttons (read-only).</t>
        </is>
      </c>
      <c r="M33" s="11" t="inlineStr">
        <is>
          <t>The DPO can name a by-mail respondent for a third party and an account respondent for an in-house team, and remove one; other roles can view but not change respondents.</t>
        </is>
      </c>
      <c r="N33" s="16" t="n"/>
      <c r="O33" s="17" t="n"/>
      <c r="P33" s="16" t="inlineStr">
        <is>
          <t>Not run</t>
        </is>
      </c>
      <c r="Q33" s="16" t="n"/>
      <c r="R33" s="16" t="n"/>
    </row>
    <row r="34">
      <c r="A34" s="10" t="inlineStr">
        <is>
          <t>REG-13</t>
        </is>
      </c>
      <c r="B34" s="11" t="inlineStr">
        <is>
          <t>Registry and administration</t>
        </is>
      </c>
      <c r="C34" s="11" t="inlineStr">
        <is>
          <t>Register a data source, make somebody accountable, edit and suspend it</t>
        </is>
      </c>
      <c r="D34" s="11" t="inlineStr">
        <is>
          <t>Data sources - Register source / Assign / Edit / Suspend</t>
        </is>
      </c>
      <c r="E34" s="11" t="inlineStr">
        <is>
          <t>DPO (dpo@cmp.local)</t>
        </is>
      </c>
      <c r="F34" s="11" t="inlineStr">
        <is>
          <t>High</t>
        </is>
      </c>
      <c r="G34" s="11" t="inlineStr">
        <is>
          <t>Positive</t>
        </is>
      </c>
      <c r="H34" s="11" t="inlineStr">
        <is>
          <t>Core</t>
        </is>
      </c>
      <c r="I34" s="11" t="inlineStr">
        <is>
          <t>- No data source with code SRC-UAT-01 exists.
- Seeded processor SEED is Active; Arun Shetty (dco@cmp.local) is an active DCO.</t>
        </is>
      </c>
      <c r="J34" s="11" t="inlineStr">
        <is>
          <t>- Code: SRC-UAT-01; Name: UAT Rig 01; Role: Collection; Exchange mode: Manual upload
- Identifier scheme: uat-local; Operated by: SEED; Authoritative for: Name
- Accountable: Arun Shetty · dco@cmp.local
- New name on edit: UAT Rig 01 renamed</t>
        </is>
      </c>
      <c r="K34" s="11" t="inlineStr">
        <is>
          <t>1. 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
2. In the sidebar under 'Registry' click 'Data sources', then 'Register source'.
3. Enter the test data (Operated by 'SEED'; tick 'Name' under 'Authoritative for') and click 'Register source'.
4. Tick the filter 'Nobody accountable', then search 'SRC-UAT-01'.
5. Click 'Assign'.
6. Choose 'Arun Shetty · dco@cmp.local' and click 'Assign'.
7. Click 'Edit'. In 'Edit data source' note that Code, Role, Exchange mode and Operated by cannot be changed. Change 'Name' to 'UAT Rig 01 renamed' and click 'Save changes'.
8. Click 'Suspend' on the row.</t>
        </is>
      </c>
      <c r="L34" s="11" t="inlineStr">
        <is>
          <t>1. The Dashboard opens. The top-right corner of the header shows 'Priya Menon' with the role badge 'DPO'.
2. A dialog 'Register a data source' opens with Code, Name, Role, Exchange mode, Identifier scheme, Operated by and 'Authoritative for' tick boxes.
3. 'Source registered' appears.
4. UAT Rig 01 (SRC-UAT-01) is listed with Processor 'SEED', Accountable 'nobody yet', Role 'Collection', Exchange 'Manual upload', Authoritative for 'Name', Status 'Active', and buttons 'Assign', 'Edit', 'Suspend'.
5. A dialog 'Who is accountable for UAT Rig 01?' opens with a 'Data Collection Owner' drop-down (third-party source, so a DCO is accountable).
6. 'Source assigned' appears with 'No project is currently collecting from it.' Untick 'Nobody accountable': the row now shows Accountable 'Arun Shetty' and the button reads 'Reassign'.
7. 'Source updated' appears and the row shows the new name.
8. 'Source suspended' appears: 'Imports from UAT Rig 01 renamed are now refused.' Status is 'Suspended' and the 'Reassign' and 'Suspend' buttons are gone.</t>
        </is>
      </c>
      <c r="M34" s="11" t="inlineStr">
        <is>
          <t>A data source is registered with its operator and authoritative fields, a DCO is made accountable, its name can be edited (structural fields locked), and it can be suspended.</t>
        </is>
      </c>
      <c r="N34" s="16" t="n"/>
      <c r="O34" s="17" t="n"/>
      <c r="P34" s="16" t="inlineStr">
        <is>
          <t>Not run</t>
        </is>
      </c>
      <c r="Q34" s="16" t="n"/>
      <c r="R34" s="16" t="n"/>
    </row>
    <row r="35">
      <c r="A35" s="10" t="inlineStr">
        <is>
          <t>REG-14</t>
        </is>
      </c>
      <c r="B35" s="11" t="inlineStr">
        <is>
          <t>Registry and administration</t>
        </is>
      </c>
      <c r="C35" s="11" t="inlineStr">
        <is>
          <t>A DCO registers a data source only under a third party's processor</t>
        </is>
      </c>
      <c r="D35" s="11" t="inlineStr">
        <is>
          <t>Data sources - Register source (collection owner)</t>
        </is>
      </c>
      <c r="E35" s="11" t="inlineStr">
        <is>
          <t>Data Collection Owner (dco@cmp.local)</t>
        </is>
      </c>
      <c r="F35" s="11" t="inlineStr">
        <is>
          <t>Medium</t>
        </is>
      </c>
      <c r="G35" s="11" t="inlineStr">
        <is>
          <t>Positive</t>
        </is>
      </c>
      <c r="H35" s="11" t="inlineStr">
        <is>
          <t>Core</t>
        </is>
      </c>
      <c r="I35" s="11" t="inlineStr">
        <is>
          <t>- No data source with code SRC-UAT-02 exists.
- Processors SEED (third party) and SRIB (in-house) are Active.</t>
        </is>
      </c>
      <c r="J35" s="11" t="inlineStr">
        <is>
          <t>- Code: SRC-UAT-02; Name: UAT Rig 02; Role: Collection; Exchange mode: File import; Operated by: SEED</t>
        </is>
      </c>
      <c r="K35" s="11" t="inlineStr">
        <is>
          <t>1. Open http://localhost:3000. On the 'Sign in' page type dco@cmp.local in 'Email or username' and SeedPassw0rd!2026 in 'Password', then click 'Sign in'. On the 'Verify it is you' page, ask the test coordinator for the sign-in code sent to dco@cmp.local (from the test outbox), type it in '6-digit code' and click 'Verify and continue'.
2. Click 'Data sources' in the sidebar.
3. Click 'Register source' and open the 'Operated by' drop-down.
4. Enter the test data, choosing 'SEED' in 'Operated by', and click 'Register source'.
5. Search 'SRC-UAT-02'.
6. Look for the sidebar entry 'Processors'.</t>
        </is>
      </c>
      <c r="L35" s="11" t="inlineStr">
        <is>
          <t>1. The Dashboard opens. The top-right corner of the header shows 'Arun Shetty' with the role badge 'Data Collection Owner'.
2. The 'Data sources' page opens with a 'Register source' button. Rows show no 'Edit', 'Suspend' or 'Assign' buttons for this role.
3. 'Operated by' is marked required and starts at 'Choose a processor…'. It lists third-party processors (e.g. SEED, Pune Motion Lab Pvt Ltd) but NOT the in-house SRIB.
4. 'Source registered' appears.
5. UAT Rig 02 is listed with Processor 'SEED' and Status 'Active'.
6. There is no 'Processors' entry for a DCO (the processor register is kept by the DPO and Administrator).</t>
        </is>
      </c>
      <c r="M35" s="11" t="inlineStr">
        <is>
          <t>A DCO can register a source but only under a third-party processor, and cannot edit, suspend or assign sources.</t>
        </is>
      </c>
      <c r="N35" s="16" t="n"/>
      <c r="O35" s="17" t="n"/>
      <c r="P35" s="16" t="inlineStr">
        <is>
          <t>Not run</t>
        </is>
      </c>
      <c r="Q35" s="16" t="n"/>
      <c r="R35" s="16" t="n"/>
    </row>
    <row r="36">
      <c r="A36" s="10" t="inlineStr">
        <is>
          <t>REG-15</t>
        </is>
      </c>
      <c r="B36" s="11" t="inlineStr">
        <is>
          <t>Registry and administration</t>
        </is>
      </c>
      <c r="C36" s="11" t="inlineStr">
        <is>
          <t>DPO lists a restricted country with its notification, is stopped from listing it twice, and lifts it</t>
        </is>
      </c>
      <c r="D36" s="11" t="inlineStr">
        <is>
          <t>Processors - Restricted countries (s.16)</t>
        </is>
      </c>
      <c r="E36" s="11" t="inlineStr">
        <is>
          <t>DPO (dpo@cmp.local)</t>
        </is>
      </c>
      <c r="F36" s="11" t="inlineStr">
        <is>
          <t>High</t>
        </is>
      </c>
      <c r="G36" s="11" t="inlineStr">
        <is>
          <t>Positive</t>
        </is>
      </c>
      <c r="H36" s="11" t="inlineStr">
        <is>
          <t>S2-04</t>
        </is>
      </c>
      <c r="I36" s="11" t="inlineStr">
        <is>
          <t>- Fiji (FJ) is not currently on the restricted list.
- Nobody is running an export during this test (the list applies to every export).</t>
        </is>
      </c>
      <c r="J36" s="11" t="inlineStr">
        <is>
          <t>- Country: fj (lower case on purpose)
- Notification: UAT G.S.R. 001(E)</t>
        </is>
      </c>
      <c r="K36" s="11" t="inlineStr">
        <is>
          <t>1. 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
2. Click 'Processors' and scroll below the list of processors.
3. Type 'fj' in 'Country' only, leaving 'Notification' empty.
4. Type 'UAT G.S.R. 001(E)' in 'Notification' and click 'Restrict'.
5. Type 'FJ' in 'Country' and 'UAT G.S.R. 002(E)' in 'Notification' and click 'Restrict' again.
6. Click 'Lift' next to FJ.
7. Ask the test coordinator (or an Administrator/DPO via 'Audit trail') to confirm the restriction and the lift were recorded.</t>
        </is>
      </c>
      <c r="L36" s="11" t="inlineStr">
        <is>
          <t>1. The Dashboard opens. The top-right corner of the header shows 'Priya Menon' with the role badge 'DPO'.
2. A card 'Restricted countries (s.16)' is shown, explaining exports to a processor in a listed country are refused. It lists current restrictions or says 'No country is restricted.' It has 'Country' and 'Notification' fields and a 'Restrict' button.
3. The 'Restrict' button stays disabled until a notification is entered.
4. 'Country restricted' appears: 'Exports whose rows would go there are refused from now on.' The list shows 'FJ' (in capitals), 'UAT G.S.R. 001(E)', 'since &lt;today&gt;' and a 'Lift' button. The fields are cleared.
5. A red message 'Not restricted' appears: 'FJ is already restricted'. FJ is still listed once.
6. 'FJ lifted' appears: 'Exports there are judged by the purposes again.' FJ is removed from the card.
7. Both the restriction and the lift of FJ appear in the audit trail, attributed to Priya Menon.</t>
        </is>
      </c>
      <c r="M36" s="11" t="inlineStr">
        <is>
          <t>The DPO can list a country with its notification (stored in capitals), a second active listing of the same country is refused, and the restriction can be lifted.</t>
        </is>
      </c>
      <c r="N36" s="16" t="n"/>
      <c r="O36" s="17" t="n"/>
      <c r="P36" s="16" t="inlineStr">
        <is>
          <t>Not run</t>
        </is>
      </c>
      <c r="Q36" s="16" t="n"/>
      <c r="R36" s="16" t="n"/>
    </row>
    <row r="37">
      <c r="A37" s="10" t="inlineStr">
        <is>
          <t>REG-16</t>
        </is>
      </c>
      <c r="B37" s="11" t="inlineStr">
        <is>
          <t>Registry and administration</t>
        </is>
      </c>
      <c r="C37" s="11" t="inlineStr">
        <is>
          <t>India cannot be restricted, bad country codes are refused, and only the DPO sees the restricted list</t>
        </is>
      </c>
      <c r="D37" s="11" t="inlineStr">
        <is>
          <t>Processors - Restricted countries (s.16) access and validation</t>
        </is>
      </c>
      <c r="E37" s="11" t="inlineStr">
        <is>
          <t>DPO, Administrator, R&amp;D User</t>
        </is>
      </c>
      <c r="F37" s="11" t="inlineStr">
        <is>
          <t>High</t>
        </is>
      </c>
      <c r="G37" s="11" t="inlineStr">
        <is>
          <t>Negative</t>
        </is>
      </c>
      <c r="H37" s="11" t="inlineStr">
        <is>
          <t>S2-04</t>
        </is>
      </c>
      <c r="I37" s="11" t="inlineStr">
        <is>
          <t>- Seeded accounts dpo@cmp.local, admin@cmp.local and rnd@cmp.local are active.</t>
        </is>
      </c>
      <c r="J37" s="11" t="inlineStr">
        <is>
          <t>- Country: IN; Notification: UAT G.S.R. 003(E)
- Invalid country: 1A; Notification: UAT G.S.R. 004(E)</t>
        </is>
      </c>
      <c r="K37" s="11" t="inlineStr">
        <is>
          <t>1. 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
2. On 'Processors', in 'Restricted countries (s.16)', type 'IN' in 'Country' and 'UAT G.S.R. 003(E)' in 'Notification'. Click 'Restrict'.
3. Change 'Country' to '1A', 'Notification' to 'UAT G.S.R. 004(E)', and click 'Restrict'.
4. Click 'Sign out' at the bottom of the left-hand sidebar.
5. Open http://localhost:3000. On the 'Sign in' page type admin@cmp.local in 'Email or username' and SeedPassw0rd!2026 in 'Password', then click 'Sign in'. On the 'Verify it is you' page, ask the test coordinator for the sign-in code sent to admin@cmp.local (from the test outbox), type it in '6-digit code' and click 'Verify and continue'.
6. Click 'Processors' and scroll to the bottom of the page.
7. Click 'Sign out' at the bottom of the left-hand sidebar.
8. Open http://localhost:3000. On the 'Sign in' page type rnd@cmp.local in 'Email or username' and SeedPassw0rd!2026 in 'Password', then click 'Sign in'. On the 'Verify it is you' page, ask the test coordinator for the sign-in code sent to rnd@cmp.local (from the test outbox), type it in '6-digit code' and click 'Verify and continue'.
9. Click 'Processors' and scroll to the bottom of the page.</t>
        </is>
      </c>
      <c r="L37" s="11" t="inlineStr">
        <is>
          <t>1. The Dashboard opens. The top-right corner of the header shows 'Priya Menon' with the role badge 'DPO'.
2. A red message 'Not restricted' appears: 'India cannot be restricted for transfers out of India'. IN is not added to the list.
3. A red 'Not restricted' message appears refusing the code; nothing is added to the list.
4. You are returned to the 'Sign in' page.
5. The Dashboard opens. The top-right corner of the header shows 'System Admin' with the role badge 'Administrator'.
6. The processor list and 'Register processor' button are shown, but there is NO 'Restricted countries (s.16)' card.
7. You are returned to the 'Sign in' page.
8. The Dashboard opens. The top-right corner of the header shows 'Kavya Rao' with the role badge 'R&amp;D User'.
9. The processor list is read-only (no 'Register processor', 'Edit' or 'Suspend'), and there is NO 'Restricted countries (s.16)' card.</t>
        </is>
      </c>
      <c r="M37" s="11" t="inlineStr">
        <is>
          <t>India and malformed codes are refused; the restricted-country card is visible and usable only by the DPO.</t>
        </is>
      </c>
      <c r="N37" s="16" t="n"/>
      <c r="O37" s="17" t="n"/>
      <c r="P37" s="16" t="inlineStr">
        <is>
          <t>Not run</t>
        </is>
      </c>
      <c r="Q37" s="16" t="n"/>
      <c r="R37" s="16" t="n"/>
    </row>
    <row r="38">
      <c r="A38" s="10" t="inlineStr">
        <is>
          <t>REG-17</t>
        </is>
      </c>
      <c r="B38" s="11" t="inlineStr">
        <is>
          <t>Registry and administration</t>
        </is>
      </c>
      <c r="C38" s="11" t="inlineStr">
        <is>
          <t>The office rewords the staff invitation email, previews, saves and resets it</t>
        </is>
      </c>
      <c r="D38" s="11" t="inlineStr">
        <is>
          <t>Message templates - edit the words of a message</t>
        </is>
      </c>
      <c r="E38" s="11" t="inlineStr">
        <is>
          <t>Administrator (admin@cmp.local)</t>
        </is>
      </c>
      <c r="F38" s="11" t="inlineStr">
        <is>
          <t>Medium</t>
        </is>
      </c>
      <c r="G38" s="11" t="inlineStr">
        <is>
          <t>Positive</t>
        </is>
      </c>
      <c r="H38" s="11" t="inlineStr">
        <is>
          <t>Core</t>
        </is>
      </c>
      <c r="I38" s="11" t="inlineStr">
        <is>
          <t>- The 'Staff account invitation' message is on its default words (badge 'Default words').</t>
        </is>
      </c>
      <c r="J38" s="11" t="inlineStr">
        <is>
          <t>- Line to add at the end of the Body: 'UAT check: welcome aboard, {full_name}.'</t>
        </is>
      </c>
      <c r="K38" s="11" t="inlineStr">
        <is>
          <t>1. Open http://localhost:3000. On the 'Sign in' page type admin@cmp.local in 'Email or username' and SeedPassw0rd!2026 in 'Password', then click 'Sign in'. On the 'Verify it is you' page, ask the test coordinator for the sign-in code sent to admin@cmp.local (from the test outbox), type it in '6-digit code' and click 'Verify and continue'.
2. In the sidebar under 'Your work' click 'Message templates'.
3. Under 'Sign-in' find the card 'Staff account invitation'.
4. Click at the end of 'Body', press Enter twice and type 'UAT check: welcome aboard, '. Then click the variable chip '{full_name}' and type '.'
5. Click 'Preview'.
6. Click 'Save'.
7. Click 'Reset to default'.
8. Click 'Yes, use the default words'.</t>
        </is>
      </c>
      <c r="L38" s="11" t="inlineStr">
        <is>
          <t>1. The Dashboard opens. The top-right corner of the header shows 'System Admin' with the role badge 'Administrator'.
2. The 'Message templates' page opens with messages grouped under headings such as 'Sign-in', 'Consent', 'Rights' and 'Staff'.
3. The card shows a 'Default words' badge, a 'Subject' field, a 'Body' field, the list 'Variables this message can use (click to insert)' (including {full_name}, {code}, {reset_url}) and the buttons 'Save' (disabled) and 'Preview'.
4. The text '{full_name}' is inserted where the cursor was. The 'Save' button becomes enabled.
5. A 'Preview, with sample values' box shows the email with sample values filled in, ending 'UAT check: welcome aboard, Asha Rao.'
6. 'Words saved' appears ('Staff account invitation (Email) now sends what you wrote.'). The card now shows a 'Customised' badge 'by System Admin on &lt;today&gt;'.
7. Two buttons appear: 'Yes, use the default words' and 'Keep mine'.
8. 'Back to the default' appears. The card shows 'Default words' again and the added line is gone.</t>
        </is>
      </c>
      <c r="M38" s="11" t="inlineStr">
        <is>
          <t>The office can reword a message using the offered variables, preview it with sample values, save it (shown as Customised with who/when), and return to the default words.</t>
        </is>
      </c>
      <c r="N38" s="16" t="n"/>
      <c r="O38" s="17" t="n"/>
      <c r="P38" s="16" t="inlineStr">
        <is>
          <t>Not run</t>
        </is>
      </c>
      <c r="Q38" s="16" t="n"/>
      <c r="R38" s="16" t="n"/>
    </row>
    <row r="39">
      <c r="A39" s="10" t="inlineStr">
        <is>
          <t>REG-18</t>
        </is>
      </c>
      <c r="B39" s="11" t="inlineStr">
        <is>
          <t>Registry and administration</t>
        </is>
      </c>
      <c r="C39" s="11" t="inlineStr">
        <is>
          <t>A message that uses a variable it does not provide is refused</t>
        </is>
      </c>
      <c r="D39" s="11" t="inlineStr">
        <is>
          <t>Message templates - variable check</t>
        </is>
      </c>
      <c r="E39" s="11" t="inlineStr">
        <is>
          <t>DPO (dpo@cmp.local)</t>
        </is>
      </c>
      <c r="F39" s="11" t="inlineStr">
        <is>
          <t>Medium</t>
        </is>
      </c>
      <c r="G39" s="11" t="inlineStr">
        <is>
          <t>Negative</t>
        </is>
      </c>
      <c r="H39" s="11" t="inlineStr">
        <is>
          <t>Core</t>
        </is>
      </c>
      <c r="I39" s="11" t="inlineStr">
        <is>
          <t>- Tester is signed in as dpo@cmp.local.
- The 'Staff sign-in code' message is on its default words.</t>
        </is>
      </c>
      <c r="J39" s="11" t="inlineStr">
        <is>
          <t>- Body: 'Dear {full_name}, your code is {code}.'</t>
        </is>
      </c>
      <c r="K39" s="11" t="inlineStr">
        <is>
          <t>1. In the sidebar under 'Oversight' click 'Message templates' and find the card 'Staff sign-in code' under 'Sign-in'.
2. Replace the whole 'Body' with 'Dear {full_name}, your code is {code}.' and click 'Save'.
3. Change the 'Body' to 'Your code is {code}.' (only an allowed variable) and click 'Preview' - do NOT click 'Save'.
4. Reload the page and look at the 'Staff sign-in code' card.</t>
        </is>
      </c>
      <c r="L39" s="11" t="inlineStr">
        <is>
          <t>1. The card shows its 'Subject', 'Body' and the variables it can use. {full_name} is NOT in its variable list.
2. The words are not saved. A red message in the card refuses the save, naming {full_name} and listing the variables that are allowed (including {code}).
3. The red message goes away and 'Preview, with sample values' shows 'Your code is 482913.' (a sample code).
4. It still shows 'Default words' and the original body.</t>
        </is>
      </c>
      <c r="M39" s="11" t="inlineStr">
        <is>
          <t>A save naming a variable the message does not provide is refused with a message that names it, and the stored words are unchanged.</t>
        </is>
      </c>
      <c r="N39" s="16" t="n"/>
      <c r="O39" s="17" t="n"/>
      <c r="P39" s="16" t="inlineStr">
        <is>
          <t>Not run</t>
        </is>
      </c>
      <c r="Q39" s="16" t="n"/>
      <c r="R39" s="16" t="n"/>
    </row>
    <row r="40">
      <c r="A40" s="10" t="inlineStr">
        <is>
          <t>REG-19</t>
        </is>
      </c>
      <c r="B40" s="11" t="inlineStr">
        <is>
          <t>Registry and administration</t>
        </is>
      </c>
      <c r="C40" s="11" t="inlineStr">
        <is>
          <t>A Data Collection Owner delegates their work to a colleague for a period and ends it</t>
        </is>
      </c>
      <c r="D40" s="11" t="inlineStr">
        <is>
          <t>Delegations - Delegate my work</t>
        </is>
      </c>
      <c r="E40" s="11" t="inlineStr">
        <is>
          <t>Data Collection Owner (dco@cmp.local), colleague UAT DCO 01, DPO</t>
        </is>
      </c>
      <c r="F40" s="11" t="inlineStr">
        <is>
          <t>Medium</t>
        </is>
      </c>
      <c r="G40" s="11" t="inlineStr">
        <is>
          <t>Positive</t>
        </is>
      </c>
      <c r="H40" s="11" t="inlineStr">
        <is>
          <t>Core</t>
        </is>
      </c>
      <c r="I40" s="11" t="inlineStr">
        <is>
          <t>- REG-01 and REG-02 completed: UAT DCO 01 (uat.dco01@cmp.local, password UatPassw0rd!2026) is an Active Data Collection Owner.
- Arun Shetty has no live delegation.</t>
        </is>
      </c>
      <c r="J40" s="11" t="inlineStr">
        <is>
          <t>- Who takes over: UAT DCO 01 · uat.dco01@cmp.local
- Until: 7 days from today
- Why: UAT - annual leave cover</t>
        </is>
      </c>
      <c r="K40" s="11" t="inlineStr">
        <is>
          <t>1. Open http://localhost:3000. On the 'Sign in' page type dco@cmp.local in 'Email or username' and SeedPassw0rd!2026 in 'Password', then click 'Sign in'. On the 'Verify it is you' page, ask the test coordinator for the sign-in code sent to dco@cmp.local (from the test outbox), type it in '6-digit code' and click 'Verify and continue'.
2. In the sidebar under 'Oversight' click 'Delegations'.
3. Click 'Delegate my work' and open the 'Who takes over' drop-down.
4. Choose UAT DCO 01, set 'Until' to 7 days from today, type 'UAT - annual leave cover' in 'Why' and click 'Delegate'.
5. Click 'Sign out' at the bottom of the left-hand sidebar.
6. Open http://localhost:3000. On the 'Sign in' page type uat.dco01@cmp.local in 'Email or username' and UatPassw0rd!2026 in 'Password', then click 'Sign in'. On the 'Verify it is you' page, ask the test coordinator for the sign-in code sent to uat.dco01@cmp.local (from the test outbox), type it in '6-digit code' and click 'Verify and continue'.
7. Click 'Delegations' in the sidebar.
8. Click 'Sign out' at the bottom of the left-hand sidebar.
9. Open http://localhost:3000. On the 'Sign in' page type dco@cmp.local in 'Email or username' and SeedPassw0rd!2026 in 'Password', then click 'Sign in'. On the 'Verify it is you' page, ask the test coordinator for the sign-in code sent to dco@cmp.local (from the test outbox), type it in '6-digit code' and click 'Verify and continue'.
10. Click 'Delegations' and click 'End now' on the UAT DCO 01 arrangement.</t>
        </is>
      </c>
      <c r="L40" s="11" t="inlineStr">
        <is>
          <t>1. The Dashboard opens. The top-right corner of the header shows 'Arun Shetty' with the role badge 'Data Collection Owner'.
2. The 'Delegations' page opens with a 'Delegate my work' button and the cards 'My delegations' ('You have not delegated your work to anybody') and 'Work delegated to me'.
3. A dialog 'Delegate my work' opens. 'Who takes over' lists colleagues in the same role, including 'UAT DCO 01 · uat.dco01@cmp.local'.
4. 'Work delegated' appears. 'My delegations' lists UAT DCO 01 with 'until &lt;date&gt;' and the quoted reason, and an 'End now' button.
5. You are returned to the 'Sign in' page.
6. The Dashboard opens. The top-right corner of the header shows 'UAT DCO 01' with the role badge 'Data Collection Owner'.
7. 'Work delegated to me' lists Arun Shetty with the end date.
8. You are returned to the 'Sign in' page.
9. The Dashboard opens. The top-right corner of the header shows 'Arun Shetty' with the role badge 'Data Collection Owner'.
10. 'Delegation ended' appears. The arrangement is no longer live (marked 'ended' or removed, with no 'End now' button).</t>
        </is>
      </c>
      <c r="M40" s="11" t="inlineStr">
        <is>
          <t>A DCO can delegate to a same-role colleague for a set period with a reason; the colleague sees it under 'Work delegated to me'; either party can end it.</t>
        </is>
      </c>
      <c r="N40" s="16" t="n"/>
      <c r="O40" s="17" t="n"/>
      <c r="P40" s="16" t="inlineStr">
        <is>
          <t>Not run</t>
        </is>
      </c>
      <c r="Q40" s="16" t="n"/>
      <c r="R40" s="16" t="n"/>
    </row>
    <row r="41">
      <c r="A41" s="10" t="inlineStr">
        <is>
          <t>REG-20</t>
        </is>
      </c>
      <c r="B41" s="11" t="inlineStr">
        <is>
          <t>Registry and administration</t>
        </is>
      </c>
      <c r="C41" s="11" t="inlineStr">
        <is>
          <t>Delegation is not offered where it does not apply</t>
        </is>
      </c>
      <c r="D41" s="11" t="inlineStr">
        <is>
          <t>Delegations - access by role</t>
        </is>
      </c>
      <c r="E41" s="11" t="inlineStr">
        <is>
          <t>R&amp;D User, Administrator, DPO</t>
        </is>
      </c>
      <c r="F41" s="11" t="inlineStr">
        <is>
          <t>Low</t>
        </is>
      </c>
      <c r="G41" s="11" t="inlineStr">
        <is>
          <t>Negative</t>
        </is>
      </c>
      <c r="H41" s="11" t="inlineStr">
        <is>
          <t>Core</t>
        </is>
      </c>
      <c r="I41" s="11" t="inlineStr">
        <is>
          <t>- Only one DPO account (dpo@cmp.local) exists.
- Seeded accounts rnd@cmp.local and admin@cmp.local are active.</t>
        </is>
      </c>
      <c r="J41" s="11" t="inlineStr">
        <is>
          <t>- Direct address: http://localhost:3000/delegate</t>
        </is>
      </c>
      <c r="K41" s="11" t="inlineStr">
        <is>
          <t>1. Open http://localhost:3000. On the 'Sign in' page type rnd@cmp.local in 'Email or username' and SeedPassw0rd!2026 in 'Password', then click 'Sign in'. On the 'Verify it is you' page, ask the test coordinator for the sign-in code sent to rnd@cmp.local (from the test outbox), type it in '6-digit code' and click 'Verify and continue'.
2. Look through the sidebar, then open http://localhost:3000/delegate directly.
3. Click 'Sign out' at the bottom of the left-hand sidebar.
4. Open http://localhost:3000. On the 'Sign in' page type admin@cmp.local in 'Email or username' and SeedPassw0rd!2026 in 'Password', then click 'Sign in'. On the 'Verify it is you' page, ask the test coordinator for the sign-in code sent to admin@cmp.local (from the test outbox), type it in '6-digit code' and click 'Verify and continue'.
5. Under 'Oversight' click 'Delegations'.
6. Click 'Sign out' at the bottom of the left-hand sidebar.
7. 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
8. Under 'Oversight' click 'Delegations', then 'Delegate my work'.</t>
        </is>
      </c>
      <c r="L41" s="11" t="inlineStr">
        <is>
          <t>1. The Dashboard opens. The top-right corner of the header shows 'Kavya Rao' with the role badge 'R&amp;D User'.
2. There is no 'Delegations' entry; the address shows 'Not part of your account' with 'Back to your dashboard'.
3. You are returned to the 'Sign in' page.
4. The Dashboard opens. The top-right corner of the header shows 'System Admin' with the role badge 'Administrator'.
5. The page shows NO 'Delegate my work' button; a blue note explains delegation applies to roles whose access is defined by assignment. An 'Everyone, right now' card shows live arrangements across the organisation (or 'No delegation is in place').
6. You are returned to the 'Sign in' page.
7. The Dashboard opens. The top-right corner of the header shows 'Priya Menon' with the role badge 'DPO'.
8. The dialog shows 'There is nobody else in your role to delegate to…'. 'Who takes over' is disabled and the 'Delegate' button cannot be clicked.</t>
        </is>
      </c>
      <c r="M41" s="11" t="inlineStr">
        <is>
          <t>R&amp;D Users cannot reach Delegations, the Administrator can only oversee (not arrange), and a DPO with no same-role colleague cannot delegate.</t>
        </is>
      </c>
      <c r="N41" s="16" t="n"/>
      <c r="O41" s="17" t="n"/>
      <c r="P41" s="16" t="inlineStr">
        <is>
          <t>Not run</t>
        </is>
      </c>
      <c r="Q41" s="16" t="n"/>
      <c r="R41" s="16" t="n"/>
    </row>
    <row r="42">
      <c r="A42" s="10" t="inlineStr">
        <is>
          <t>PRJ-01</t>
        </is>
      </c>
      <c r="B42" s="11" t="inlineStr">
        <is>
          <t>Projects, notices and links</t>
        </is>
      </c>
      <c r="C42" s="11" t="inlineStr">
        <is>
          <t>R&amp;D User registers a new project naming a third-party and an in-house collector</t>
        </is>
      </c>
      <c r="D42" s="11" t="inlineStr">
        <is>
          <t>Register a project</t>
        </is>
      </c>
      <c r="E42" s="11" t="inlineStr">
        <is>
          <t>R&amp;D User</t>
        </is>
      </c>
      <c r="F42" s="11" t="inlineStr">
        <is>
          <t>High</t>
        </is>
      </c>
      <c r="G42" s="11" t="inlineStr">
        <is>
          <t>Positive</t>
        </is>
      </c>
      <c r="H42" s="11" t="inlineStr">
        <is>
          <t>Core</t>
        </is>
      </c>
      <c r="I42" s="11" t="inlineStr">
        <is>
          <t>- Signed in to the console (http://localhost:3000) as Kavya Rao, R&amp;D User (rnd@cmp.local): on 'Sign in' enter 'Email or username' and 'Password' (SeedPassw0rd!2026), click 'Sign in', then type the 6-digit code relayed by the test coordinator on 'Verify it is you' and click 'Verify and continue'. To change user, use 'Sign out' in the sidebar.
- No project named 'UAT Study 01' exists yet (search for it first).</t>
        </is>
      </c>
      <c r="J42" s="11" t="inlineStr">
        <is>
          <t>- Project name: UAT Study 01
- Description: Gait video and facial images collected at partner and in-house labs for UAT.
- Internal name: UAT-01
- Requesting team: Computer Vision
- Processors: SEED (collected by a third party) and SRIB (collected in-house)</t>
        </is>
      </c>
      <c r="K42" s="11" t="inlineStr">
        <is>
          <t>1. In the left sidebar click 'Projects'.
2. Click 'Register a project'.
3. Type the Project name, Description, Internal name and Requesting team from the test data.
4. Under 'Who will collect', tick 'SEED' (collected by a third party).
5. Also tick 'SRIB' (collected in-house).
6. Click 'Register project'.
7. Look at the page that opens.
8. Look at the 'Details' card on the right.
9. Look at the 'Who is collecting' card.
10. Click 'All projects' at the top of the page.</t>
        </is>
      </c>
      <c r="L42" s="11" t="inlineStr">
        <is>
          <t>1. The 'Projects' page opens with the columns Project, Status, Data Collection Owner, Created by, Updated, and a 'Register a project' button at the top right.
2. A dialog titled 'Register a project' opens with the fields 'Project name', 'Description', 'Internal name', 'Requesting team' and a 'Who will collect' section listing processors as tick boxes (each marked 'collected in-house' or 'collected by a third party').
3. The text appears in each field; no error messages are shown.
4. A blue note appears: 'Once the DPO approves this, the DCO Admin assigns the data sources for the third-party collection.'
5. The note now covers both: '...the DCO Admin assigns the data sources for the third-party collection, and it comes back to you to name the data sources and an R&amp;D Collection Owner.'
6. The dialog closes and a green toast 'Project registered' says 'It starts in draft. Attach a notice and an approval, then send it to the DPO.'
7. The project's own page opens with the heading 'UAT Study 01', status badge 'In Draft', and the progress bar showing In Draft &gt; Pending Approval &gt; Approved.
8. Internal name 'UAT-01', Requesting team 'Computer Vision', Data Collection Owner 'Not assigned', Created by 'Kavya Rao'.
9. SEED and SRIB are both listed with the chip 'approved'; SEED says 'collected by a third party' and SRIB says 'collected in-house'.
10. The Projects list shows 'UAT Study 01' with status 'In Draft' and Created by 'Kavya Rao'.</t>
        </is>
      </c>
      <c r="M42" s="11" t="inlineStr">
        <is>
          <t>The project is created in 'In Draft', names both processors, shows the right routing note before saving, and opens on its own page.</t>
        </is>
      </c>
      <c r="N42" s="16" t="n"/>
      <c r="O42" s="17" t="n"/>
      <c r="P42" s="16" t="inlineStr">
        <is>
          <t>Not run</t>
        </is>
      </c>
      <c r="Q42" s="16" t="n"/>
      <c r="R42" s="16" t="n"/>
    </row>
    <row r="43">
      <c r="A43" s="10" t="inlineStr">
        <is>
          <t>PRJ-02</t>
        </is>
      </c>
      <c r="B43" s="11" t="inlineStr">
        <is>
          <t>Projects, notices and links</t>
        </is>
      </c>
      <c r="C43" s="11" t="inlineStr">
        <is>
          <t>Registering a project with missing required information is refused field by field</t>
        </is>
      </c>
      <c r="D43" s="11" t="inlineStr">
        <is>
          <t>Register a project - validation</t>
        </is>
      </c>
      <c r="E43" s="11" t="inlineStr">
        <is>
          <t>R&amp;D User</t>
        </is>
      </c>
      <c r="F43" s="11" t="inlineStr">
        <is>
          <t>Medium</t>
        </is>
      </c>
      <c r="G43" s="11" t="inlineStr">
        <is>
          <t>Negative</t>
        </is>
      </c>
      <c r="H43" s="11" t="inlineStr">
        <is>
          <t>Core</t>
        </is>
      </c>
      <c r="I43" s="11" t="inlineStr">
        <is>
          <t>- Signed in to the console (http://localhost:3000) as Kavya Rao, R&amp;D User (rnd@cmp.local): on 'Sign in' enter 'Email or username' and 'Password' (SeedPassw0rd!2026), click 'Sign in', then type the 6-digit code relayed by the test coordinator on 'Verify it is you' and click 'Verify and continue'. To change user, use 'Sign out' in the sidebar.</t>
        </is>
      </c>
      <c r="J43" s="11" t="inlineStr">
        <is>
          <t>- Project name: UAT Incomplete 01
- Description: (leave blank, then fill) Test only</t>
        </is>
      </c>
      <c r="K43" s="11" t="inlineStr">
        <is>
          <t>1. Click 'Projects' in the sidebar, then 'Register a project'.
2. Leave every field empty and click 'Register project'.
3. Type 'UAT Incomplete 01' in 'Project name' and click 'Register project' again.
4. Type 'Test only' in 'Description', tick no processor, and click 'Register project'.
5. Click 'Cancel'.</t>
        </is>
      </c>
      <c r="L43" s="11" t="inlineStr">
        <is>
          <t>1. The 'Register a project' dialog opens.
2. The dialog stays open. Under 'Project name' the message 'A project name is required' appears, and under 'Description' the message 'Describe what this project collects and why' appears.
3. The dialog stays open; the name error is gone but 'Describe what this project collects and why' is still shown under 'Description'.
4. The dialog stays open and 'Choose at least one processor' appears under the 'Who will collect' list. No routing note is shown because nothing is ticked.
5. The dialog closes. 'UAT Incomplete 01' does NOT appear in the Projects list.</t>
        </is>
      </c>
      <c r="M43" s="11" t="inlineStr">
        <is>
          <t>No project is created while the name, description or at least one processor is missing, and each problem is shown next to its own field.</t>
        </is>
      </c>
      <c r="N43" s="16" t="n"/>
      <c r="O43" s="17" t="n"/>
      <c r="P43" s="16" t="inlineStr">
        <is>
          <t>Not run</t>
        </is>
      </c>
      <c r="Q43" s="16" t="n"/>
      <c r="R43" s="16" t="n"/>
    </row>
    <row r="44">
      <c r="A44" s="10" t="inlineStr">
        <is>
          <t>PRJ-03</t>
        </is>
      </c>
      <c r="B44" s="11" t="inlineStr">
        <is>
          <t>Projects, notices and links</t>
        </is>
      </c>
      <c r="C44" s="11" t="inlineStr">
        <is>
          <t>Submitting a fresh draft is blocked and the panel names every missing prerequisite</t>
        </is>
      </c>
      <c r="D44" s="11" t="inlineStr">
        <is>
          <t>Project transitions - blockers panel</t>
        </is>
      </c>
      <c r="E44" s="11" t="inlineStr">
        <is>
          <t>R&amp;D User</t>
        </is>
      </c>
      <c r="F44" s="11" t="inlineStr">
        <is>
          <t>High</t>
        </is>
      </c>
      <c r="G44" s="11" t="inlineStr">
        <is>
          <t>Negative</t>
        </is>
      </c>
      <c r="H44" s="11" t="inlineStr">
        <is>
          <t>Core</t>
        </is>
      </c>
      <c r="I44" s="11" t="inlineStr">
        <is>
          <t>- PRJ-01 completed (UAT Study 01 is In Draft with no notice and no approval).
- Signed in to the console (http://localhost:3000) as Kavya Rao, R&amp;D User (rnd@cmp.local): on 'Sign in' enter 'Email or username' and 'Password' (SeedPassw0rd!2026), click 'Sign in', then type the 6-digit code relayed by the test coordinator on 'Verify it is you' and click 'Verify and continue'. To change user, use 'Sign out' in the sidebar.</t>
        </is>
      </c>
      <c r="J44" s="11" t="inlineStr">
        <is>
          <t>- Project: UAT Study 01</t>
        </is>
      </c>
      <c r="K44" s="11" t="inlineStr">
        <is>
          <t>1. Click 'Projects' in the sidebar, type 'UAT Study 01' in 'Search' (the list updates as you type). Click 'UAT Study 01'.
2. Find the card titled 'What happens next'.
3. Read the warning lines under 'Moves the project to Pending Approval'.
4. Try to click the 'Submit for approval' button on that row.
5. Look at the 'Notices' card.
6. Look at the 'Approvals' card.
7. Look at the buttons at the top of the page.</t>
        </is>
      </c>
      <c r="L44" s="11" t="inlineStr">
        <is>
          <t>1. The project page opens with status 'In Draft'.
2. It reads 'Currently In Draft. These are the moves your role can make from here.' and shows one row 'Moves the project to Pending Approval' with a 'Submit for approval' button.
3. All six missing items are listed at once, each with a warning icon: 'The project has no notice'; 'The notice has no purposes attached'; 'The notice is missing required Rule 3 elements'; 'The notice does not say who it applies to'; 'The notice has no text yet - add at least one language'; 'No approval with a proof file'.
4. The button is greyed out (disabled); nothing happens and the status stays 'In Draft'.
5. It shows 'No notice yet' with the buttons 'Upload a notice document' and 'Copy an existing notice'.
6. It shows count 0, 'No approval uploaded', the text 'A security approval with its proof file is what unlocks the move to pending approval.' and an 'Upload an approval' button.
7. 'Edit', 'Upload a notice document', 'Copy an existing notice', 'Upload approval' and 'Add site' are shown. There is NO 'New notice' button.</t>
        </is>
      </c>
      <c r="M44" s="11" t="inlineStr">
        <is>
          <t>The submit button is disabled and every one of the six missing prerequisites is named together, not one at a time.</t>
        </is>
      </c>
      <c r="N44" s="16" t="n"/>
      <c r="O44" s="17" t="n"/>
      <c r="P44" s="16" t="inlineStr">
        <is>
          <t>Not run</t>
        </is>
      </c>
      <c r="Q44" s="16" t="n"/>
      <c r="R44" s="16" t="n"/>
    </row>
    <row r="45">
      <c r="A45" s="10" t="inlineStr">
        <is>
          <t>PRJ-04</t>
        </is>
      </c>
      <c r="B45" s="11" t="inlineStr">
        <is>
          <t>Projects, notices and links</t>
        </is>
      </c>
      <c r="C45" s="11" t="inlineStr">
        <is>
          <t>Uploading the notice template with placeholders still in it is refused</t>
        </is>
      </c>
      <c r="D45" s="11" t="inlineStr">
        <is>
          <t>Upload a notice document - validation</t>
        </is>
      </c>
      <c r="E45" s="11" t="inlineStr">
        <is>
          <t>R&amp;D User</t>
        </is>
      </c>
      <c r="F45" s="11" t="inlineStr">
        <is>
          <t>Medium</t>
        </is>
      </c>
      <c r="G45" s="11" t="inlineStr">
        <is>
          <t>Negative</t>
        </is>
      </c>
      <c r="H45" s="11" t="inlineStr">
        <is>
          <t>Core</t>
        </is>
      </c>
      <c r="I45" s="11" t="inlineStr">
        <is>
          <t>- PRJ-01 completed.
- Signed in to the console (http://localhost:3000) as Kavya Rao, R&amp;D User (rnd@cmp.local): on 'Sign in' enter 'Email or username' and 'Password' (SeedPassw0rd!2026), click 'Sign in', then type the 6-digit code relayed by the test coordinator on 'Verify it is you' and click 'Verify and continue'. To change user, use 'Sign out' in the sidebar.</t>
        </is>
      </c>
      <c r="J45" s="11" t="inlineStr">
        <is>
          <t>- Unfilled template: download it from the dialog's 'Download it' link (DPDP_Consent_Notice_Template_v0_2.docx) and do not edit it
- Optional: any PDF file, to check a non-Word file is refused</t>
        </is>
      </c>
      <c r="K45" s="11" t="inlineStr">
        <is>
          <t>1. Open project 'UAT Study 01' (Projects &gt; search &gt; click the name).
2. In the 'Notices' card click 'Upload a notice document'.
3. Click 'Download it'.
4. Under 'Notice document' use the browser's file chooser ('Choose File') to pick the blank template you just downloaded.
5. Click 'Check the document'.
6. (Optional) Pick a PDF file instead and click 'Check the document'.
7. Click 'Cancel'.</t>
        </is>
      </c>
      <c r="L45" s="11" t="inlineStr">
        <is>
          <t>1. The project page opens, status 'In Draft'.
2. A dialog 'Upload a notice document' opens: 'The filled-in .docx template. Its purpose table becomes the notice's purposes, which the DPO then activates.' It shows 'Need the template? Download it', a 'Notice document' file chooser, a disabled 'Check the document' button and a disabled 'Create the notice' button.
3. The browser saves the blank template file (DPDP_Consent_Notice_Template...docx).
4. The file name and size appear under the chooser; 'Check the document' becomes clickable. 'Create the notice' stays disabled.
5. A red message appears starting with the number of placeholders, e.g. '... placeholder(s) are still unfilled: ...' and ending 'Fill the document in before uploading it - a notice served with a placeholder in it is one nobody read.' 'Create the notice' stays disabled.
6. The chooser only offers .docx; if a PDF is forced through, the message 'This is not a readable Word document. Upload the .docx template, not a PDF or a scan of one.' appears.
7. The dialog closes; the 'Notices' card still says 'No notice yet'.</t>
        </is>
      </c>
      <c r="M45" s="11" t="inlineStr">
        <is>
          <t>A document with unfilled placeholders never creates a notice, and the reason is shown in plain words.</t>
        </is>
      </c>
      <c r="N45" s="16" t="n"/>
      <c r="O45" s="17" t="n"/>
      <c r="P45" s="16" t="inlineStr">
        <is>
          <t>Not run</t>
        </is>
      </c>
      <c r="Q45" s="16" t="n"/>
      <c r="R45" s="16" t="n"/>
    </row>
    <row r="46">
      <c r="A46" s="10" t="inlineStr">
        <is>
          <t>PRJ-05</t>
        </is>
      </c>
      <c r="B46" s="11" t="inlineStr">
        <is>
          <t>Projects, notices and links</t>
        </is>
      </c>
      <c r="C46" s="11" t="inlineStr">
        <is>
          <t>R&amp;D User brings the notice by uploading the filled DPDP notice template</t>
        </is>
      </c>
      <c r="D46" s="11" t="inlineStr">
        <is>
          <t>Upload a notice document</t>
        </is>
      </c>
      <c r="E46" s="11" t="inlineStr">
        <is>
          <t>R&amp;D User</t>
        </is>
      </c>
      <c r="F46" s="11" t="inlineStr">
        <is>
          <t>High</t>
        </is>
      </c>
      <c r="G46" s="11" t="inlineStr">
        <is>
          <t>Positive</t>
        </is>
      </c>
      <c r="H46" s="11" t="inlineStr">
        <is>
          <t>Core</t>
        </is>
      </c>
      <c r="I46" s="11" t="inlineStr">
        <is>
          <t>- PRJ-01 completed (UAT Study 01 has no notice yet).
- Signed in to the console (http://localhost:3000) as Kavya Rao, R&amp;D User (rnd@cmp.local): on 'Sign in' enter 'Email or username' and 'Password' (SeedPassw0rd!2026), click 'Sign in', then type the 6-digit code relayed by the test coordinator on 'Verify it is you' and click 'Verify and continue'. To change user, use 'Sign out' in the sidebar.
- The test coordinator has handed over a filled copy of the template (tests/fixtures/notice_filled.docx is a valid example: English, 9 purposes, 7 data categories).</t>
        </is>
      </c>
      <c r="J46" s="11" t="inlineStr">
        <is>
          <t>- File: the filled notice .docx from the coordinator
- Project: UAT Study 01
- Expected notice code: NTC-UAT-STUDY-01-2026 (if a code with that name already exists from an earlier run, the system adds a suffix such as -2; use the code actually shown in later cases)</t>
        </is>
      </c>
      <c r="K46" s="11" t="inlineStr">
        <is>
          <t>1. Open project 'UAT Study 01' and in the 'Notices' card click 'Upload a notice document'.
2. Under 'Notice document' choose the filled .docx.
3. Click 'Check the document'.
4. Read any yellow warnings under the green box.
5. Click 'The text a data subject will read (... characters)' to expand it.
6. Click 'Create the notice'.
7. Look at the 'Notices' card.
8. Look at the 'What happens next' card.
9. Click 'NTC-UAT-STUDY-01-2026 v1' in the Notices card.</t>
        </is>
      </c>
      <c r="L46" s="11" t="inlineStr">
        <is>
          <t>1. The 'Upload a notice document' dialog opens with 'Check the document' and 'Create the notice' disabled.
2. The file name and size are shown; 'Check the document' becomes clickable.
3. A green box reads 'Read 9 purposes and 7 data categories, in english. Nothing has been written yet.' (numbers match your file). A 'Purposes' table lists each row with the columns In document, Name, Data categories, Retention, Consent (badges 'Required' or 'Declinable').
4. If the document names a different project (the example file names 'Gait Identification Study 2026') a warning says 'The document names the project ... but this project is 'UAT Study 01'. Check you are uploading to the right one.' This is expected with the example file.
5. An excerpt of the notice wording is shown.
6. The dialog closes and a green toast 'Notice created' says 'NTC-UAT-STUDY-01-2026 carries 9 purposes. The DPO activates them before it can be published.'
7. It lists 'NTC-UAT-STUDY-01-2026 v1' with '9 purposes · 1 language(s)' and the status badge 'Draft'.
8. Under 'Moves the project to Pending Approval' only one line remains: 'No approval with a proof file'. The 'Submit for approval' button is still disabled.
9. The notice page opens titled 'NTC-UAT-STUDY-01-2026 · version 1' with 'Draft. Nothing here has been shown to a data subject yet.' The 'Purposes' card lists 9 purposes, each with the status 'Draft'.</t>
        </is>
      </c>
      <c r="M46" s="11" t="inlineStr">
        <is>
          <t>The notice, its purposes (as Draft) and its English text are created from the document in two steps (check, then create), and the notice-related blockers disappear from the project.</t>
        </is>
      </c>
      <c r="N46" s="16" t="n"/>
      <c r="O46" s="17" t="n"/>
      <c r="P46" s="16" t="inlineStr">
        <is>
          <t>Not run</t>
        </is>
      </c>
      <c r="Q46" s="16" t="n"/>
      <c r="R46" s="16" t="n"/>
    </row>
    <row r="47">
      <c r="A47" s="10" t="inlineStr">
        <is>
          <t>PRJ-06</t>
        </is>
      </c>
      <c r="B47" s="11" t="inlineStr">
        <is>
          <t>Projects, notices and links</t>
        </is>
      </c>
      <c r="C47" s="11" t="inlineStr">
        <is>
          <t>R&amp;D User starts a second project's notice from an approved notice</t>
        </is>
      </c>
      <c r="D47" s="11" t="inlineStr">
        <is>
          <t>Copy an existing notice</t>
        </is>
      </c>
      <c r="E47" s="11" t="inlineStr">
        <is>
          <t>R&amp;D User</t>
        </is>
      </c>
      <c r="F47" s="11" t="inlineStr">
        <is>
          <t>Medium</t>
        </is>
      </c>
      <c r="G47" s="11" t="inlineStr">
        <is>
          <t>Positive</t>
        </is>
      </c>
      <c r="H47" s="11" t="inlineStr">
        <is>
          <t>Core</t>
        </is>
      </c>
      <c r="I47" s="11" t="inlineStr">
        <is>
          <t>- Signed in to the console (http://localhost:3000) as Kavya Rao, R&amp;D User (rnd@cmp.local): on 'Sign in' enter 'Email or username' and 'Password' (SeedPassw0rd!2026), click 'Sign in', then type the 6-digit code relayed by the test coordinator on 'Verify it is you' and click 'Verify and continue'. To change user, use 'Sign out' in the sidebar.
- Seeded notice NTC-GAIT-2026 v1 is published.</t>
        </is>
      </c>
      <c r="J47" s="11" t="inlineStr">
        <is>
          <t>- Project name: UAT Study 02
- Description: Copy-notice UAT project.
- Processor: SEED
- Notice to copy: NTC-GAIT-2026 v1 — Gait Identification Study 2026</t>
        </is>
      </c>
      <c r="K47" s="11" t="inlineStr">
        <is>
          <t>1. Click 'Projects' &gt; 'Register a project'. Enter the name and description from the test data, tick 'SEED' and click 'Register project'.
2. In the 'Notices' card click 'Copy an existing notice'.
3. Open 'Notice to copy'.
4. Choose 'NTC-GAIT-2026 v1 — Gait Identification Study 2026'.
5. Click 'Copy into this project'.
6. Click the new notice in the 'Notices' card.
7. Look at the 'Legal approval, per language' card.</t>
        </is>
      </c>
      <c r="L47" s="11" t="inlineStr">
        <is>
          <t>1. Toast 'Project registered'; the 'UAT Study 02' page opens with status 'In Draft'.
2. A dialog 'Copy an existing notice' opens: 'Copies the wording, the purposes and every language rendition into this project as a fresh draft.' with a 'Notice to copy' list and a disabled 'Copy into this project' button.
3. Every approved or published notice on the platform is offered, from any project and whoever wrote it - for example 'NTC-GAIT-2026 v1 — Gait Identification Study 2026'. Notices marked '(approved, not yet published)' come first. No draft notice is offered.
4. A yellow box 'What comes across, and what does not' explains the legal approvals are not copied and each rendition must be re-approved. 'Copy into this project' becomes clickable.
5. The dialog closes; a toast 'Copied into NTC-UAT-STUDY-02-2026' says 'It is a fresh draft. Review the wording, then approve and publish it.'
6. The notice page 'NTC-UAT-STUDY-02-2026 · version 1' opens with status 'Draft'. The 'Purposes' card shows the purposes copied from the Gait notice.
7. Each copied language shows 'Not legally approved' (approvals did not carry over).</t>
        </is>
      </c>
      <c r="M47" s="11" t="inlineStr">
        <is>
          <t>Every approved or published notice is offered whoever wrote it; a fresh draft notice with the wording, purposes and renditions of the chosen one is created for the new project, without its legal approvals.</t>
        </is>
      </c>
      <c r="N47" s="16" t="n"/>
      <c r="O47" s="17" t="n"/>
      <c r="P47" s="16" t="inlineStr">
        <is>
          <t>Not run</t>
        </is>
      </c>
      <c r="Q47" s="16" t="n"/>
      <c r="R47" s="16" t="n"/>
    </row>
    <row r="48">
      <c r="A48" s="10" t="inlineStr">
        <is>
          <t>PRJ-07</t>
        </is>
      </c>
      <c r="B48" s="11" t="inlineStr">
        <is>
          <t>Projects, notices and links</t>
        </is>
      </c>
      <c r="C48" s="11" t="inlineStr">
        <is>
          <t>R&amp;D User cannot compose or approve notice wording, purposes or renditions</t>
        </is>
      </c>
      <c r="D48" s="11" t="inlineStr">
        <is>
          <t>Notice authoring rights</t>
        </is>
      </c>
      <c r="E48" s="11" t="inlineStr">
        <is>
          <t>R&amp;D User</t>
        </is>
      </c>
      <c r="F48" s="11" t="inlineStr">
        <is>
          <t>High</t>
        </is>
      </c>
      <c r="G48" s="11" t="inlineStr">
        <is>
          <t>Negative</t>
        </is>
      </c>
      <c r="H48" s="11" t="inlineStr">
        <is>
          <t>Core</t>
        </is>
      </c>
      <c r="I48" s="11" t="inlineStr">
        <is>
          <t>- PRJ-05 completed (NTC-UAT-STUDY-01-2026 v1 is a Draft).
- Signed in to the console (http://localhost:3000) as Kavya Rao, R&amp;D User (rnd@cmp.local): on 'Sign in' enter 'Email or username' and 'Password' (SeedPassw0rd!2026), click 'Sign in', then type the 6-digit code relayed by the test coordinator on 'Verify it is you' and click 'Verify and continue'. To change user, use 'Sign out' in the sidebar.</t>
        </is>
      </c>
      <c r="J48" s="11" t="inlineStr">
        <is>
          <t>- Project: UAT Study 01
- Notice: NTC-UAT-STUDY-01-2026 v1</t>
        </is>
      </c>
      <c r="K48" s="11" t="inlineStr">
        <is>
          <t>1. Open project 'UAT Study 01' and look at the buttons at the top of the page.
2. Click 'NTC-UAT-STUDY-01-2026 v1' in the 'Notices' card.
3. Look at the 'Publication checklist' card.
4. Look at the 'Notice text' card.
5. Look at the 'Purposes' card.
6. Look at the 'Legal approval, per language' card.</t>
        </is>
      </c>
      <c r="L48" s="11" t="inlineStr">
        <is>
          <t>1. 'Upload a notice document' and 'Copy an existing notice' are shown; there is NO 'New notice' button.
2. The notice page opens. The header shows the 'Draft' badge but NO 'Edit' button.
3. It is visible to the R&amp;D User and reads '... item(s) blocking publication:' followed by lines such as 'the purpose ... is draft, not activated' and 'the english text is not legally approved', each with a 'fix this' link. There is NO 'Publish this notice' button.
4. The English wording is displayed read-only with 'Not legally approved — the project cannot be approved until it is'. There is NO 'Edit English text' button.
5. Each purpose shows the 'Draft' status. There is NO 'Manage', NO 'Activate' and NO 'Customise for this notice' button.
6. The english row shows 'Not legally approved'. There is NO 'Add language', NO 'Edit' and NO 'Approve' button.</t>
        </is>
      </c>
      <c r="M48" s="11" t="inlineStr">
        <is>
          <t>The R&amp;D User can read the notice and its checklist but has no control to write wording, add/edit renditions, attach/activate purposes, approve text or publish.</t>
        </is>
      </c>
      <c r="N48" s="16" t="n"/>
      <c r="O48" s="17" t="n"/>
      <c r="P48" s="16" t="inlineStr">
        <is>
          <t>Not run</t>
        </is>
      </c>
      <c r="Q48" s="16" t="n"/>
      <c r="R48" s="16" t="n"/>
    </row>
    <row r="49">
      <c r="A49" s="10" t="inlineStr">
        <is>
          <t>PRJ-08</t>
        </is>
      </c>
      <c r="B49" s="11" t="inlineStr">
        <is>
          <t>Projects, notices and links</t>
        </is>
      </c>
      <c r="C49" s="11" t="inlineStr">
        <is>
          <t>R&amp;D User uploads the security approval and submits the project for DPO review</t>
        </is>
      </c>
      <c r="D49" s="11" t="inlineStr">
        <is>
          <t>Upload approval and submit (In Draft to Pending Approval)</t>
        </is>
      </c>
      <c r="E49" s="11" t="inlineStr">
        <is>
          <t>R&amp;D User</t>
        </is>
      </c>
      <c r="F49" s="11" t="inlineStr">
        <is>
          <t>High</t>
        </is>
      </c>
      <c r="G49" s="11" t="inlineStr">
        <is>
          <t>Positive</t>
        </is>
      </c>
      <c r="H49" s="11" t="inlineStr">
        <is>
          <t>Core</t>
        </is>
      </c>
      <c r="I49" s="11" t="inlineStr">
        <is>
          <t>- PRJ-05 completed (only 'No approval with a proof file' still blocks).
- Signed in to the console (http://localhost:3000) as Kavya Rao, R&amp;D User (rnd@cmp.local): on 'Sign in' enter 'Email or username' and 'Password' (SeedPassw0rd!2026), click 'Sign in', then type the 6-digit code relayed by the test coordinator on 'Verify it is you' and click 'Verify and continue'. To change user, use 'Sign out' in the sidebar.</t>
        </is>
      </c>
      <c r="J49" s="11" t="inlineStr">
        <is>
          <t>- Type: Security
- Reference number: SEC-UAT-0001
- Approved on: first a date in the future (negative check), then today's date
- Proof document: any small PDF, PNG or JPEG under 25 MB</t>
        </is>
      </c>
      <c r="K49" s="11" t="inlineStr">
        <is>
          <t>1. Open project 'UAT Study 01' and click 'Upload approval' at the top of the page.
2. Leave 'Reference number' and 'Proof document' empty, set 'Approved on' to a future date, and click 'Upload approval'.
3. Enter 'SEC-UAT-0001', set 'Approved on' to today, choose the proof file and click 'Upload approval'.
4. Look at the 'Approvals' card.
5. Click 'Proof'.
6. Look at 'What happens next'.
7. Scroll to the bottom of the page.
8. Click 'Submit for approval' (at the top or in 'Next steps' - either one).
9. Look at 'What happens next' again, and at the 'History' card.</t>
        </is>
      </c>
      <c r="L49" s="11" t="inlineStr">
        <is>
          <t>1. A dialog 'Upload an approval' opens: 'The proof file is mandatory - an approval without one does not unlock the transition.' Fields: 'Type' (preset to Security), 'Reference number', 'Approved on', 'Proof document'.
2. The dialog stays open with field errors: 'A reference number is required', 'The approval date cannot be in the future' and 'Choose an approval document'.
3. The dialog closes; toast 'Approval uploaded' says 'The project can now move to pending approval.'
4. Count 1; the row reads 'Security SEC-UAT-0001', 'Approved &lt;today&gt; · uploaded ... by Kavya Rao', a short hash, and a 'Proof' button.
5. The file downloads and a toast 'Proof downloaded' says 'Hash matches the record.'
6. 'Moves the project to Pending Approval' has no warning lines and the 'Submit for approval' button is active (highlighted).
7. A 'Next steps' card repeats 'Moves the project to Pending Approval' with the same active 'Submit for approval' button, and under 'Other actions' the buttons from the top of the page (for example 'Upload approval') with the status badge. Nothing at the top of the page has gone.
8. Toast 'Moved to Pending Approval'. The status badge changes to 'Pending Approval' and the progress bar moves to its second step.
9. 'What happens next' reads 'There is nothing for your role to do at this stage.' History shows 'In Draft → Pending Approval' by 'Kavya Rao (Rnd user)' with the time. The 'Edit' button is no longer shown in the page header.</t>
        </is>
      </c>
      <c r="M49" s="11" t="inlineStr">
        <is>
          <t>The approval with proof is recorded and the project moves to 'Pending Approval', after which the R&amp;D User has no further move.</t>
        </is>
      </c>
      <c r="N49" s="16" t="n"/>
      <c r="O49" s="17" t="n"/>
      <c r="P49" s="16" t="inlineStr">
        <is>
          <t>Not run</t>
        </is>
      </c>
      <c r="Q49" s="16" t="n"/>
      <c r="R49" s="16" t="n"/>
    </row>
    <row r="50">
      <c r="A50" s="10" t="inlineStr">
        <is>
          <t>PRJ-09</t>
        </is>
      </c>
      <c r="B50" s="11" t="inlineStr">
        <is>
          <t>Projects, notices and links</t>
        </is>
      </c>
      <c r="C50" s="11" t="inlineStr">
        <is>
          <t>DPO review: approval is blocked until the DPO's own notice decisions are made; sending back needs a reason</t>
        </is>
      </c>
      <c r="D50" s="11" t="inlineStr">
        <is>
          <t>Project transitions - DPO blockers and send back</t>
        </is>
      </c>
      <c r="E50" s="11" t="inlineStr">
        <is>
          <t>DPO</t>
        </is>
      </c>
      <c r="F50" s="11" t="inlineStr">
        <is>
          <t>High</t>
        </is>
      </c>
      <c r="G50" s="11" t="inlineStr">
        <is>
          <t>Negative</t>
        </is>
      </c>
      <c r="H50" s="11" t="inlineStr">
        <is>
          <t>Core</t>
        </is>
      </c>
      <c r="I50" s="11" t="inlineStr">
        <is>
          <t>- PRJ-08 completed (UAT Study 01 is Pending Approval; its notice's purposes are Draft and English text is not approved).
-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t>
        </is>
      </c>
      <c r="J50" s="11" t="inlineStr">
        <is>
          <t>- Project: UAT Study 01
- Reason: (leave empty)</t>
        </is>
      </c>
      <c r="K50" s="11" t="inlineStr">
        <is>
          <t>1. On the 'Dashboard' look at 'Needs attention'.
2. Click 'Projects' in the sidebar, set 'Status' to 'Pending Approval', and click 'UAT Study 01'.
3. Look at the 'What happens next' card.
4. Read the warning lines under 'Moves the project to Approved'.
5. Under 'Moves the project to In Draft' note the hint, then click the 'Return to draft' button.
6. Leave 'Reason' empty and click 'Return to draft' in the panel.
7. Click 'Cancel' in the panel.
8. Click the 'Open the notice' link on the blocker line.</t>
        </is>
      </c>
      <c r="L50" s="11" t="inlineStr">
        <is>
          <t>1. A row 'Projects pending approval' shows a count of 1 or more.
2. The project page opens with status 'Pending Approval'.
3. It reads 'Currently Pending Approval.' and offers two rows: 'Moves the project to Approved' (with the tag 'publishes the notice' and an 'Approve project' button) and 'Moves the project to In Draft' (with a 'Return to draft' button).
4. Both DPO-side blockers are listed: 'The notice text is not legally approved - approve every language on the notice first' with a link 'Approve the notice', and 'The notice carries purposes that are not activated - activate them before approving' with a link 'Open the notice'. The 'Approve project' button is disabled.
5. The hint reads 'A reason is required and is recorded in the history.' A panel 'Return to draft' opens with a required 'Reason' box.
6. The message 'A reason is required for this transition.' appears; the project stays 'Pending Approval'.
7. The panel closes; status is still 'Pending Approval' and History has no new entry.
8. The notice page 'NTC-UAT-STUDY-01-2026 · version 1' opens.</t>
        </is>
      </c>
      <c r="M50" s="11" t="inlineStr">
        <is>
          <t>The DPO cannot approve while text is unapproved or purposes are not activated, every blocker is named with a link to the notice, and a send-back cannot be done without a reason.</t>
        </is>
      </c>
      <c r="N50" s="16" t="n"/>
      <c r="O50" s="17" t="n"/>
      <c r="P50" s="16" t="inlineStr">
        <is>
          <t>Not run</t>
        </is>
      </c>
      <c r="Q50" s="16" t="n"/>
      <c r="R50" s="16" t="n"/>
    </row>
    <row r="51">
      <c r="A51" s="10" t="inlineStr">
        <is>
          <t>PRJ-10</t>
        </is>
      </c>
      <c r="B51" s="11" t="inlineStr">
        <is>
          <t>Projects, notices and links</t>
        </is>
      </c>
      <c r="C51" s="11" t="inlineStr">
        <is>
          <t>DPO activates each purpose from the notice that carries it</t>
        </is>
      </c>
      <c r="D51" s="11" t="inlineStr">
        <is>
          <t>Notice review - activate purposes</t>
        </is>
      </c>
      <c r="E51" s="11" t="inlineStr">
        <is>
          <t>DPO</t>
        </is>
      </c>
      <c r="F51" s="11" t="inlineStr">
        <is>
          <t>High</t>
        </is>
      </c>
      <c r="G51" s="11" t="inlineStr">
        <is>
          <t>Positive</t>
        </is>
      </c>
      <c r="H51" s="11" t="inlineStr">
        <is>
          <t>Core</t>
        </is>
      </c>
      <c r="I51" s="11" t="inlineStr">
        <is>
          <t>- PRJ-09 completed (DPO is on the notice page of NTC-UAT-STUDY-01-2026 v1).
-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t>
        </is>
      </c>
      <c r="J51" s="11" t="inlineStr">
        <is>
          <t>- Notice: NTC-UAT-STUDY-01-2026 v1 (9 draft purposes from the uploaded document)</t>
        </is>
      </c>
      <c r="K51" s="11" t="inlineStr">
        <is>
          <t>1. Look at the 'Publication checklist' card.
2. Click 'fix this' next to a purpose line.
3. Review the first purpose (name, description, Basis, Retention, Categories), then click its 'Activate' button.
4. Scroll back to the 'Publication checklist'.
5. Repeat 'Activate' for every remaining Draft purpose, one at a time.
6. Check the checklist once all purposes are active.</t>
        </is>
      </c>
      <c r="L51" s="11" t="inlineStr">
        <is>
          <t>1. It reads '&lt;n&gt; item(s) blocking publication:' with one line per purpose 'the purpose &lt;code&gt; is draft, not activated' plus 'the english text is not legally approved'; each line has a 'fix this' link.
2. The page scrolls to the 'Purposes' card ('Rule 3(b): what each purpose enables, itemised, with its retention.').
3. Toast '&lt;purpose name&gt; activated' says 'It no longer blocks publication.' Its status changes from 'Draft' to 'Active' and its 'Activate' button disappears.
4. The blocking count has gone down by one and that purpose's line is gone, without reloading the page.
5. Each shows its own toast; there is no single 'activate all' control.
6. No 'the purpose ... is draft, not activated' lines remain; only 'the english text is not legally approved' is left. The 'Purposes' stat shows 9.</t>
        </is>
      </c>
      <c r="M51" s="11" t="inlineStr">
        <is>
          <t>Every purpose is activated individually from the notice page and each activation removes its checklist line straight away.</t>
        </is>
      </c>
      <c r="N51" s="16" t="n"/>
      <c r="O51" s="17" t="n"/>
      <c r="P51" s="16" t="inlineStr">
        <is>
          <t>Not run</t>
        </is>
      </c>
      <c r="Q51" s="16" t="n"/>
      <c r="R51" s="16" t="n"/>
    </row>
    <row r="52">
      <c r="A52" s="10" t="inlineStr">
        <is>
          <t>PRJ-11</t>
        </is>
      </c>
      <c r="B52" s="11" t="inlineStr">
        <is>
          <t>Projects, notices and links</t>
        </is>
      </c>
      <c r="C52" s="11" t="inlineStr">
        <is>
          <t>DPO composes the wording, adds a Hindi rendition and legally approves each language</t>
        </is>
      </c>
      <c r="D52" s="11" t="inlineStr">
        <is>
          <t>Notice review - renditions and legal approval</t>
        </is>
      </c>
      <c r="E52" s="11" t="inlineStr">
        <is>
          <t>DPO</t>
        </is>
      </c>
      <c r="F52" s="11" t="inlineStr">
        <is>
          <t>High</t>
        </is>
      </c>
      <c r="G52" s="11" t="inlineStr">
        <is>
          <t>Positive</t>
        </is>
      </c>
      <c r="H52" s="11" t="inlineStr">
        <is>
          <t>Core</t>
        </is>
      </c>
      <c r="I52" s="11" t="inlineStr">
        <is>
          <t>- PRJ-10 completed.
-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t>
        </is>
      </c>
      <c r="J52" s="11" t="inlineStr">
        <is>
          <t>- Extra sentence for English: 'Contact the Privacy Office at dpo@example.org with any question.'
- Hindi text: 'यह UAT परीक्षण सूचना है। (UAT test notice - Hindi rendition)'</t>
        </is>
      </c>
      <c r="K52" s="11" t="inlineStr">
        <is>
          <t>1. On notice NTC-UAT-STUDY-01-2026 v1, find the 'Notice text' card and click 'Edit English text'.
2. Add the extra sentence at the end of the text and click 'Save text'.
3. In the 'Legal approval, per language' card click 'Add language'.
4. Choose Language 'Hindi', paste the Hindi text and click 'Save text'.
5. Look at the 'Publication checklist'.
6. Read the English text, then click 'Approve' on the English row.
7. Click the 'hindi' tab in 'Notice text', read it, then click 'Approve' on the Hindi row.
8. Look at the 'Publication checklist'.</t>
        </is>
      </c>
      <c r="L52" s="11" t="inlineStr">
        <is>
          <t>1. A dialog 'Edit English text' opens: 'This exact text is hashed at publication and becomes the record of what was agreed to.' 'Language' is locked to English; 'Notice text' holds the current wording.
2. Toast 'Rendition saved' says 'It must be legally approved before the notice can be published.' The new sentence is visible in the 'Notice text' card.
3. A dialog 'Add language' opens with 'Language' and 'Notice text'.
4. Toast 'Rendition saved'. The card now lists English and Hindi, both 'Not legally approved'. The 'Notice text' card shows language tabs (english / hindi).
5. Lines 'the english text is not legally approved' and 'the hindi text is not legally approved' are shown; 'Languages' stat is 2, 'Approved' is 0.
6. Toast 'english approved' says 'Its hash is what a data subject's consent will be matched against.' The row shows 'Approved' with 'Priya Menon' and the time.
7. Toast 'hindi approved'. Both rows show 'Approved'; 'Approved' stat equals 2.
8. It reads 'This notice is complete and ready to publish.' and shows a 'Publish this notice' button. Do NOT click it - publication happens with the project approval in PRJ-12.</t>
        </is>
      </c>
      <c r="M52" s="11" t="inlineStr">
        <is>
          <t>The Privacy Office can edit the wording and add a language, each saved text starts unapproved, and approving every language clears the checklist.</t>
        </is>
      </c>
      <c r="N52" s="16" t="n"/>
      <c r="O52" s="17" t="n"/>
      <c r="P52" s="16" t="inlineStr">
        <is>
          <t>Not run</t>
        </is>
      </c>
      <c r="Q52" s="16" t="n"/>
      <c r="R52" s="16" t="n"/>
    </row>
    <row r="53">
      <c r="A53" s="10" t="inlineStr">
        <is>
          <t>PRJ-12</t>
        </is>
      </c>
      <c r="B53" s="11" t="inlineStr">
        <is>
          <t>Projects, notices and links</t>
        </is>
      </c>
      <c r="C53" s="11" t="inlineStr">
        <is>
          <t>DPO approves the project, which publishes and freezes its notice</t>
        </is>
      </c>
      <c r="D53" s="11" t="inlineStr">
        <is>
          <t>Project approval (Pending Approval to Approved)</t>
        </is>
      </c>
      <c r="E53" s="11" t="inlineStr">
        <is>
          <t>DPO</t>
        </is>
      </c>
      <c r="F53" s="11" t="inlineStr">
        <is>
          <t>High</t>
        </is>
      </c>
      <c r="G53" s="11" t="inlineStr">
        <is>
          <t>Positive</t>
        </is>
      </c>
      <c r="H53" s="11" t="inlineStr">
        <is>
          <t>Core</t>
        </is>
      </c>
      <c r="I53" s="11" t="inlineStr">
        <is>
          <t>- PRJ-11 completed (checklist says the notice is complete).
-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t>
        </is>
      </c>
      <c r="J53" s="11" t="inlineStr">
        <is>
          <t>- Project: UAT Study 01
- Note: 'UAT approval - all purposes reviewed.'</t>
        </is>
      </c>
      <c r="K53" s="11" t="inlineStr">
        <is>
          <t>1. Click the project name link at the top of the notice page ('UAT Study 01') to return to the project.
2. Look at 'Moves the project to Approved' in 'What happens next'.
3. Click 'Approve project'.
4. Type the note and click 'Approve project' in the panel.
5. Check the page header and progress bar.
6. Look at the 'Notices' card.
7. Look at the 'History' card.
8. Look at the right-hand column.</t>
        </is>
      </c>
      <c r="L53" s="11" t="inlineStr">
        <is>
          <t>1. The project page opens with status 'Pending Approval'.
2. No warning lines remain; the 'Approve project' button is active and the row carries the tag 'publishes the notice'.
3. A panel 'Approve project' opens with a yellow warning: 'This publishes the project's notice. Its text and hash are frozen at that moment and cannot be edited afterwards - a correction requires a new version...' and an optional 'Note (optional)' box.
4. Toast 'Moved to Approved' says 'The notice has been published and its text is now frozen.'
5. Status badge 'Approved'; progress bar at the last step.
6. 'NTC-UAT-STUDY-01-2026 v1' shows the badge 'Published' and '· published &lt;date/time&gt;'.
7. The newest entry is 'Pending Approval → Approved' by 'Priya Menon (Dpo)' with the note shown in quotes.
8. An info note reads 'Adding a site now is a material change: it adds a recipient to a published notice, so it requires a new notice version before collection starts there.'</t>
        </is>
      </c>
      <c r="M53" s="11" t="inlineStr">
        <is>
          <t>The project is Approved and, in the same step, its notice becomes Published with a timestamp.</t>
        </is>
      </c>
      <c r="N53" s="16" t="n"/>
      <c r="O53" s="17" t="n"/>
      <c r="P53" s="16" t="inlineStr">
        <is>
          <t>Not run</t>
        </is>
      </c>
      <c r="Q53" s="16" t="n"/>
      <c r="R53" s="16" t="n"/>
    </row>
    <row r="54">
      <c r="A54" s="10" t="inlineStr">
        <is>
          <t>PRJ-13</t>
        </is>
      </c>
      <c r="B54" s="11" t="inlineStr">
        <is>
          <t>Projects, notices and links</t>
        </is>
      </c>
      <c r="C54" s="11" t="inlineStr">
        <is>
          <t>A published notice is frozen - no edits, and an upload cannot replace it</t>
        </is>
      </c>
      <c r="D54" s="11" t="inlineStr">
        <is>
          <t>Notice freeze after publication</t>
        </is>
      </c>
      <c r="E54" s="11" t="inlineStr">
        <is>
          <t>DPO, R&amp;D User</t>
        </is>
      </c>
      <c r="F54" s="11" t="inlineStr">
        <is>
          <t>High</t>
        </is>
      </c>
      <c r="G54" s="11" t="inlineStr">
        <is>
          <t>Negative</t>
        </is>
      </c>
      <c r="H54" s="11" t="inlineStr">
        <is>
          <t>Core</t>
        </is>
      </c>
      <c r="I54" s="11" t="inlineStr">
        <is>
          <t>- PRJ-12 completed (NTC-UAT-STUDY-01-2026 v1 is Published).
-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
- Kavya Rao (rnd@cmp.local) available for the second half.</t>
        </is>
      </c>
      <c r="J54" s="11" t="inlineStr">
        <is>
          <t>- Notice: NTC-UAT-STUDY-01-2026 v1
- File: the same filled notice .docx used in PRJ-05</t>
        </is>
      </c>
      <c r="K54" s="11" t="inlineStr">
        <is>
          <t>1. As the DPO open 'Notices' in the sidebar and click 'NTC-UAT-STUDY-01-2026'.
2. Look for editing controls across the page.
3. Read the info note in the right-hand column.
4. Look at 'Rule 3 elements' &gt; 'Recipients'.
5. Sign out and sign in as rnd@cmp.local. Open project 'UAT Study 01' and click 'Upload a notice document'.
6. Choose the filled .docx and click 'Check the document'.
7. Click 'Cancel'.</t>
        </is>
      </c>
      <c r="L54" s="11" t="inlineStr">
        <is>
          <t>1. The notice page shows 'Published &lt;date&gt;. This text is frozen.' and the badge 'Published'.
2. There is NO 'Edit' in the header, NO 'Edit English text', NO 'Manage', NO 'Activate', NO 'Customise for this notice', NO 'Add language' and NO 'Publish this notice'. The 'Publication checklist' card is not shown.
3. 'This notice is published. Its text and hashes are immutable — the database refuses an edit. To change anything, publish a new version.'
4. It shows the recipient text fixed at publication (no longer 'Generated from the project's sites at publication').
5. The 'Upload a notice document' dialog opens.
6. A red message says 'This project already has the published notice NTC-UAT-STUDY-01-2026. Its text is hashed into every consent taken against it, so an upload cannot replace it - create a new version of the notice instead.' 'Create the notice' stays disabled.
7. The dialog closes; the Notices card still shows only v1 'Published'.</t>
        </is>
      </c>
      <c r="M54" s="11" t="inlineStr">
        <is>
          <t>Once published, the notice offers no way to change its text or purposes, and a re-upload is refused with a message pointing to a new version.</t>
        </is>
      </c>
      <c r="N54" s="16" t="n"/>
      <c r="O54" s="17" t="n"/>
      <c r="P54" s="16" t="inlineStr">
        <is>
          <t>Not run</t>
        </is>
      </c>
      <c r="Q54" s="16" t="n"/>
      <c r="R54" s="16" t="n"/>
    </row>
    <row r="55">
      <c r="A55" s="10" t="inlineStr">
        <is>
          <t>PRJ-14</t>
        </is>
      </c>
      <c r="B55" s="11" t="inlineStr">
        <is>
          <t>Projects, notices and links</t>
        </is>
      </c>
      <c r="C55" s="11" t="inlineStr">
        <is>
          <t>Third-party routing: DCO Admin registers the partner's collection site and it passes to the DCO</t>
        </is>
      </c>
      <c r="D55" s="11" t="inlineStr">
        <is>
          <t>Routing after approval - third party; Add site; Who runs it</t>
        </is>
      </c>
      <c r="E55" s="11" t="inlineStr">
        <is>
          <t>DCO Admin</t>
        </is>
      </c>
      <c r="F55" s="11" t="inlineStr">
        <is>
          <t>High</t>
        </is>
      </c>
      <c r="G55" s="11" t="inlineStr">
        <is>
          <t>Positive</t>
        </is>
      </c>
      <c r="H55" s="11" t="inlineStr">
        <is>
          <t>Core</t>
        </is>
      </c>
      <c r="I55" s="11" t="inlineStr">
        <is>
          <t>- PRJ-12 completed (UAT Study 01 Approved, names SEED).
- Signed in to the console (http://localhost:3000) as Nikhil Bose, DCO Admin (dcoadmin@cmp.local): on 'Sign in' enter 'Email or username' and 'Password' (SeedPassw0rd!2026), click 'Sign in', then type the 6-digit code relayed by the test coordinator on 'Verify it is you' and click 'Verify and continue'. To change user, use 'Sign out' in the sidebar.
- Seeded data source 'CIT' (SRC-SEED-CIT) under SEED is owned by Arun Shetty.</t>
        </is>
      </c>
      <c r="J55" s="11" t="inlineStr">
        <is>
          <t>- Project: UAT Study 01
- Data source: CIT · SEED · Arun Shetty
- Location: CIT campus, Coimbatore</t>
        </is>
      </c>
      <c r="K55" s="11" t="inlineStr">
        <is>
          <t>1. Click 'Projects' in the sidebar, set 'Status' to 'Approved' and open 'UAT Study 01'.
2. Look at the 'Who is collecting' card.
3. Click 'Add site' at the top of the page.
4. Open 'Data source'.
5. Choose 'CIT · SEED · Arun Shetty'.
6. Type the Location and click 'Add collection site'.
7. Look at the 'Collection sites' card.
8. Look at 'Details' on the right.
9. Click 'Who runs it' on the CIT row.
10. Click 'Cancel'.</t>
        </is>
      </c>
      <c r="L55" s="11" t="inlineStr">
        <is>
          <t>1. The project is visible to the DCO Admin (it names a third-party processor). Status 'Approved'.
2. SEED shows 'approved', 'collected by a third party' and '· no collection set up yet'.
3. A dialog 'Add a collection site' opens with a yellow note that the notice is already published and adding a site is a material change requiring a new notice version; fields 'Data source' and 'Location'. There is no site-name or processor field.
4. Only sources under this project's processors (SEED, SRIB) are offered, each as '&lt;name&gt; · &lt;processor&gt; · &lt;owner or unowned&gt;'. Sources of other processors are not listed.
5. A blue note reads 'Arun Shetty owns SRC-SEED-CIT and will pick up this site.'
6. Toast 'Collection site added' says 'This adds a recipient the published notice does not name. A new notice version is required before collecting here.'
7. A row 'CIT' with 'CIT campus, Coimbatore · operated by SEED', owner line 'CIT · Arun Shetty' with a 'decides' tag, status 'Active', and the buttons 'Change source' and 'Who runs it'.
8. 'Data Collection Owner' now reads 'Arun Shetty'.
9. A dialog 'Who runs CIT?' opens: 'Only on this project. The data source keeps its own owner.' It explains 'Arun Shetty owns SRC-SEED-CIT and runs this site by default... every other project collecting from it is untouched.' The field is labelled 'Data Collection Owner' with the default 'No exception — Arun Shetty runs it'. The 'Name them'/'Clear the exception' button is disabled until the choice changes.
10. The dialog closes with nothing changed.</t>
        </is>
      </c>
      <c r="M55" s="11" t="inlineStr">
        <is>
          <t>The DCO Admin can see the approved third-party project, register the site by choosing a data source, and the site (and project) is owned by the source's DCO.</t>
        </is>
      </c>
      <c r="N55" s="16" t="n"/>
      <c r="O55" s="17" t="n"/>
      <c r="P55" s="16" t="inlineStr">
        <is>
          <t>Not run</t>
        </is>
      </c>
      <c r="Q55" s="16" t="n"/>
      <c r="R55" s="16" t="n"/>
    </row>
    <row r="56">
      <c r="A56" s="10" t="inlineStr">
        <is>
          <t>PRJ-15</t>
        </is>
      </c>
      <c r="B56" s="11" t="inlineStr">
        <is>
          <t>Projects, notices and links</t>
        </is>
      </c>
      <c r="C56" s="11" t="inlineStr">
        <is>
          <t>In-house routing: the R&amp;D owner names the in-house source and the RCO sees only her site</t>
        </is>
      </c>
      <c r="D56" s="11" t="inlineStr">
        <is>
          <t>Routing after approval - in-house; Add site; site scope</t>
        </is>
      </c>
      <c r="E56" s="11" t="inlineStr">
        <is>
          <t>R&amp;D User, RCO</t>
        </is>
      </c>
      <c r="F56" s="11" t="inlineStr">
        <is>
          <t>High</t>
        </is>
      </c>
      <c r="G56" s="11" t="inlineStr">
        <is>
          <t>Positive</t>
        </is>
      </c>
      <c r="H56" s="11" t="inlineStr">
        <is>
          <t>Core</t>
        </is>
      </c>
      <c r="I56" s="11" t="inlineStr">
        <is>
          <t>- PRJ-14 completed.
- Signed in to the console (http://localhost:3000) as Kavya Rao, R&amp;D User (rnd@cmp.local): on 'Sign in' enter 'Email or username' and 'Password' (SeedPassw0rd!2026), click 'Sign in', then type the 6-digit code relayed by the test coordinator on 'Verify it is you' and click 'Verify and continue'. To change user, use 'Sign out' in the sidebar.
- Meera Iyer (rco@cmp.local) available. Seeded source 'SE' (SRC-SRIB-SE) under SRIB is owned by Meera Iyer.</t>
        </is>
      </c>
      <c r="J56" s="11" t="inlineStr">
        <is>
          <t>- Project: UAT Study 01
- Data source: SE · SRIB · Meera Iyer
- Location: SRIB lab, Bengaluru</t>
        </is>
      </c>
      <c r="K56" s="11" t="inlineStr">
        <is>
          <t>1. As Kavya Rao open project 'UAT Study 01'.
2. Click 'Add site'.
3. Choose Data source 'SE · SRIB · Meera Iyer', enter the Location, and click 'Add collection site'.
4. Look at the new 'SE' row in 'Collection sites'.
5. Click 'Who runs it' on the SE row.
6. Sign out, sign in as rco@cmp.local and click 'Collection sites' in the sidebar.
7. Click 'UAT Study 01' on the SE row.</t>
        </is>
      </c>
      <c r="L56" s="11" t="inlineStr">
        <is>
          <t>1. Status 'Approved'. 'What happens next' says 'There is nothing for your role to do at this stage.' The 'Who is collecting' button now reads 'Request a collector'.
2. The 'Add a collection site' dialog opens with the material-change note.
3. Before saving the note reads 'Meera Iyer owns SRC-SRIB-SE and will pick up this site.' After saving, toast 'Collection site added'.
4. Owner line 'SE · Meera Iyer' with the tag 'in-house'; buttons 'Change source' and 'Who runs it' are available to the R&amp;D owner. There is NO 'Create link' button for the R&amp;D User.
5. Dialog 'Who runs SE?' opens; the field is labelled 'R&amp;D Collection Owner' and lists R&amp;D Collection Owners (e.g. Meera Iyer · rco@cmp.local), not Data Collection Owners. Click 'Cancel'.
6. The list includes 'SE' with project 'UAT Study 01', 'Operated by' SRIB. The 'CIT' site of UAT Study 01 is NOT listed.
7. The project page opens. In 'Collection sites', the SE row shows a 'Create link' button; Meera has no link control for CIT.</t>
        </is>
      </c>
      <c r="M56" s="11" t="inlineStr">
        <is>
          <t>The in-house site is set up by the R&amp;D owner and is visible to (and actionable by) the RCO only, separate from the third-party site.</t>
        </is>
      </c>
      <c r="N56" s="16" t="n"/>
      <c r="O56" s="17" t="n"/>
      <c r="P56" s="16" t="inlineStr">
        <is>
          <t>Not run</t>
        </is>
      </c>
      <c r="Q56" s="16" t="n"/>
      <c r="R56" s="16" t="n"/>
    </row>
    <row r="57">
      <c r="A57" s="10" t="inlineStr">
        <is>
          <t>PRJ-16</t>
        </is>
      </c>
      <c r="B57" s="11" t="inlineStr">
        <is>
          <t>Projects, notices and links</t>
        </is>
      </c>
      <c r="C57" s="11" t="inlineStr">
        <is>
          <t>A correction after publication is made as a new notice version, which supersedes the old one</t>
        </is>
      </c>
      <c r="D57" s="11" t="inlineStr">
        <is>
          <t>Notice versioning</t>
        </is>
      </c>
      <c r="E57" s="11" t="inlineStr">
        <is>
          <t>DPO</t>
        </is>
      </c>
      <c r="F57" s="11" t="inlineStr">
        <is>
          <t>Medium</t>
        </is>
      </c>
      <c r="G57" s="11" t="inlineStr">
        <is>
          <t>Positive</t>
        </is>
      </c>
      <c r="H57" s="11" t="inlineStr">
        <is>
          <t>Core</t>
        </is>
      </c>
      <c r="I57" s="11" t="inlineStr">
        <is>
          <t>- PRJ-14 and PRJ-15 completed (two sites added after publication).
-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t>
        </is>
      </c>
      <c r="J57" s="11" t="inlineStr">
        <is>
          <t>- Notice code (set by hand): NTC-UAT-STUDY-01-2026
- DPO contact: dpo@example.org
- Applies to: Data subjects — people outside the organisation
- Withdraw consent URL: https://example.org/withdraw
- Exercise rights URL: https://example.org/rights
- Board complaint URL: https://example.org/complain
- Language: English
- Notice text: copy the English text of v1 from its 'Notice text' card and add 'Collection sites: CIT campus, Coimbatore; SRIB lab, Bengaluru.'
- Purposes: the same 9 purposes shown on v1</t>
        </is>
      </c>
      <c r="K57" s="11" t="inlineStr">
        <is>
          <t>1. Open project 'UAT Study 01' and click 'New notice' (DPO only).
2. Click 'Set the code myself' and type NTC-UAT-STUDY-01-2026 in 'Notice code'. Fill 'DPO contact', 'Applies to', the three URLs, 'Language' and 'Notice text' from the test data. Click 'Create notice'.
3. Open v2. In 'Purposes' click 'Attach a purpose' (or 'Manage').
4. Attach each of the 9 purposes that v1 carries, one by one: choose it and click 'Attach'. The dialog stays open after each - there is no 'Done' button - so close it with the × at its top right when all 9 are attached.
5. In 'Legal approval, per language' click 'Approve' on the English row.
6. Click 'Publish this notice'.
7. Click 'Publish and freeze'.
8. Return to the project (breadcrumb 'UAT Study 01') and look at the 'Notices' card.</t>
        </is>
      </c>
      <c r="L57" s="11" t="inlineStr">
        <is>
          <t>1. Dialog 'New notice' opens: 'Every Rule 3 element is required before it can be published.' It says 'The notice code is generated for you' with a link 'Set the code myself'.
2. Toast 'Notice NTC-UAT-STUDY-01-2026 created' with 'Attach purposes, then approve the text and publish.' The Notices card lists 'NTC-UAT-STUDY-01-2026 v2' as 'Draft' and v1 as 'Published'.
3. Dialog 'Purposes on this notice' opens with 'Attach a purpose' (only active purposes listed), a 'Cannot be refused' tick box, and 'Attach'.
4. Toast 'Purpose attached' each time; the Purposes card lists 9 purposes, all 'Active'.
5. Toast 'english approved'. The checklist reads 'This notice is complete and ready to publish.' and the 'Sites' stat shows 2.
6. A box 'Publishing is not reversible' explains the text is hashed and frozen and the recipient list is generated from the project's active sites; buttons 'Publish and freeze' and 'Cancel'.
7. Toast 'Notice published' says 'The text and its hash are frozen. Edits now require a new version.' Title 'NTC-UAT-STUDY-01-2026 · version 2', badge 'Published'; 'Recipients' now names CIT and SE.
8. v2 shows 'Published'; v1 shows 'Superseded' - only one notice on the project is ever 'Published'. Opening v1 still shows its original frozen text.</t>
        </is>
      </c>
      <c r="M57" s="11" t="inlineStr">
        <is>
          <t>The change is made as version 2 with the same code; publishing it supersedes version 1, which stays readable and unchanged.</t>
        </is>
      </c>
      <c r="N57" s="16" t="n"/>
      <c r="O57" s="17" t="n"/>
      <c r="P57" s="16" t="inlineStr">
        <is>
          <t>Not run</t>
        </is>
      </c>
      <c r="Q57" s="16" t="n"/>
      <c r="R57" s="16" t="n"/>
    </row>
    <row r="58">
      <c r="A58" s="10" t="inlineStr">
        <is>
          <t>PRJ-17</t>
        </is>
      </c>
      <c r="B58" s="11" t="inlineStr">
        <is>
          <t>Projects, notices and links</t>
        </is>
      </c>
      <c r="C58" s="11" t="inlineStr">
        <is>
          <t>A consent link cannot be created without a future expiry</t>
        </is>
      </c>
      <c r="D58" s="11" t="inlineStr">
        <is>
          <t>Create consent link - validation</t>
        </is>
      </c>
      <c r="E58" s="11" t="inlineStr">
        <is>
          <t>DCO</t>
        </is>
      </c>
      <c r="F58" s="11" t="inlineStr">
        <is>
          <t>High</t>
        </is>
      </c>
      <c r="G58" s="11" t="inlineStr">
        <is>
          <t>Negative</t>
        </is>
      </c>
      <c r="H58" s="11" t="inlineStr">
        <is>
          <t>Core</t>
        </is>
      </c>
      <c r="I58" s="11" t="inlineStr">
        <is>
          <t>- PRJ-14 completed (CIT site on UAT Study 01 owned by Arun Shetty, no live link).
- Signed in to the console (http://localhost:3000) as Arun Shetty, DCO (dco@cmp.local): on 'Sign in' enter 'Email or username' and 'Password' (SeedPassw0rd!2026), click 'Sign in', then type the 6-digit code relayed by the test coordinator on 'Verify it is you' and click 'Verify and continue'. To change user, use 'Sign out' in the sidebar.</t>
        </is>
      </c>
      <c r="J58" s="11" t="inlineStr">
        <is>
          <t>- Expires at: empty, then yesterday's date/time
- Maximum uses: 0</t>
        </is>
      </c>
      <c r="K58" s="11" t="inlineStr">
        <is>
          <t>1. Click 'Collection sites' in the sidebar.
2. Click 'UAT Study 01' on the CIT row.
3. Click 'Create link'.
4. Leave 'Expires at' empty and click 'Create link'.
5. Set 'Expires at' to yesterday and click 'Create link'.
6. Set 'Expires at' to 7 days ahead, enter 0 in 'Maximum uses' and click 'Create link'.
7. Click 'Cancel'.</t>
        </is>
      </c>
      <c r="L58" s="11" t="inlineStr">
        <is>
          <t>1. The list shows 'CIT' for project 'UAT Study 01'. The 'SE' site of UAT Study 01 is NOT listed for the DCO.
2. The project page opens. The CIT site row shows a 'Create link' button.
3. Dialog 'Consent link for CIT' opens: 'The token is shown once and cannot be retrieved again.' Fields 'Expires at' (required; hint 'Required, with no default and no maximum...'), 'Maximum uses', 'Field agent reference'. 'Expires at' is empty - there is no default.
4. The dialog stays open with 'The expiry is required' under 'Expires at'. No link is created.
5. 'The expiry has to be in the future' is shown. No link is created.
6. 'A link that can be used zero times is not worth minting' is shown under 'Maximum uses'.
7. The dialog closes; the CIT row still shows 'Create link' and no active link count.</t>
        </is>
      </c>
      <c r="M58" s="11" t="inlineStr">
        <is>
          <t>No consent link can be minted without an expiry in the future (and a use limit, if given, of at least 1).</t>
        </is>
      </c>
      <c r="N58" s="16" t="n"/>
      <c r="O58" s="17" t="n"/>
      <c r="P58" s="16" t="inlineStr">
        <is>
          <t>Not run</t>
        </is>
      </c>
      <c r="Q58" s="16" t="n"/>
      <c r="R58" s="16" t="n"/>
    </row>
    <row r="59">
      <c r="A59" s="10" t="inlineStr">
        <is>
          <t>PRJ-18</t>
        </is>
      </c>
      <c r="B59" s="11" t="inlineStr">
        <is>
          <t>Projects, notices and links</t>
        </is>
      </c>
      <c r="C59" s="11" t="inlineStr">
        <is>
          <t>DCO creates a consent link for the site, copies it, and it opens on the portal</t>
        </is>
      </c>
      <c r="D59" s="11" t="inlineStr">
        <is>
          <t>Create and copy consent link</t>
        </is>
      </c>
      <c r="E59" s="11" t="inlineStr">
        <is>
          <t>DCO</t>
        </is>
      </c>
      <c r="F59" s="11" t="inlineStr">
        <is>
          <t>High</t>
        </is>
      </c>
      <c r="G59" s="11" t="inlineStr">
        <is>
          <t>Positive</t>
        </is>
      </c>
      <c r="H59" s="11" t="inlineStr">
        <is>
          <t>Core</t>
        </is>
      </c>
      <c r="I59" s="11" t="inlineStr">
        <is>
          <t>- PRJ-17 completed.
- Signed in to the console (http://localhost:3000) as Arun Shetty, DCO (dco@cmp.local): on 'Sign in' enter 'Email or username' and 'Password' (SeedPassw0rd!2026), click 'Sign in', then type the 6-digit code relayed by the test coordinator on 'Verify it is you' and click 'Verify and continue'. To change user, use 'Sign out' in the sidebar.
- PRJ-16 completed is recommended so the link serves notice v2.</t>
        </is>
      </c>
      <c r="J59" s="11" t="inlineStr">
        <is>
          <t>- Expires at: 7 days from now, 18:00
- Maximum uses: 50
- Field agent reference: UAT-AGENT-01</t>
        </is>
      </c>
      <c r="K59" s="11" t="inlineStr">
        <is>
          <t>1. On project 'UAT Study 01' click 'Create link' on the CIT row.
2. Fill in the test data and click 'Create link'.
3. Read the URL.
4. Click 'Copy link'.
5. Click 'Done'.
6. Look at the 'Consent links' card on the right.
7. Click 'Copy link' on the CIT row.
8. Open the saved URL in a private/incognito browser window.</t>
        </is>
      </c>
      <c r="L59" s="11" t="inlineStr">
        <is>
          <t>1. Dialog 'Consent link for CIT' opens.
2. Toast 'Consent link created'. The dialog now shows a yellow box titled 'Copy this now' and the full URL.
3. It begins with the data-principal portal address http://localhost:3001/c/ followed by a long token - NOT http://localhost:3000.
4. The button changes to 'Copied' for a moment. Paste into a notepad to confirm the same URL.
5. The dialog closes. The CIT row now shows '1 active link(s)', 'Copy link' and 'Replace link' instead of 'Create link' (refresh the page if the count has not updated).
6. A row 'CIT' with the badge 'Active' and '0 of 50 used · expires &lt;date/time&gt;'.
7. It shows 'Copied'; the pasted URL is the same one you saved.
8. The portal opens a consent page with 'UAT Study 01' and 'CIT' in the top banner and the steps 'Your details', 'Confirm', 'The notice', 'Done', asking for a 'Mobile number'. Close the window without continuing.</t>
        </is>
      </c>
      <c r="M59" s="11" t="inlineStr">
        <is>
          <t>An active link is minted with the chosen expiry and limit, its URL points at the portal (port 3001), it can be copied again later, and it opens the consent page for the right project and site.</t>
        </is>
      </c>
      <c r="N59" s="16" t="n"/>
      <c r="O59" s="17" t="n"/>
      <c r="P59" s="16" t="inlineStr">
        <is>
          <t>Not run</t>
        </is>
      </c>
      <c r="Q59" s="16" t="n"/>
      <c r="R59" s="16" t="n"/>
    </row>
    <row r="60">
      <c r="A60" s="10" t="inlineStr">
        <is>
          <t>PRJ-19</t>
        </is>
      </c>
      <c r="B60" s="11" t="inlineStr">
        <is>
          <t>Projects, notices and links</t>
        </is>
      </c>
      <c r="C60" s="11" t="inlineStr">
        <is>
          <t>DCO replaces a consent link; the old URL stops working and the new one works</t>
        </is>
      </c>
      <c r="D60" s="11" t="inlineStr">
        <is>
          <t>Replace consent link</t>
        </is>
      </c>
      <c r="E60" s="11" t="inlineStr">
        <is>
          <t>DCO</t>
        </is>
      </c>
      <c r="F60" s="11" t="inlineStr">
        <is>
          <t>High</t>
        </is>
      </c>
      <c r="G60" s="11" t="inlineStr">
        <is>
          <t>Positive</t>
        </is>
      </c>
      <c r="H60" s="11" t="inlineStr">
        <is>
          <t>Core</t>
        </is>
      </c>
      <c r="I60" s="11" t="inlineStr">
        <is>
          <t>- PRJ-18 completed (URL saved in a notepad as 'old URL').
- Signed in to the console (http://localhost:3000) as Arun Shetty, DCO (dco@cmp.local): on 'Sign in' enter 'Email or username' and 'Password' (SeedPassw0rd!2026), click 'Sign in', then type the 6-digit code relayed by the test coordinator on 'Verify it is you' and click 'Verify and continue'. To change user, use 'Sign out' in the sidebar.</t>
        </is>
      </c>
      <c r="J60" s="11" t="inlineStr">
        <is>
          <t>- Site: CIT (UAT Study 01)</t>
        </is>
      </c>
      <c r="K60" s="11" t="inlineStr">
        <is>
          <t>1. Click 'Consent links' in the sidebar.
2. Set the 'Status' filter to 'Active' and find the CIT row for UAT Study 01.
3. Click 'Replace' on that row.
4. Click 'Revoke and replace'.
5. Click 'Copy link', save it as 'new URL', then click 'I have copied it'.
6. Set 'Status' to 'All statuses' and look at the CIT rows.
7. Open the old URL in a private window.
8. Open the new URL in a private window.</t>
        </is>
      </c>
      <c r="L60" s="11" t="inlineStr">
        <is>
          <t>1. Page 'Consent links' opens with the info box 'The link is a credential' and a table with Site, Project, Status, Uses, Registrations, Expires, Actions.
2. The row shows 'Active', 'Copy link', 'Replace' and 'Revoke'.
3. Dialog 'Replace the link for CIT?' opens: 'The old link stops working immediately. The new URL is shown once.', a yellow box 'This revokes the current link', Site/Expires/Uses, and 'The replacement inherits the same expiry and use limit...'. Buttons 'Cancel' and 'Revoke and replace'.
4. The dialog changes to 'Copy this now' with a yellow box 'This is the only time you will see this' and the new URL (starting http://localhost:3001/c/).
5. The dialog closes.
6. The old link shows 'Revoked' (with 'New link' offered instead of Replace); a new link shows 'Active' with the same expiry and use limit.
7. The portal shows 'This link is not valid' and 'It may have expired, been withdrawn, or been mistyped. Please ask the person who gave it to you for a current one.' No project or notice details are shown.
8. The consent page for 'UAT Study 01' / 'CIT' opens at 'Your details'.</t>
        </is>
      </c>
      <c r="M60" s="11" t="inlineStr">
        <is>
          <t>Replacing revokes the old link and issues a new one in one step; only the new URL works on the portal.</t>
        </is>
      </c>
      <c r="N60" s="16" t="n"/>
      <c r="O60" s="17" t="n"/>
      <c r="P60" s="16" t="inlineStr">
        <is>
          <t>Not run</t>
        </is>
      </c>
      <c r="Q60" s="16" t="n"/>
      <c r="R60" s="16" t="n"/>
    </row>
    <row r="61">
      <c r="A61" s="10" t="inlineStr">
        <is>
          <t>PRJ-20</t>
        </is>
      </c>
      <c r="B61" s="11" t="inlineStr">
        <is>
          <t>Projects, notices and links</t>
        </is>
      </c>
      <c r="C61" s="11" t="inlineStr">
        <is>
          <t>A revoked consent link shows 'This link is not valid' on the portal</t>
        </is>
      </c>
      <c r="D61" s="11" t="inlineStr">
        <is>
          <t>Revoke consent link</t>
        </is>
      </c>
      <c r="E61" s="11" t="inlineStr">
        <is>
          <t>RCO</t>
        </is>
      </c>
      <c r="F61" s="11" t="inlineStr">
        <is>
          <t>High</t>
        </is>
      </c>
      <c r="G61" s="11" t="inlineStr">
        <is>
          <t>Negative</t>
        </is>
      </c>
      <c r="H61" s="11" t="inlineStr">
        <is>
          <t>Core</t>
        </is>
      </c>
      <c r="I61" s="11" t="inlineStr">
        <is>
          <t>- PRJ-15 completed (SE site on UAT Study 01 owned by Meera Iyer).
- Signed in to the console (http://localhost:3000) as Meera Iyer, RCO (rco@cmp.local): on 'Sign in' enter 'Email or username' and 'Password' (SeedPassw0rd!2026), click 'Sign in', then type the 6-digit code relayed by the test coordinator on 'Verify it is you' and click 'Verify and continue'. To change user, use 'Sign out' in the sidebar.</t>
        </is>
      </c>
      <c r="J61" s="11" t="inlineStr">
        <is>
          <t>- Site: SE (UAT Study 01)
- Expires at: 3 days from now
- Maximum uses: (blank = unlimited)</t>
        </is>
      </c>
      <c r="K61" s="11" t="inlineStr">
        <is>
          <t>1. Open 'Collection sites', click 'UAT Study 01' on the SE row, and click 'Create link' on SE.
2. Set 'Expires at' and click 'Create link'. Copy the URL, then click 'Done'.
3. Open the URL in a private window.
4. Click 'Consent links' in the sidebar and find the SE row for UAT Study 01.
5. Click 'Revoke'.
6. Open the same URL again in a private window.</t>
        </is>
      </c>
      <c r="L61" s="11" t="inlineStr">
        <is>
          <t>1. Dialog 'Consent link for SE' opens.
2. Toast 'Consent link created'; the URL starts http://localhost:3001/c/. The SE row shows 'Copy link' and 'Replace link'.
3. The consent page for 'UAT Study 01' / 'SE' opens. Close it.
4. The row shows 'Active' with 'Copy link', 'Replace' and 'Revoke'. Meera does not see the CIT link of UAT Study 01.
5. Toast 'Link revoked' says 'SE no longer resolves for anyone holding it.' The status changes to 'Revoked'; 'Copy link', 'Replace' and 'Revoke' disappear and 'New link' is offered.
6. The portal shows only 'This link is not valid' with 'It may have expired, been withdrawn, or been mistyped...'. It does not say the link was revoked and shows no project or notice.</t>
        </is>
      </c>
      <c r="M61" s="11" t="inlineStr">
        <is>
          <t>A revoked link no longer opens the consent flow and the portal gives only the neutral 'This link is not valid' message.</t>
        </is>
      </c>
      <c r="N61" s="16" t="n"/>
      <c r="O61" s="17" t="n"/>
      <c r="P61" s="16" t="inlineStr">
        <is>
          <t>Not run</t>
        </is>
      </c>
      <c r="Q61" s="16" t="n"/>
      <c r="R61" s="16" t="n"/>
    </row>
    <row r="62">
      <c r="A62" s="10" t="inlineStr">
        <is>
          <t>PRJ-21</t>
        </is>
      </c>
      <c r="B62" s="11" t="inlineStr">
        <is>
          <t>Projects, notices and links</t>
        </is>
      </c>
      <c r="C62" s="11" t="inlineStr">
        <is>
          <t>An expired consent link shows 'This link is not valid' on the portal</t>
        </is>
      </c>
      <c r="D62" s="11" t="inlineStr">
        <is>
          <t>Consent link expiry</t>
        </is>
      </c>
      <c r="E62" s="11" t="inlineStr">
        <is>
          <t>RCO</t>
        </is>
      </c>
      <c r="F62" s="11" t="inlineStr">
        <is>
          <t>Medium</t>
        </is>
      </c>
      <c r="G62" s="11" t="inlineStr">
        <is>
          <t>Negative</t>
        </is>
      </c>
      <c r="H62" s="11" t="inlineStr">
        <is>
          <t>Core</t>
        </is>
      </c>
      <c r="I62" s="11" t="inlineStr">
        <is>
          <t>- PRJ-20 completed (SE link revoked, no live link on SE).
- Signed in to the console (http://localhost:3000) as Meera Iyer, RCO (rco@cmp.local): on 'Sign in' enter 'Email or username' and 'Password' (SeedPassw0rd!2026), click 'Sign in', then type the 6-digit code relayed by the test coordinator on 'Verify it is you' and click 'Verify and continue'. To change user, use 'Sign out' in the sidebar.</t>
        </is>
      </c>
      <c r="J62" s="11" t="inlineStr">
        <is>
          <t>- Expires at: about 3 minutes from now</t>
        </is>
      </c>
      <c r="K62" s="11" t="inlineStr">
        <is>
          <t>1. On 'Consent links', click 'New link' on the revoked SE row.
2. Set 'Expires at' to about 3 minutes from now and click 'Create link'.
3. Click 'Copy link', save the URL, click 'Done', and open the URL in a private window straight away.
4. Wait until the expiry time has passed (about 4 minutes), then open the same URL again.
5. Back in the console, refresh 'Consent links'.</t>
        </is>
      </c>
      <c r="L62" s="11" t="inlineStr">
        <is>
          <t>1. Dialog 'New link for SE' opens: 'The URL is shown once and then only its digest is kept. Copy it before closing.'
2. Toast 'Consent link created' and the URL is shown under 'Copy this now'.
3. Before the expiry time, the consent page for 'UAT Study 01' / 'SE' opens. Close it.
4. The portal shows 'This link is not valid' with 'It may have expired, been withdrawn, or been mistyped...'. It does not say it expired.
5. The link row's 'Expires' time is in the past. Its status turns to 'Expired' when the platform's periodic clean-up runs (every 15 minutes where scheduled); until then it may still read 'Active' - that is not a failure, the portal already refuses it.</t>
        </is>
      </c>
      <c r="M62" s="11" t="inlineStr">
        <is>
          <t>The portal refuses the link as soon as its expiry time passes, with the same neutral 'This link is not valid' message.</t>
        </is>
      </c>
      <c r="N62" s="16" t="n"/>
      <c r="O62" s="17" t="n"/>
      <c r="P62" s="16" t="inlineStr">
        <is>
          <t>Not run</t>
        </is>
      </c>
      <c r="Q62" s="16" t="n"/>
      <c r="R62" s="16" t="n"/>
    </row>
    <row r="63">
      <c r="A63" s="10" t="inlineStr">
        <is>
          <t>PRJ-22</t>
        </is>
      </c>
      <c r="B63" s="11" t="inlineStr">
        <is>
          <t>Projects, notices and links</t>
        </is>
      </c>
      <c r="C63" s="11" t="inlineStr">
        <is>
          <t>Publishing a replacement notice under a new code keeps one notice in force, and the consent links follow it</t>
        </is>
      </c>
      <c r="D63" s="11" t="inlineStr">
        <is>
          <t>One published notice per project; links move to the new notice</t>
        </is>
      </c>
      <c r="E63" s="11" t="inlineStr">
        <is>
          <t>DPO</t>
        </is>
      </c>
      <c r="F63" s="11" t="inlineStr">
        <is>
          <t>High</t>
        </is>
      </c>
      <c r="G63" s="11" t="inlineStr">
        <is>
          <t>Positive</t>
        </is>
      </c>
      <c r="H63" s="11" t="inlineStr">
        <is>
          <t>Core</t>
        </is>
      </c>
      <c r="I63" s="11" t="inlineStr">
        <is>
          <t>- PRJ-16 and PRJ-19 completed (NTC-UAT-STUDY-01-2026 v2 is published; the CIT link saved as 'new URL' is active).
-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
- The test coordinator relays one-time codes, and Anjali Verma (+91 90000 00001) has a portal account.</t>
        </is>
      </c>
      <c r="J63" s="11" t="inlineStr">
        <is>
          <t>- Notice to copy: NTC-GAIT-2026 v1 — Gait Identification Study 2026
- A code that belongs to another project: NTC-GAIT-2026</t>
        </is>
      </c>
      <c r="K63" s="11" t="inlineStr">
        <is>
          <t>1. Open project 'UAT Study 01'. In the header click 'Copy an existing notice', choose 'NTC-GAIT-2026 v1 — Gait Identification Study 2026' and click 'Copy into this project'.
2. Open the new notice. In 'Legal approval, per language' click 'Approve' on each language row.
3. Click 'Publish this notice', then 'Publish and freeze'.
4. Return to the project and look at the 'Notices' card.
5. In a private window open the CIT 'new URL' saved in PRJ-19. Send a code to +91 90000 00001, type the relayed code and click 'Verify and continue'.
6. Back in the console, on 'UAT Study 01' click 'New notice', then 'Set the code myself', type NTC-GAIT-2026 in 'Notice code', fill the other required fields and click 'Create notice'.</t>
        </is>
      </c>
      <c r="L63" s="11" t="inlineStr">
        <is>
          <t>1. A toast 'Copied into NTC-UAT-STUDY-01-2026-2' (the code may end differently) says it is a fresh draft. The 'Notices' card now lists it as 'Draft' beside v2 'Published'.
2. Each row shows 'Approved'. The 'Publication checklist' reads 'This notice is complete and ready to publish.'
3. Toast 'Notice published'. The notice's badge reads 'Published'.
4. The new notice shows 'Published'. NTC-UAT-STUDY-01-2026 v2 now shows 'Superseded', and v1 'Superseded'. Only one notice on the project is 'Published'.
5. The link still works - it is not 'This link is not valid'. The notice shown is the new one's wording (the Gait notice, starting 'NOTICE UNDER SECTION 5'), not v2's. Close the window without recording a choice.
6. The notice is not created. Under 'Notice code' a message reads 'NTC-GAIT-2026 is another project's notice code. Leave the code empty to have one generated, or use this project's own.' Close the dialog.</t>
        </is>
      </c>
      <c r="M63" s="11" t="inlineStr">
        <is>
          <t>Publishing a notice under a new code supersedes the one in force, so a project never has two published notices; an existing consent link keeps working and shows the notice now in force; another project's notice code cannot be used.</t>
        </is>
      </c>
      <c r="N63" s="16" t="n"/>
      <c r="O63" s="17" t="n"/>
      <c r="P63" s="16" t="inlineStr">
        <is>
          <t>Not run</t>
        </is>
      </c>
      <c r="Q63" s="16" t="n"/>
      <c r="R63" s="16" t="n"/>
    </row>
    <row r="64">
      <c r="A64" s="10" t="inlineStr">
        <is>
          <t>CON-01</t>
        </is>
      </c>
      <c r="B64" s="11" t="inlineStr">
        <is>
          <t>Consent and data exchange</t>
        </is>
      </c>
      <c r="C64" s="11" t="inlineStr">
        <is>
          <t>A registered data principal gives consent through the link using her mobile</t>
        </is>
      </c>
      <c r="D64" s="11" t="inlineStr">
        <is>
          <t>Consent link: identify, confirm, read the notice, choose, receipt</t>
        </is>
      </c>
      <c r="E64" s="11" t="inlineStr">
        <is>
          <t>Data principal (Anjali Verma)</t>
        </is>
      </c>
      <c r="F64" s="11" t="inlineStr">
        <is>
          <t>High</t>
        </is>
      </c>
      <c r="G64" s="11" t="inlineStr">
        <is>
          <t>Positive</t>
        </is>
      </c>
      <c r="H64" s="11" t="inlineStr">
        <is>
          <t>Core</t>
        </is>
      </c>
      <c r="I64" s="11" t="inlineStr">
        <is>
          <t>- The data-principal portal is open at http://localhost:3001 in a fresh private (incognito) browser window, so no earlier sign-in carries over.
- You have the live consent link for the CIT site of the seeded project 'Gait Identification Study 2026' (valid until 8 Oct 2026) from the test coordinator, or one the DCO created from the console in PRJ-18. It looks like http://localhost:3001/c/&lt;long code&gt;.
- The test coordinator is available to read six-digit codes from the test outbox and relay them to you.
- Anjali Verma (subject@cmp.local, +91 90000 00001) is a registered data principal who has already given her date of birth.</t>
        </is>
      </c>
      <c r="J64" s="11" t="inlineStr">
        <is>
          <t>- Mobile: +91 90000 00001
- Choices: 'Gait model training' = I agree; 'Recording quality assurance' = I agree</t>
        </is>
      </c>
      <c r="K64" s="11" t="inlineStr">
        <is>
          <t>1. Open the CIT consent link.
2. Look at the form before typing anything.
3. Type +91 90000 00001 in 'Mobile number' and click 'Send the code'.
4. Type only five digits in 'Six-digit code'.
5. Complete the code with the one the coordinator relays and click 'Verify and continue'.
6. Scroll to the card 'What are you agreeing to?'.
7. Click 'I agree' on 'Gait model training' only.
8. On 'Recording quality assurance' click 'I do not agree', then change your mind and click 'I agree'.
9. Click 'Record my choices'.
10. Ask the coordinator to look in the test outbox for +91 90000 00001.
11. Click 'Review your consents'.</t>
        </is>
      </c>
      <c r="L64" s="11" t="inlineStr">
        <is>
          <t>1. The page opens with a coloured banner showing 'Gait Identification Study 2026' and 'CIT'. A step bar shows 'Your details', 'Confirm', 'The notice', 'Done' with 'Your details' current. A card 'Your details' says 'Confirm your mobile number or email to read the notice and make your choices.' Because this notice is in more than one language, a 'Read the notice in' drop-down showing 'English' is above 'Send my code to'.
2. Under 'Send my code to' the 'Mobile' option is already selected ('Email' is the other option). There is ONE box, 'Mobile number', with the hint 'The one your account is registered with.' There is no box for a name, date of birth or a second contact. 'Send the code' is greyed out. Below it: 'No account yet? Create one — it takes a minute, and this page will be waiting when you come back.'
3. The card changes to 'Confirm your mobile': 'We have sent a six-digit code to +91 90000 00001. It expires in ten minutes.' Below the code box are 'Send a new code' and 'Use a different contact'. The step bar moves to 'Confirm'.
4. The box accepts digits only, and 'Verify and continue' stays greyed out.
5. No date-of-birth question appears (Anjali already gave one). The step bar moves to 'The notice'. A 'Read this in' dropdown shows 'English'. A card 'The notice' shows the notice text (starting 'NOTICE UNDER SECTION 5, DIGITAL PERSONAL DATA PROTECTION ACT 2023'), then 'Data Protection Officer:', 'Who else sees your data:', the links 'Exercise your rights', 'Withdraw consent', 'Complain to the Data Protection Board', and 'Version 1 · content hash …'.
6. Two purposes are listed: 'Gait model training' and 'Recording quality assurance'. Each shows a description, 'What this allows:', 'Data collected:' and 'Kept for:', and two buttons of the same size, 'I agree' and 'I do not agree'. NEITHER button is selected on either purpose. 'Record my choices' is greyed out and the line 'Answer every purpose above, or decline the whole notice.' is shown. 'Decline everything' is active and the same size as 'Record my choices'.
7. That choice is highlighted. 'Record my choices' is still greyed out and the line 'Answer every purpose above, or decline the whole notice.' is still shown.
8. The highlight moves from 'I do not agree' to 'I agree'. 'Record my choices' becomes active and the 'Answer every purpose above…' line disappears.
9. The step bar moves to 'Done'. A green tick and the heading 'Your choices are recorded' appear, with 'A receipt is on its way to you. You can review or withdraw your consent at any time - withdrawing is as easy as this was.' Below: 'Your reference:' followed by a long code (write it down), and the links 'Review your consents' and 'Your rights'.
10. A receipt message for this consent is in the outbox.
11. The portal page 'My consents' opens, signed in as Anjali, with a card 'Gait Identification Study 2026', status 'Consented' and the line 'You agreed to both purposes.'</t>
        </is>
      </c>
      <c r="M64" s="11" t="inlineStr">
        <is>
          <t>Only one contact and a code were asked for; no purpose was pre-selected; the consent could only be recorded once every purpose was answered; the Done step shows 'Your choices are recorded' with a reference; a receipt was sent; the record shows as Consented, 2 of 2.</t>
        </is>
      </c>
      <c r="N64" s="16" t="n"/>
      <c r="O64" s="17" t="n"/>
      <c r="P64" s="16" t="inlineStr">
        <is>
          <t>Not run</t>
        </is>
      </c>
      <c r="Q64" s="16" t="n"/>
      <c r="R64" s="16" t="n"/>
    </row>
    <row r="65">
      <c r="A65" s="10" t="inlineStr">
        <is>
          <t>CON-02</t>
        </is>
      </c>
      <c r="B65" s="11" t="inlineStr">
        <is>
          <t>Consent and data exchange</t>
        </is>
      </c>
      <c r="C65" s="11" t="inlineStr">
        <is>
          <t>The link never reveals whether a contact is registered, and a wrong code is refused</t>
        </is>
      </c>
      <c r="D65" s="11" t="inlineStr">
        <is>
          <t>Consent link: neutral identification and code check</t>
        </is>
      </c>
      <c r="E65" s="11" t="inlineStr">
        <is>
          <t>Anyone holding the link (visitor)</t>
        </is>
      </c>
      <c r="F65" s="11" t="inlineStr">
        <is>
          <t>High</t>
        </is>
      </c>
      <c r="G65" s="11" t="inlineStr">
        <is>
          <t>Negative</t>
        </is>
      </c>
      <c r="H65" s="11" t="inlineStr">
        <is>
          <t>Core</t>
        </is>
      </c>
      <c r="I65" s="11" t="inlineStr">
        <is>
          <t>- The data-principal portal is open at http://localhost:3001 in a fresh private (incognito) browser window, so no earlier sign-in carries over.
- You have the live consent link for the CIT site of the seeded project 'Gait Identification Study 2026' (valid until 8 Oct 2026) from the test coordinator, or one the DCO created from the console in PRJ-18. It looks like http://localhost:3001/c/&lt;long code&gt;.
- The test coordinator is available to read six-digit codes from the test outbox and relay them to you.
- The coordinator confirms that +91 98100 00002 and tester09@example.org are NOT registered on the platform.</t>
        </is>
      </c>
      <c r="J65" s="11" t="inlineStr">
        <is>
          <t>- Unregistered mobile: +91 98100 00002
- Unregistered email: tester09@example.org
- Registered mobile: +91 90000 00001 (Anjali Verma)
- Wrong code: 123456 (any six digits that are not the code sent)</t>
        </is>
      </c>
      <c r="K65" s="11" t="inlineStr">
        <is>
          <t>1. Open the CIT consent link and look at the 'Your details' card.
2. With 'Mobile' selected, type +91 98100 00002 in 'Mobile number' and click 'Send the code'.
3. Ask the coordinator to check the test outbox for +91 98100 00002.
4. Type 123456 in 'Six-digit code' and click 'Verify and continue'.
5. Reload the page. Under 'Send my code to' select 'Email', type tester09@example.org in 'Email address' and click 'Send the code'.
6. Reload the page. With 'Mobile' selected type +91 90000 00001 (a registered number) and click 'Send the code'.
7. Type 123456 (not the code that was sent) and click 'Verify and continue'.
8. Clear the box, type the correct code relayed by the coordinator and click 'Verify and continue'.</t>
        </is>
      </c>
      <c r="L65" s="11" t="inlineStr">
        <is>
          <t>1. The line 'No account yet? Create one — …' is already shown, before anything is typed (it is offered to everybody).
2. The card changes to 'Confirm your mobile' with 'We have sent a six-digit code to +91 98100 00002. It expires in ten minutes.' There is NO message saying the number is unknown or not registered.
3. No message was sent to that number.
4. A red message 'Invalid or expired code' appears. The page stays on 'Confirm your mobile' with the code box; no notice is shown.
5. The card 'Confirm your email' says 'We have sent a six-digit code to tester09@example.org. It expires in ten minutes.' Nothing hints that the address is unknown.
6. The screen and wording are exactly the same as in step 2; only the number differs. A visitor cannot tell a registered number from an unregistered one.
7. The red message 'Invalid or expired code' appears and the page stays on the code step.
8. The notice opens, proving the earlier wrong attempt did not break the flow. Close the browser tab WITHOUT clicking 'Record my choices' or 'Decline everything'.</t>
        </is>
      </c>
      <c r="M65" s="11" t="inlineStr">
        <is>
          <t>Registered and unregistered contacts get word-for-word the same response; no code is sent to an unregistered contact; a wrong code never opens the notice and shows 'Invalid or expired code'.</t>
        </is>
      </c>
      <c r="N65" s="16" t="n"/>
      <c r="O65" s="17" t="n"/>
      <c r="P65" s="16" t="inlineStr">
        <is>
          <t>Not run</t>
        </is>
      </c>
      <c r="Q65" s="16" t="n"/>
      <c r="R65" s="16" t="n"/>
    </row>
    <row r="66">
      <c r="A66" s="10" t="inlineStr">
        <is>
          <t>CON-03</t>
        </is>
      </c>
      <c r="B66" s="11" t="inlineStr">
        <is>
          <t>Consent and data exchange</t>
        </is>
      </c>
      <c r="C66" s="11" t="inlineStr">
        <is>
          <t>A person with no account uses 'Create one', signs up and returns to the link, then consents in Hindi to one purpose</t>
        </is>
      </c>
      <c r="D66" s="11" t="inlineStr">
        <is>
          <t>Consent link: 'Create one' to sign-up and back; language switch; partial consent</t>
        </is>
      </c>
      <c r="E66" s="11" t="inlineStr">
        <is>
          <t>New data principal (UAT Tester One)</t>
        </is>
      </c>
      <c r="F66" s="11" t="inlineStr">
        <is>
          <t>High</t>
        </is>
      </c>
      <c r="G66" s="11" t="inlineStr">
        <is>
          <t>Positive</t>
        </is>
      </c>
      <c r="H66" s="11" t="inlineStr">
        <is>
          <t>Core</t>
        </is>
      </c>
      <c r="I66" s="11" t="inlineStr">
        <is>
          <t>- The data-principal portal is open at http://localhost:3001 in a fresh private (incognito) browser window, so no earlier sign-in carries over.
- You have the live consent link for the CIT site of the seeded project 'Gait Identification Study 2026' (valid until 8 Oct 2026) from the test coordinator, or one the DCO created from the console in PRJ-18. It looks like http://localhost:3001/c/&lt;long code&gt;.
- The test coordinator is available to read six-digit codes from the test outbox and relay them to you.
- The coordinator confirms +91 98100 00011 and tester01@example.org are not registered.</t>
        </is>
      </c>
      <c r="J66" s="11" t="inlineStr">
        <is>
          <t>- Full name: UAT Tester One
- Mobile number: +91 98100 00011
- Email address: tester01@example.org
- Date of birth: 15/05/1990
- Language: हिन्दी (Hindi)
- Choices: 'Gait model training' = I agree; 'Recording quality assurance' = I do not agree</t>
        </is>
      </c>
      <c r="K66" s="11" t="inlineStr">
        <is>
          <t>1. Open the CIT consent link and click 'Create one' on the 'Your details' card.
2. Fill in 'Full name', 'Mobile number', 'Email address' and 'Date of birth' with the test data and click 'Create account'.
3. Type only the mobile code the coordinator relays.
4. Type the email code as well and click 'Confirm and sign in'.
5. On the 'Your details' card select 'Email' under 'Send my code to', type tester01@example.org in 'Email address' and click 'Send the code'.
6. Type the code the coordinator relays and click 'Verify and continue'.
7. In 'Read this in' choose 'हिन्दी'.
8. Switch 'Read this in' to 'English', then back to 'हिन्दी'.
9. With Hindi showing, click 'I agree' on 'Gait model training' and 'I do not agree' on 'Recording quality assurance', then click 'Record my choices'.
10. Click 'Review your consents'.</t>
        </is>
      </c>
      <c r="L66" s="11" t="inlineStr">
        <is>
          <t>1. The page 'Create your account' opens ('For people whose data is being collected. Staff accounts are issued by your administrator.'). The address bar shows /sign-up?next= followed by the consent link's address.
2. The page 'Confirm your contacts' opens: 'If those details are new to us, a code has gone to your mobile and another to your email. Enter both.' Two boxes are shown: 'Code sent to your mobile' and 'Code sent to your email'.
3. 'Confirm and sign in' stays greyed out until both six-digit codes are entered.
4. You are taken straight back to the same consent link page (banner 'Gait Identification Study 2026' / 'CIT', card 'Your details'), not to your consents page.
5. The card changes to 'Confirm your email' and says 'We have sent a six-digit code to tester01@example.org. It expires in ten minutes.' The step bar at the top moves from 'Your details' to 'Confirm'.
6. The notice opens directly. No 'Your date of birth' question appears, because it was given at sign-up.
7. The notice text changes to Hindi (it starts 'धारा 5, डिजिटल व्यक्तिगत डेटा संरक्षण अधिनियम 2023'). The purposes and the 'I agree' / 'I do not agree' buttons are still shown.
8. The text switches each time without any error message. Hindi is showing at the end.
9. The Done step shows 'Your choices are recorded' and 'Your reference:' with a code.
10. 'My consents' opens with a card 'Gait Identification Study 2026' whose small line reads 'NTC-GAIT-2026 v1 · hindi · &lt;date and time&gt;', status 'Partial', and 'You agreed to 1 of 2 purposes.'</t>
        </is>
      </c>
      <c r="M66" s="11" t="inlineStr">
        <is>
          <t>'Create one' leads to sign-up and back to the same link; the link still asks for one contact and a code; the notice can be read in Hindi; a partial answer is recorded as Partial, 1 of 2, in Hindi.</t>
        </is>
      </c>
      <c r="N66" s="16" t="n"/>
      <c r="O66" s="17" t="n"/>
      <c r="P66" s="16" t="inlineStr">
        <is>
          <t>Not run</t>
        </is>
      </c>
      <c r="Q66" s="16" t="n"/>
      <c r="R66" s="16" t="n"/>
    </row>
    <row r="67">
      <c r="A67" s="10" t="inlineStr">
        <is>
          <t>CON-04</t>
        </is>
      </c>
      <c r="B67" s="11" t="inlineStr">
        <is>
          <t>Consent and data exchange</t>
        </is>
      </c>
      <c r="C67" s="11" t="inlineStr">
        <is>
          <t>A person signs up on the portal first, then declines everything at the link</t>
        </is>
      </c>
      <c r="D67" s="11" t="inlineStr">
        <is>
          <t>Portal sign-up (mobile only); Decline everything; declined record</t>
        </is>
      </c>
      <c r="E67" s="11" t="inlineStr">
        <is>
          <t>New data principal (UAT Tester Two)</t>
        </is>
      </c>
      <c r="F67" s="11" t="inlineStr">
        <is>
          <t>Medium</t>
        </is>
      </c>
      <c r="G67" s="11" t="inlineStr">
        <is>
          <t>Positive</t>
        </is>
      </c>
      <c r="H67" s="11" t="inlineStr">
        <is>
          <t>Core</t>
        </is>
      </c>
      <c r="I67" s="11" t="inlineStr">
        <is>
          <t>- The data-principal portal is open at http://localhost:3001 in a fresh private (incognito) browser window, so no earlier sign-in carries over.
- You have the live consent link for the CIT site of the seeded project 'Gait Identification Study 2026' (valid until 8 Oct 2026) from the test coordinator, or one the DCO created from the console in PRJ-18. It looks like http://localhost:3001/c/&lt;long code&gt;.
- The test coordinator is available to read six-digit codes from the test outbox and relay them to you.
- The coordinator confirms +91 98100 00022 is not registered.</t>
        </is>
      </c>
      <c r="J67" s="11" t="inlineStr">
        <is>
          <t>- Full name: UAT Tester Two
- Mobile number: +91 98100 00022
- Email address: leave empty
- Date of birth: 02/11/1988</t>
        </is>
      </c>
      <c r="K67" s="11" t="inlineStr">
        <is>
          <t>1. Open http://localhost:3001/sign-in and click 'Create an account' (under 'Never registered with us?').
2. Click 'Create account' with every field empty.
3. Fill in 'Full name', 'Mobile number' and 'Date of birth' from the test data, leave 'Email address' empty and click 'Create account'.
4. Type the code the coordinator relays and click 'Confirm and sign in'.
5. In the same browser window open the CIT consent link. Leave 'Mobile' selected, type +91 98100 00022, click 'Send the code', type the relayed code and click 'Verify and continue'.
6. Without answering any purpose, click 'Decline everything'.
7. Click 'Review your consents'.
8. Click 'See what you were asked'.</t>
        </is>
      </c>
      <c r="L67" s="11" t="inlineStr">
        <is>
          <t>1. The page 'Create your account' opens with 'Full name', 'Mobile number', 'Email address' (hint starts 'Optional.') and 'Date of birth', and a 'Create account' button.
2. Nothing is sent. Messages appear under the fields, including 'Enter your full name' and 'Enter your date of birth'.
3. 'Confirm your contacts' opens with 'If that number is new to us, a code has gone to your mobile. Enter it to finish.' and only one box, 'Code sent to your mobile'.
4. You are signed in and 'My consents' opens with the empty message 'No consent records' / 'When you agree to a notice, it will appear here.'
5. The notice opens with the two purposes, neither pre-selected.
6. The Done step shows a grey cross, the heading 'You have declined' and 'Nothing will be collected from you for this project. You can come back to this link if you change your mind.' plus 'Your reference:' with a code. It does not look like an error.
7. The card 'Gait Identification Study 2026' shows status 'Declined' and 'You were asked about 2 purposes and agreed to none.' The first button reads 'See what you were asked'. There is no 'Withdraw everything' button.
8. Both purposes are listed with the badge 'Declined' and no 'Withdraw just this one' button.</t>
        </is>
      </c>
      <c r="M67" s="11" t="inlineStr">
        <is>
          <t>Sign-up works with a mobile only; 'Decline everything' works without answering purposes and is recorded as a decision ('You have declined', status Declined, agreed to none).</t>
        </is>
      </c>
      <c r="N67" s="16" t="n"/>
      <c r="O67" s="17" t="n"/>
      <c r="P67" s="16" t="inlineStr">
        <is>
          <t>Not run</t>
        </is>
      </c>
      <c r="Q67" s="16" t="n"/>
      <c r="R67" s="16" t="n"/>
    </row>
    <row r="68">
      <c r="A68" s="10" t="inlineStr">
        <is>
          <t>CON-05</t>
        </is>
      </c>
      <c r="B68" s="11" t="inlineStr">
        <is>
          <t>Consent and data exchange</t>
        </is>
      </c>
      <c r="C68" s="11" t="inlineStr">
        <is>
          <t>An account with no date of birth is asked for it before the notice is shown</t>
        </is>
      </c>
      <c r="D68" s="11" t="inlineStr">
        <is>
          <t>Consent link: 'Your date of birth' step (S2-01)</t>
        </is>
      </c>
      <c r="E68" s="11" t="inlineStr">
        <is>
          <t>Member of staff acting as a data principal (Nikhil Bose, DCO Admin)</t>
        </is>
      </c>
      <c r="F68" s="11" t="inlineStr">
        <is>
          <t>High</t>
        </is>
      </c>
      <c r="G68" s="11" t="inlineStr">
        <is>
          <t>Positive</t>
        </is>
      </c>
      <c r="H68" s="11" t="inlineStr">
        <is>
          <t>S2-01</t>
        </is>
      </c>
      <c r="I68" s="11" t="inlineStr">
        <is>
          <t>- The data-principal portal is open at http://localhost:3001 in a fresh private (incognito) browser window, so no earlier sign-in carries over.
- You have the live consent link for the CIT site of the seeded project 'Gait Identification Study 2026' (valid until 8 Oct 2026) from the test coordinator, or one the DCO created from the console in PRJ-18. It looks like http://localhost:3001/c/&lt;long code&gt;.
- The test coordinator is available to read six-digit codes from the test outbox and relay them to you.
- Nikhil Bose (dcoadmin@cmp.local) has never given a date of birth (staff accounts have none until they give one). The coordinator confirms this before the test.</t>
        </is>
      </c>
      <c r="J68" s="11" t="inlineStr">
        <is>
          <t>- Email: dcoadmin@cmp.local
- First try: tomorrow's date
- Date of birth: 21/07/1985
- Choices: both purposes = I agree</t>
        </is>
      </c>
      <c r="K68" s="11" t="inlineStr">
        <is>
          <t>1. Open the CIT consent link. On the 'Your details' card select 'Email' under 'Send my code to', type dcoadmin@cmp.local in 'Email address' and click 'Send the code'.
2. Type the code the coordinator relays and click 'Verify and continue'.
3. Click 'Save and continue' with the field empty.
4. Enter tomorrow's date in 'Date of birth' and click 'Save and continue'.
5. Enter 21/07/1985 and click 'Save and continue'.
6. Click 'I agree' on both purposes and click 'Record my choices'.
7. Click 'Review your consents'.
8. Open the CIT consent link again in a new private window, identify with dcoadmin@cmp.local and the new code, and click 'Verify and continue'.</t>
        </is>
      </c>
      <c r="L68" s="11" t="inlineStr">
        <is>
          <t>1. The card changes to 'Confirm your email' and says 'We have sent a six-digit code to dcoadmin@cmp.local. It expires in ten minutes.' The step bar at the top moves from 'Your details' to 'Confirm'.
2. Instead of the notice, a card 'Your date of birth' appears: 'The law protects people under 18 differently, and we do not have your date of birth yet. We need it before you can give a new consent.' with a 'Date of birth' field and a 'Save and continue' button. The step bar still shows 'Confirm'. No notice text is visible yet.
3. The message 'Enter your date of birth' appears and nothing is saved.
4. The message 'Date of birth must be in the past' appears (or the date picker will not allow a future date). The notice is not shown.
5. The step bar moves to 'The notice' and the notice with its two purposes is shown.
6. The Done step shows 'Your choices are recorded' with a reference.
7. 'My consents' shows the card 'Gait Identification Study 2026' with status 'Consented' and 'You agreed to both purposes.'
8. The notice opens directly; the date-of-birth question is NOT asked again. Close the tab without recording anything.</t>
        </is>
      </c>
      <c r="M68" s="11" t="inlineStr">
        <is>
          <t>An account with no date of birth sees 'Your date of birth' between the code and the notice; empty and future dates are refused; once a valid date is saved the notice appears and consent can be recorded; the question is not asked again.</t>
        </is>
      </c>
      <c r="N68" s="16" t="n"/>
      <c r="O68" s="17" t="n"/>
      <c r="P68" s="16" t="inlineStr">
        <is>
          <t>Not run</t>
        </is>
      </c>
      <c r="Q68" s="16" t="n"/>
      <c r="R68" s="16" t="n"/>
    </row>
    <row r="69">
      <c r="A69" s="10" t="inlineStr">
        <is>
          <t>CON-06</t>
        </is>
      </c>
      <c r="B69" s="11" t="inlineStr">
        <is>
          <t>Consent and data exchange</t>
        </is>
      </c>
      <c r="C69" s="11" t="inlineStr">
        <is>
          <t>A person under 18 cannot sign up, and no guardian route is offered</t>
        </is>
      </c>
      <c r="D69" s="11" t="inlineStr">
        <is>
          <t>Sign-up refuses a minor (S2-01)</t>
        </is>
      </c>
      <c r="E69" s="11" t="inlineStr">
        <is>
          <t>Prospective data principal under 18 (UAT Minor)</t>
        </is>
      </c>
      <c r="F69" s="11" t="inlineStr">
        <is>
          <t>High</t>
        </is>
      </c>
      <c r="G69" s="11" t="inlineStr">
        <is>
          <t>Negative</t>
        </is>
      </c>
      <c r="H69" s="11" t="inlineStr">
        <is>
          <t>S2-01</t>
        </is>
      </c>
      <c r="I69" s="11" t="inlineStr">
        <is>
          <t>- The data-principal portal is open at http://localhost:3001 in a fresh private (incognito) browser window, so no earlier sign-in carries over.
- You have the live consent link for the CIT site of the seeded project 'Gait Identification Study 2026' (valid until 8 Oct 2026) from the test coordinator, or one the DCO created from the console in PRJ-18. It looks like http://localhost:3001/c/&lt;long code&gt;.
- The test coordinator is available to read six-digit codes from the test outbox and relay them to you.
- The coordinator confirms +91 98100 00066 and tester06@example.org are not registered.</t>
        </is>
      </c>
      <c r="J69" s="11" t="inlineStr">
        <is>
          <t>- Full name: UAT Minor
- Mobile number: +91 98100 00066
- Email address: tester06@example.org
- Date of birth: a date that makes the person 16 on the test day, e.g. 15/03/2010
- Adult date of birth for the retry: 01/01/1990</t>
        </is>
      </c>
      <c r="K69" s="11" t="inlineStr">
        <is>
          <t>1. Open the CIT consent link and click 'Create one'. Read the hint under 'Date of birth'.
2. Fill in all four fields with the test data (date of birth 15/03/2010) and click 'Create account'.
3. Look over the whole page.
4. Ask the coordinator to check the test outbox for +91 98100 00066 and tester06@example.org.
5. Go back to the CIT consent link, leave 'Mobile' selected, type +91 98100 00066 and click 'Send the code'.
6. Return to 'Create your account' and submit the same name, mobile and email with the adult date of birth 01/01/1990.</t>
        </is>
      </c>
      <c r="L69" s="11" t="inlineStr">
        <is>
          <t>1. 'Create your account' opens. The hint reads 'The law protects people under 18 differently, so we ask before an account is opened.' It does not mention a parent or guardian.
2. The page stays on 'Create your account' and a red message refuses the registration. Expected wording: 'We cannot register or record consent for a person under eighteen. If you think your date of birth is wrong, contact the Privacy Office.' The 'Confirm your contacts' step does NOT appear. Write down the exact message you see.
3. There is no link, button, form or field for a parent or guardian to consent on the person's behalf. Only the sign-up fields, 'Create account' and the 'Sign in' link are offered.
4. No registration codes were sent.
5. The neutral 'Confirm your mobile' screen appears as for anyone, and the outbox shows no code was sent (no account exists).
6. 'Confirm your contacts' opens, proving nothing was half-created by the refused attempt (the mobile is not reported as already registered). Stop here; do not enter the codes.</t>
        </is>
      </c>
      <c r="M69" s="11" t="inlineStr">
        <is>
          <t>A date of birth under 18 creates no account and sends no code; the refusal names no guardian route and none is offered anywhere on the page.</t>
        </is>
      </c>
      <c r="N69" s="16" t="n"/>
      <c r="O69" s="17" t="n"/>
      <c r="P69" s="16" t="inlineStr">
        <is>
          <t>Not run</t>
        </is>
      </c>
      <c r="Q69" s="16" t="n"/>
      <c r="R69" s="16" t="n"/>
    </row>
    <row r="70">
      <c r="A70" s="10" t="inlineStr">
        <is>
          <t>CON-07</t>
        </is>
      </c>
      <c r="B70" s="11" t="inlineStr">
        <is>
          <t>Consent and data exchange</t>
        </is>
      </c>
      <c r="C70" s="11" t="inlineStr">
        <is>
          <t>A person who gives an under-18 date of birth at the link cannot record any choice, and no guardian route is offered</t>
        </is>
      </c>
      <c r="D70" s="11" t="inlineStr">
        <is>
          <t>Consent link refuses a minor's consent or refusal (S2-01)</t>
        </is>
      </c>
      <c r="E70" s="11" t="inlineStr">
        <is>
          <t>Account with no date of birth, giving an under-18 date</t>
        </is>
      </c>
      <c r="F70" s="11" t="inlineStr">
        <is>
          <t>High</t>
        </is>
      </c>
      <c r="G70" s="11" t="inlineStr">
        <is>
          <t>Negative</t>
        </is>
      </c>
      <c r="H70" s="11" t="inlineStr">
        <is>
          <t>S2-01</t>
        </is>
      </c>
      <c r="I70" s="11" t="inlineStr">
        <is>
          <t>- The data-principal portal is open at http://localhost:3001 in a fresh private (incognito) browser window, so no earlier sign-in carries over.
- You have the live consent link for the CIT site of the seeded project 'Gait Identification Study 2026' (valid until 8 Oct 2026) from the test coordinator, or one the DCO created from the console in PRJ-18. It looks like http://localhost:3001/c/&lt;long code&gt;.
- The test coordinator is available to read six-digit codes from the test outbox and relay them to you.
-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
- The coordinator provides a staff account with no date of birth that may be marked as under 18 for this test, ideally one the administrator creates just for it (see REG-01), e.g. tester07@example.org. NEVER use a seeded account other testers need: the date cannot be changed afterwards from the portal.</t>
        </is>
      </c>
      <c r="J70" s="11" t="inlineStr">
        <is>
          <t>- Email: tester07@example.org (or the account the coordinator names)
- Date of birth: a date that makes the person 15 on the test day, e.g. 01/06/2011</t>
        </is>
      </c>
      <c r="K70" s="11" t="inlineStr">
        <is>
          <t>1. Open the CIT consent link. On the 'Your details' card select 'Email' under 'Send my code to', type tester07@example.org in 'Email address' and click 'Send the code'.
2. Type the relayed code and click 'Verify and continue'.
3. Enter 01/06/2011 and click 'Save and continue'.
4. Click 'I agree' on both purposes and click 'Record my choices'.
5. Click 'Decline everything'.
6. Look over the whole page, including the notice links.
7. Open http://localhost:3001/my-consents in the same window.
8. Click your name at the top right to open the account menu, click 'My profile' and look at 'Date of birth'.
9. In the console, as the DPO, open 'Consents' and look for this account's name.</t>
        </is>
      </c>
      <c r="L70" s="11" t="inlineStr">
        <is>
          <t>1. The card changes to 'Confirm your email' and says 'We have sent a six-digit code to tester07@example.org. It expires in ten minutes.' The step bar at the top moves from 'Your details' to 'Confirm'.
2. The card 'Your date of birth' appears (the account has no date of birth).
3. The notice with its two purposes is shown.
4. A red message appears at the top of the page: 'We cannot register or record consent for a person under eighteen. If you think your date of birth is wrong, contact the Privacy Office.' The page stays on the notice. No Done step and no reference are shown.
5. The same refusal message appears. There is no 'You have declined' screen: a child's refusal is not recorded either.
6. Nothing offers a parent or guardian route: no link, button, form or contact field for a guardian.
7. 'My consents' shows 'No consent records'.
8. It shows the date entered, marked as under 18. Nothing on the page offers a way for a parent or guardian to consent. The badge reads 'Under 18 — we cannot record consent from you'.
9. There is no consent record for this account.</t>
        </is>
      </c>
      <c r="M70" s="11" t="inlineStr">
        <is>
          <t>With an under-18 date of birth neither 'Record my choices' nor 'Decline everything' writes anything; the refusal message names no guardian route and none is offered; no record appears on the portal or the console.</t>
        </is>
      </c>
      <c r="N70" s="16" t="n"/>
      <c r="O70" s="17" t="n"/>
      <c r="P70" s="16" t="inlineStr">
        <is>
          <t>Not run</t>
        </is>
      </c>
      <c r="Q70" s="16" t="n"/>
      <c r="R70" s="16" t="n"/>
    </row>
    <row r="71">
      <c r="A71" s="10" t="inlineStr">
        <is>
          <t>CON-08</t>
        </is>
      </c>
      <c r="B71" s="11" t="inlineStr">
        <is>
          <t>Consent and data exchange</t>
        </is>
      </c>
      <c r="C71" s="11" t="inlineStr">
        <is>
          <t>An invalid, altered, revoked or expired link shows 'This link is not valid' and nothing else</t>
        </is>
      </c>
      <c r="D71" s="11" t="inlineStr">
        <is>
          <t>Consent link: invalid link page</t>
        </is>
      </c>
      <c r="E71" s="11" t="inlineStr">
        <is>
          <t>Anyone holding a link (visitor)</t>
        </is>
      </c>
      <c r="F71" s="11" t="inlineStr">
        <is>
          <t>High</t>
        </is>
      </c>
      <c r="G71" s="11" t="inlineStr">
        <is>
          <t>Negative</t>
        </is>
      </c>
      <c r="H71" s="11" t="inlineStr">
        <is>
          <t>Core</t>
        </is>
      </c>
      <c r="I71" s="11" t="inlineStr">
        <is>
          <t>- The data-principal portal is open at http://localhost:3001 in a fresh private (incognito) browser window, so no earlier sign-in carries over.
- You have the live consent link for the CIT site of the seeded project 'Gait Identification Study 2026' (valid until 8 Oct 2026) from the test coordinator, or one the DCO created from the console in PRJ-18. It looks like http://localhost:3001/c/&lt;long code&gt;.
- Optional: a revoked or replaced link (PRJ-19, PRJ-20) and an expired link (PRJ-21) from the coordinator.</t>
        </is>
      </c>
      <c r="J71" s="11" t="inlineStr">
        <is>
          <t>- Made-up link: http://localhost:3001/c/not-a-real-link
- Altered link: the CIT link with its last character changed (e.g. last letter a → b)</t>
        </is>
      </c>
      <c r="K71" s="11" t="inlineStr">
        <is>
          <t>1. Open http://localhost:3001/c/not-a-real-link.
2. Open the CIT link with its last character changed.
3. If the coordinator supplied a revoked/replaced link, open it.
4. If the coordinator supplied an expired link, open it.
5. Click 'Your rights under the DPDP Act'.
6. Open the original, correct CIT link.</t>
        </is>
      </c>
      <c r="L71" s="11" t="inlineStr">
        <is>
          <t>1. A card with the heading 'This link is not valid' and 'It may have expired, been withdrawn, or been mistyped. Please ask the person who gave it to you for a current one.' and a link 'Your rights under the DPDP Act'. The banner shows only 'Consent' and 'Digital Personal Data Protection Act 2023' — no project or site name. There is no step bar, no contact box and no notice text.
2. Exactly the same page and wording as step 1.
3. Exactly the same page and wording; it does not say whether the link was revoked, expired or mistyped.
4. Exactly the same page and wording.
5. A page explaining the data principal's rights opens.
6. The normal 'Your details' page opens with the project banner, so the earlier attempts did not affect the valid link.</t>
        </is>
      </c>
      <c r="M71" s="11" t="inlineStr">
        <is>
          <t>Every invalid link shows the same 'This link is not valid' page with no project, notice or contact field, and never says why it is invalid.</t>
        </is>
      </c>
      <c r="N71" s="16" t="n"/>
      <c r="O71" s="17" t="n"/>
      <c r="P71" s="16" t="inlineStr">
        <is>
          <t>Not run</t>
        </is>
      </c>
      <c r="Q71" s="16" t="n"/>
      <c r="R71" s="16" t="n"/>
    </row>
    <row r="72">
      <c r="A72" s="10" t="inlineStr">
        <is>
          <t>CON-09</t>
        </is>
      </c>
      <c r="B72" s="11" t="inlineStr">
        <is>
          <t>Consent and data exchange</t>
        </is>
      </c>
      <c r="C72" s="11" t="inlineStr">
        <is>
          <t>On My consents the principal sees her choices, the exact notice she was served and the record</t>
        </is>
      </c>
      <c r="D72" s="11" t="inlineStr">
        <is>
          <t>Portal: My consents (view record, notice as served, trail, disclosures)</t>
        </is>
      </c>
      <c r="E72" s="11" t="inlineStr">
        <is>
          <t>Data principal (UAT Tester One)</t>
        </is>
      </c>
      <c r="F72" s="11" t="inlineStr">
        <is>
          <t>High</t>
        </is>
      </c>
      <c r="G72" s="11" t="inlineStr">
        <is>
          <t>Positive</t>
        </is>
      </c>
      <c r="H72" s="11" t="inlineStr">
        <is>
          <t>Core</t>
        </is>
      </c>
      <c r="I72" s="11" t="inlineStr">
        <is>
          <t>- The data-principal portal is open at http://localhost:3001 in a fresh private (incognito) browser window, so no earlier sign-in carries over.
- The test coordinator is available to read six-digit codes from the test outbox and relay them to you.
- CON-03 is done (UAT Tester One consented in Hindi to one of two purposes).
- Run before CON-14 to see the empty disclosure list; after CON-14 the list shows the processor.</t>
        </is>
      </c>
      <c r="J72" s="11" t="inlineStr">
        <is>
          <t>- Email: tester01@example.org</t>
        </is>
      </c>
      <c r="K72" s="11" t="inlineStr">
        <is>
          <t>1. Open http://localhost:3001/sign-in. Under 'Sign in with' select 'Email', type tester01@example.org in 'Email address' and click 'Send me a code'. Then type the code the coordinator relays into 'Six-digit code' and click 'Verify'.
2. Read the page header and the card for 'Gait Identification Study 2026'.
3. Click 'See what you agreed to'.
4. Click 'Show the exact notice I was given'.
5. Click 'What was recorded'.
6. Scroll to 'Who your data has been shared with'.
7. Click 'Hide details' and 'Hide the record'.</t>
        </is>
      </c>
      <c r="L72" s="11" t="inlineStr">
        <is>
          <t>1. After 'Send me a code' a blue box 'Check your messages' says 'If tester01@example.org is registered with us, a six-digit code is on its way. It expires in ten minutes.' After 'Verify' the page 'My consents' opens and 'My consents' is highlighted in the sidebar.
2. Description: 'Everything you have agreed to, the exact wording you were shown, and who it has been shared with. You can withdraw at any time.' The card shows 'NTC-GAIT-2026 v1 · hindi · &lt;date and time&gt;', status 'Partial', 'You agreed to 1 of 2 purposes.' and the buttons 'See what you agreed to', 'What was recorded', 'Withdraw everything' and 'Ask about this consent'.
3. The button changes to 'Hide details'. 'Gait model training' shows the badge 'Consented' and a 'Withdraw just this one' button; 'Recording quality assurance' shows 'Declined' and no withdraw button. Each shows 'Data:' and 'Kept for:'.
4. A box shows 'Served &lt;date and time&gt;', a green 'Integrity verified', the Hindi notice text exactly as it was shown at the link (starting 'धारा 5'), and 'Hash recorded at capture:' with a code.
5. A panel 'What was recorded' opens ('The same record the Privacy Office sees, for this consent and every change to it. Oldest first.') listing at least the consent being given. The button now reads 'Hide the record'.
6. Before any export (CON-14): 'No sharing recorded here' / 'This lists every file of your details this platform has sent to a processor. None has been sent.' After CON-14: an entry naming the processor 'SEED' with the project name and date.
7. Both sections close. Nothing has changed: the status is still 'Partial'.</t>
        </is>
      </c>
      <c r="M72" s="11" t="inlineStr">
        <is>
          <t>The principal can see per-purpose choices, the exact text served (in the language served) with 'Integrity verified', the record of what happened, and who the data was shared with.</t>
        </is>
      </c>
      <c r="N72" s="16" t="n"/>
      <c r="O72" s="17" t="n"/>
      <c r="P72" s="16" t="inlineStr">
        <is>
          <t>Not run</t>
        </is>
      </c>
      <c r="Q72" s="16" t="n"/>
      <c r="R72" s="16" t="n"/>
    </row>
    <row r="73">
      <c r="A73" s="10" t="inlineStr">
        <is>
          <t>CON-10</t>
        </is>
      </c>
      <c r="B73" s="11" t="inlineStr">
        <is>
          <t>Consent and data exchange</t>
        </is>
      </c>
      <c r="C73" s="11" t="inlineStr">
        <is>
          <t>The principal withdraws everything, with a confirmation she can cancel</t>
        </is>
      </c>
      <c r="D73" s="11" t="inlineStr">
        <is>
          <t>Portal: Withdraw everything</t>
        </is>
      </c>
      <c r="E73" s="11" t="inlineStr">
        <is>
          <t>Member of staff acting as a data principal (Nikhil Bose)</t>
        </is>
      </c>
      <c r="F73" s="11" t="inlineStr">
        <is>
          <t>High</t>
        </is>
      </c>
      <c r="G73" s="11" t="inlineStr">
        <is>
          <t>Positive</t>
        </is>
      </c>
      <c r="H73" s="11" t="inlineStr">
        <is>
          <t>Core</t>
        </is>
      </c>
      <c r="I73" s="11" t="inlineStr">
        <is>
          <t>- The data-principal portal is open at http://localhost:3001 in a fresh private (incognito) browser window, so no earlier sign-in carries over.
- The test coordinator is available to read six-digit codes from the test outbox and relay them to you.
- CON-05 is done (Nikhil Bose consented to both purposes).</t>
        </is>
      </c>
      <c r="J73" s="11" t="inlineStr">
        <is>
          <t>- Email: dcoadmin@cmp.local</t>
        </is>
      </c>
      <c r="K73" s="11" t="inlineStr">
        <is>
          <t>1. Open http://localhost:3001/sign-in. Under 'Sign in with' select 'Email', type dcoadmin@cmp.local in 'Email address' and click 'Send me a code'. Then type the code the coordinator relays into 'Six-digit code' and click 'Verify'.
2. On the card 'Gait Identification Study 2026' (status 'Consented', 'You agreed to both purposes.') click 'Withdraw everything'.
3. Click 'Keep my consent'.
4. Click 'Withdraw everything' again, then 'Withdraw'.
5. Look at the card.
6. Click 'See what you were asked', then 'Show the exact notice I was given'.
7. Click 'What was recorded'.
8. Ask the coordinator to check the outbox for dcoadmin@cmp.local.</t>
        </is>
      </c>
      <c r="L73" s="11" t="inlineStr">
        <is>
          <t>1. After 'Send me a code' a blue box 'Check your messages' says 'If dcoadmin@cmp.local is registered with us, a six-digit code is on its way. It expires in ten minutes.' After 'Verify' the page 'My consents' opens and 'My consents' is highlighted in the sidebar.
2. A warning 'Withdraw all purposes?' appears: 'Processing for these purposes will stop. Data already collected is not deleted by a withdrawal — if you want it erased, make a rights request.' with the buttons 'Withdraw' and 'Keep my consent'.
3. The warning closes and the status is still 'Consented'.
4. A notice 'Withdrawal recorded' appears with 'Stopped: Gait model training, Recording quality assurance.' (the order may differ).
5. The status is 'Withdrawn' and the text reads 'You were asked about 2 purposes and agreed to none.' The 'Withdraw everything' button is gone.
6. Both purposes show 'Declined'. The notice box still shows the English text originally served, with 'Integrity verified'.
7. The list shows the consent and, after it, the withdrawal.
8. A withdrawal confirmation message is present.</t>
        </is>
      </c>
      <c r="M73" s="11" t="inlineStr">
        <is>
          <t>Withdrawal needs one confirmation that can be cancelled; after 'Withdraw' every purpose is stopped, the record shows Withdrawn, the served notice is still viewable and a confirmation is sent.</t>
        </is>
      </c>
      <c r="N73" s="16" t="n"/>
      <c r="O73" s="17" t="n"/>
      <c r="P73" s="16" t="inlineStr">
        <is>
          <t>Not run</t>
        </is>
      </c>
      <c r="Q73" s="16" t="n"/>
      <c r="R73" s="16" t="n"/>
    </row>
    <row r="74">
      <c r="A74" s="10" t="inlineStr">
        <is>
          <t>CON-11</t>
        </is>
      </c>
      <c r="B74" s="11" t="inlineStr">
        <is>
          <t>Consent and data exchange</t>
        </is>
      </c>
      <c r="C74" s="11" t="inlineStr">
        <is>
          <t>Without a date of birth, My consents and My requests stay open while other pages ask for it</t>
        </is>
      </c>
      <c r="D74" s="11" t="inlineStr">
        <is>
          <t>Portal: withdrawal and requests do not need a date of birth (S2-01)</t>
        </is>
      </c>
      <c r="E74" s="11" t="inlineStr">
        <is>
          <t>Member of staff acting as a data principal (System Admin)</t>
        </is>
      </c>
      <c r="F74" s="11" t="inlineStr">
        <is>
          <t>Medium</t>
        </is>
      </c>
      <c r="G74" s="11" t="inlineStr">
        <is>
          <t>Positive</t>
        </is>
      </c>
      <c r="H74" s="11" t="inlineStr">
        <is>
          <t>S2-01</t>
        </is>
      </c>
      <c r="I74" s="11" t="inlineStr">
        <is>
          <t>- The data-principal portal is open at http://localhost:3001 in a fresh private (incognito) browser window, so no earlier sign-in carries over.
- The test coordinator is available to read six-digit codes from the test outbox and relay them to you.
- admin@cmp.local has never given a date of birth; do not use it in any other date-of-birth test.
- Optional: the coordinator supplies an account with no date of birth that already holds an active consent (for step 8).</t>
        </is>
      </c>
      <c r="J74" s="11" t="inlineStr">
        <is>
          <t>- Email: admin@cmp.local</t>
        </is>
      </c>
      <c r="K74" s="11" t="inlineStr">
        <is>
          <t>1. Open http://localhost:3001/sign-in. Under 'Sign in with' select 'Email', type admin@cmp.local in 'Email address' and click 'Send me a code'. Then type the code the coordinator relays into 'Six-digit code' and click 'Verify'.
2. Look below the note.
3. Click 'Add it now' in the note.
4. Click 'My requests' in the sidebar.
5. Click your name at the top right to open the account menu, then click 'My profile'.
6. Click the 'withdraw a consent' link on that card.
7. Do not enter a date. Click 'Sign out'.
8. Only if the coordinator supplied an account with no date of birth and an active consent: sign in as it, click 'Withdraw everything' on its card, then 'Withdraw'.</t>
        </is>
      </c>
      <c r="L74" s="11" t="inlineStr">
        <is>
          <t>1. 'My consents' opens — it is NOT replaced by a date-of-birth question. A blue note 'We need your date of birth' reads 'You can withdraw a consent or make a request without it, but we need it before you give a new consent.' with a link 'Add it now'.
2. The page works normally; with no consents it shows 'No consent records'.
3. 'My profile' opens and shows the card 'Your date of birth' with 'Save and continue'. Do not enter a date.
4. The requests page opens normally, with the same 'We need your date of birth' note.
5. The page is replaced by the card 'Your date of birth' with 'Save and continue', and the line 'You can still withdraw a consent or make a request without it.'
6. 'My consents' opens again, with the note.
7. You are signed out; no date of birth was saved.
8. 'Withdrawal recorded' appears and the card shows 'Withdrawn'. No date of birth was asked for at any point.</t>
        </is>
      </c>
      <c r="M74" s="11" t="inlineStr">
        <is>
          <t>An account with no date of birth can always reach My consents and My requests (and withdraw), while other pages ask for the date first.</t>
        </is>
      </c>
      <c r="N74" s="16" t="n"/>
      <c r="O74" s="17" t="n"/>
      <c r="P74" s="16" t="inlineStr">
        <is>
          <t>Not run</t>
        </is>
      </c>
      <c r="Q74" s="16" t="n"/>
      <c r="R74" s="16" t="n"/>
    </row>
    <row r="75">
      <c r="A75" s="10" t="inlineStr">
        <is>
          <t>CON-12</t>
        </is>
      </c>
      <c r="B75" s="11" t="inlineStr">
        <is>
          <t>Consent and data exchange</t>
        </is>
      </c>
      <c r="C75" s="11" t="inlineStr">
        <is>
          <t>The DPO reads the consent register and a consent record as evidence</t>
        </is>
      </c>
      <c r="D75" s="11" t="inlineStr">
        <is>
          <t>Console: Consents register and consent record</t>
        </is>
      </c>
      <c r="E75" s="11" t="inlineStr">
        <is>
          <t>DPO</t>
        </is>
      </c>
      <c r="F75" s="11" t="inlineStr">
        <is>
          <t>High</t>
        </is>
      </c>
      <c r="G75" s="11" t="inlineStr">
        <is>
          <t>Positive</t>
        </is>
      </c>
      <c r="H75" s="11" t="inlineStr">
        <is>
          <t>Core</t>
        </is>
      </c>
      <c r="I75" s="11" t="inlineStr">
        <is>
          <t>-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
- CON-01, CON-03, CON-04, CON-05 and CON-10 are done.</t>
        </is>
      </c>
      <c r="J75" s="11" t="inlineStr">
        <is>
          <t>- Anjali Verma (Consented), UAT Tester One (Partial), UAT Tester Two (Declined), Nikhil Bose (Withdrawn) — all at site CIT</t>
        </is>
      </c>
      <c r="K75" s="11" t="inlineStr">
        <is>
          <t>1. In the sidebar, under 'Consent', click 'Consents'.
2. Find the four test people on 'Gait Identification Study 2026', site 'CIT'.
3. Set 'Status' to 'Partial', then 'Declined', then 'Withdrawn', then 'Consented', then back to 'All statuses'.
4. Click 'UAT Tester One'.
5. Read the 'Purposes' card.
6. Read the 'Evidence' card.
7. Read the 'Data subject' card and 'Assets containing this person'.
8. Look for any control to edit or delete the record.
9. Click 'All consents' and open 'Nikhil Bose'.
10. Click 'Audit trail' on this record.</t>
        </is>
      </c>
      <c r="L75" s="11" t="inlineStr">
        <is>
          <t>1. The page 'Consents' opens ('The current position for every data subject in scope…') with a 'Status' filter and the columns Data subject, Project, Site, Status, Purposes, Recorded.
2. Each appears once (latest record only): Anjali Verma 'Consented' '2 of 2'; UAT Tester One 'Partial' '1 of 2'; UAT Tester Two 'Declined' '0 of 2'; Nikhil Bose 'Withdrawn'.
3. Each time only rows with that status are listed, and the matching test person is among them. 'All statuses' shows everyone again.
4. The record page opens: small heading 'Consent', title 'UAT Tester One', 'Gait Identification Study 2026 · CIT', the status 'Partial', an 'Audit trail' button and the back link 'All consents'.
5. '1 of 2 purposes agreed.' 'Gait model training' shows 'Agreed'; 'Recording quality assurance' shows 'Not agreed'. Each line shows 'Lawful basis:', 'Retention:' and 'Categories:'.
6. 'Notice' NTC-GAIT-2026 v1 (a link), 'Language' Hindi, 'Content hash', 'Served at' and 'Acted at' (Served at is not later than Acted at), 'Action' Checkbox click. A note explains the gap between served and acted evidences s.5(1).
7. 'Data subject' shows Name, Email (tester01@example.org), Mobile, Site CIT, Project, Record and Recorded — no date of birth or other personal data. 'Assets containing this person' shows 'No assets mapped' (before CON-18).
8. There is none; the record is read-only.
9. A warning 'This record is a withdrawal' says it supersedes an earlier consent rather than replacing it. Both purposes show 'Not agreed' and 'Action' is 'Button press'.
10. The 'Audit trail' page opens already filtered to this record (a filter chip is shown) and lists 'Consent withdrawn'.</t>
        </is>
      </c>
      <c r="M75" s="11" t="inlineStr">
        <is>
          <t>The register shows one current status per person and filters correctly; a record shows each purpose separately, the notice version, language, hash, served and acted times, contact details only, and cannot be edited.</t>
        </is>
      </c>
      <c r="N75" s="16" t="n"/>
      <c r="O75" s="17" t="n"/>
      <c r="P75" s="16" t="inlineStr">
        <is>
          <t>Not run</t>
        </is>
      </c>
      <c r="Q75" s="16" t="n"/>
      <c r="R75" s="16" t="n"/>
    </row>
    <row r="76">
      <c r="A76" s="10" t="inlineStr">
        <is>
          <t>CON-13</t>
        </is>
      </c>
      <c r="B76" s="11" t="inlineStr">
        <is>
          <t>Consent and data exchange</t>
        </is>
      </c>
      <c r="C76" s="11" t="inlineStr">
        <is>
          <t>Consent records and exports are limited to the sites a role runs; other roles have no access</t>
        </is>
      </c>
      <c r="D76" s="11" t="inlineStr">
        <is>
          <t>Console: role scope for Consents and Exports</t>
        </is>
      </c>
      <c r="E76" s="11" t="inlineStr">
        <is>
          <t>DCO, RCO, R&amp;D User, Administrator</t>
        </is>
      </c>
      <c r="F76" s="11" t="inlineStr">
        <is>
          <t>Medium</t>
        </is>
      </c>
      <c r="G76" s="11" t="inlineStr">
        <is>
          <t>Negative</t>
        </is>
      </c>
      <c r="H76" s="11" t="inlineStr">
        <is>
          <t>Core</t>
        </is>
      </c>
      <c r="I76" s="11" t="inlineStr">
        <is>
          <t>- Console sign-in as in the other console cases (password SeedPassw0rd!2026 and a relayed 6-digit code).
- CON-01 to CON-05 are done. Arun Shetty (DCO) runs the CIT site; Meera Iyer (RCO) runs only the SE site of the Gait project.</t>
        </is>
      </c>
      <c r="J76" s="11" t="inlineStr">
        <is>
          <t>- dco@cmp.local, rco@cmp.local, rnd@cmp.local, admin@cmp.local</t>
        </is>
      </c>
      <c r="K76" s="11" t="inlineStr">
        <is>
          <t>1. Sign in as dco@cmp.local and click 'Consents'.
2. Open one of them.
3. Sign out, sign in as rco@cmp.local and click 'Consents'.
4. As the RCO click 'My projects', type 'Gait Identification' in 'Search' (the list updates as you type), open 'Gait Identification Study 2026', click 'Generate export' and then 'Generate the export'.
5. Sign out, sign in as rnd@cmp.local and look at the sidebar.
6. Type http://localhost:3000/consents in the address bar, then http://localhost:3000/exports.
7. Sign out, sign in as admin@cmp.local and look at the sidebar; then open http://localhost:3000/consents.</t>
        </is>
      </c>
      <c r="L76" s="11" t="inlineStr">
        <is>
          <t>1. The CIT rows for Anjali Verma, UAT Tester One, UAT Tester Two and Nikhil Bose are listed.
2. The record opens read-only, as for the DPO.
3. None of the CIT test people are listed (the RCO runs only the SE site); the list is empty ('No consent records yet') unless someone consented at SE.
4. The notice 'Export generated' says 'Nobody has consented on this project yet, so the file carries the project details only.' — the RCO's export contains none of the CIT people.
5. There is no 'Consents', 'Consent links' or 'Exports' entry.
6. Each shows 'Not part of your account' ('This section belongs to a different role, so there is nothing here for you…'). No consent or export data is shown.
7. The sidebar has no 'Consents', 'Exports', 'Imports' or 'Collections'. The address shows 'Not part of your account'.</t>
        </is>
      </c>
      <c r="M76" s="11" t="inlineStr">
        <is>
          <t>A collection owner sees only the consents and export rows of sites they run; the R&amp;D User and Administrator cannot see the consent register or exports at all.</t>
        </is>
      </c>
      <c r="N76" s="16" t="n"/>
      <c r="O76" s="17" t="n"/>
      <c r="P76" s="16" t="inlineStr">
        <is>
          <t>Not run</t>
        </is>
      </c>
      <c r="Q76" s="16" t="n"/>
      <c r="R76" s="16" t="n"/>
    </row>
    <row r="77">
      <c r="A77" s="10" t="inlineStr">
        <is>
          <t>CON-14</t>
        </is>
      </c>
      <c r="B77" s="11" t="inlineStr">
        <is>
          <t>Consent and data exchange</t>
        </is>
      </c>
      <c r="C77" s="11" t="inlineStr">
        <is>
          <t>The DPO generates a project export for processors in India and downloads it</t>
        </is>
      </c>
      <c r="D77" s="11" t="inlineStr">
        <is>
          <t>Console: Generate export, Exports page, download (India = domestic)</t>
        </is>
      </c>
      <c r="E77" s="11" t="inlineStr">
        <is>
          <t>DPO</t>
        </is>
      </c>
      <c r="F77" s="11" t="inlineStr">
        <is>
          <t>High</t>
        </is>
      </c>
      <c r="G77" s="11" t="inlineStr">
        <is>
          <t>Positive</t>
        </is>
      </c>
      <c r="H77" s="11" t="inlineStr">
        <is>
          <t>S2-04</t>
        </is>
      </c>
      <c r="I77" s="11" t="inlineStr">
        <is>
          <t>-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
- CON-01, CON-03, CON-04, CON-05 and CON-10 are done.
- Spreadsheet software (Excel or similar) to open a CSV. The file contains personal data: keep it on the test machine and delete it after the test.</t>
        </is>
      </c>
      <c r="J77" s="11" t="inlineStr">
        <is>
          <t>- Project: Gait Identification Study 2026
- Expected rows: Anjali Verma = consented, UAT Tester One = partial, Nikhil Bose = withdrawn; UAT Tester Two (declined) must NOT appear</t>
        </is>
      </c>
      <c r="K77" s="11" t="inlineStr">
        <is>
          <t>1. In the sidebar click 'Processors'.
2. Click 'Projects', type 'Gait Identification' in 'Search' (the list updates as you type) and open 'Gait Identification Study 2026'.
3. Click 'Generate export'.
4. Click 'Cancel'.
5. Click 'Generate export' again, then 'Generate the export'.
6. In the sidebar click 'Exports'.
7. Click 'Download' on that row.
8. Open the CSV in a spreadsheet.
9. Click 'Download' on the same row again.
10. Set the 'Type' filter to 'Project export (CSV, personal data)'.</t>
        </is>
      </c>
      <c r="L77" s="11" t="inlineStr">
        <is>
          <t>1. The 'Country' column shows 'IN' for 'SEED', 'SRIB' and 'Pune Motion Lab Pvt Ltd'. If any shows something else, set it back to IN (Edit, Country, Save changes) before continuing.
2. The project page opens with the status approved and a 'Generate export' button in the header.
3. A dialog 'Generate an export' opens with a warning ('This CSV contains personal data — name, email and mobile number for every person who consented. Generating it writes one disclosure row each…'), an information box ('One row per consent… People who have withdrawn are included and marked…') and the buttons 'Cancel' and 'Generate the export'. There is nothing to choose.
4. The dialog closes and nothing is generated.
5. The notice 'Export generated' says '&lt;N&gt; consent(s). Download it from the Exports page — downloading is repeatable.' The dialog closes. Write down N.
6. The top row shows the time just now 'by Priya Menon', project 'Gait Identification Study 2026', Site 'Whole project', Type 'Project export', Subjects = N, a SHA-256 code and a 'Download' button.
7. The notice 'Downloaded' with the file name appears and one .csv file is saved.
8. One file with a header row including project_name, site_label, consent_uuid, full_name, email, mobile, consent_status, granted_purposes, notice_code and notice_version. Anjali Verma: consent_status 'consented', granted_purposes lists PUR-GAIT-TRAIN and PUR-QUALITY. UAT Tester One: 'partial', PUR-GAIT-TRAIN only. Nikhil Bose: 'withdrawn', granted_purposes empty. There is NO row for UAT Tester Two. Names and contacts are readable. Note Anjali's consent_uuid (needed in CON-18).
9. The same file downloads again, and no new row appears on the Exports page (downloading does not create a new export).
10. The new export is still listed.</t>
        </is>
      </c>
      <c r="M77" s="11" t="inlineStr">
        <is>
          <t>With every processor in India the export is generated as one CSV per project with rows for consented, partial and withdrawn people (declined excluded), is listed on Exports with a subject count and hash, and can be downloaded repeatedly without a new export.</t>
        </is>
      </c>
      <c r="N77" s="16" t="n"/>
      <c r="O77" s="17" t="n"/>
      <c r="P77" s="16" t="inlineStr">
        <is>
          <t>Not run</t>
        </is>
      </c>
      <c r="Q77" s="16" t="n"/>
      <c r="R77" s="16" t="n"/>
    </row>
    <row r="78">
      <c r="A78" s="10" t="inlineStr">
        <is>
          <t>CON-15</t>
        </is>
      </c>
      <c r="B78" s="11" t="inlineStr">
        <is>
          <t>Consent and data exchange</t>
        </is>
      </c>
      <c r="C78" s="11" t="inlineStr">
        <is>
          <t>An export is refused when a site's processor is in a restricted country</t>
        </is>
      </c>
      <c r="D78" s="11" t="inlineStr">
        <is>
          <t>Console: cross-border check at export — restricted country (S2-04)</t>
        </is>
      </c>
      <c r="E78" s="11" t="inlineStr">
        <is>
          <t>DPO</t>
        </is>
      </c>
      <c r="F78" s="11" t="inlineStr">
        <is>
          <t>High</t>
        </is>
      </c>
      <c r="G78" s="11" t="inlineStr">
        <is>
          <t>Negative</t>
        </is>
      </c>
      <c r="H78" s="11" t="inlineStr">
        <is>
          <t>S2-04</t>
        </is>
      </c>
      <c r="I78" s="11" t="inlineStr">
        <is>
          <t>-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
- CON-14 passed (so an export would otherwise succeed); at least one current consent with an agreed purpose exists at the CIT site (run by processor SEED).
- REMEMBER: set SEED's Country back to IN and lift the test restriction at the end, even if the test fails.</t>
        </is>
      </c>
      <c r="J78" s="11" t="inlineStr">
        <is>
          <t>- Processor: SEED
- Invalid country: 1N
- Test country: SG
- Notification: UAT-TEST-NOTIF-01</t>
        </is>
      </c>
      <c r="K78" s="11" t="inlineStr">
        <is>
          <t>1. Click 'Processors'. On the 'SEED' row click 'Edit'.
2. Replace the country with 1N and click 'Save changes'.
3. Replace it with SG and click 'Save changes'.
4. Scroll down to the card 'Restricted countries (s.16)'. Type SG in 'Country' and UAT-TEST-NOTIF-01 in 'Notification' and click 'Restrict'.
5. Open 'Projects' &gt; 'Gait Identification Study 2026', click 'Generate export', then 'Generate the export'.
6. Click 'Cancel' and open 'Exports'.
7. Go back to 'Processors'; in 'Restricted countries (s.16)' click 'Lift' on SG.
8. Restore: on the 'SEED' row click 'Edit', set 'Country' to IN and click 'Save changes'.</t>
        </is>
      </c>
      <c r="L78" s="11" t="inlineStr">
        <is>
          <t>1. A dialog 'Edit processor' opens. 'Country' shows IN with the hint 'Where it is, as a two-letter code (IN for India). An export to a processor with no country is refused; one abroad goes only where the law and every purpose allow.'
2. The message 'Two letters: the ISO country code, e.g. IN' appears under 'Country'; nothing is saved.
3. The notice 'Processor updated' appears and the 'Country' column for SEED shows SG.
4. 'Restrict' is greyed out until both boxes are filled. After clicking, the notice 'Country restricted' ('Exports whose rows would go there are refused from now on.') appears and the list shows 'SG UAT-TEST-NOTIF-01 since &lt;today&gt;' with a 'Lift' button.
5. A red message appears inside the dialog: 'This export cannot go: SEED is in SG, restricted by UAT-TEST-NOTIF-01.' The dialog stays open and there is no 'Export generated' notice.
6. No new export row has been added since CON-14.
7. The notice 'SG lifted' ('Exports there are judged by the purposes again.') appears and SG leaves the list.
8. 'Processor updated' appears and SEED's Country shows IN again.</t>
        </is>
      </c>
      <c r="M78" s="11" t="inlineStr">
        <is>
          <t>While SEED is in a restricted country the export is refused with 'This export cannot go: … restricted by &lt;notification&gt;.' and nothing is written; SEED is back in IN and the restriction lifted at the end.</t>
        </is>
      </c>
      <c r="N78" s="16" t="n"/>
      <c r="O78" s="17" t="n"/>
      <c r="P78" s="16" t="inlineStr">
        <is>
          <t>Not run</t>
        </is>
      </c>
      <c r="Q78" s="16" t="n"/>
      <c r="R78" s="16" t="n"/>
    </row>
    <row r="79">
      <c r="A79" s="10" t="inlineStr">
        <is>
          <t>CON-16</t>
        </is>
      </c>
      <c r="B79" s="11" t="inlineStr">
        <is>
          <t>Consent and data exchange</t>
        </is>
      </c>
      <c r="C79" s="11" t="inlineStr">
        <is>
          <t>An export abroad is refused when an agreed purpose does not permit cross-border transfer, and goes once India is restored</t>
        </is>
      </c>
      <c r="D79" s="11" t="inlineStr">
        <is>
          <t>Console: cross-border check at export — purpose not permitted abroad; India succeeds (S2-04)</t>
        </is>
      </c>
      <c r="E79" s="11" t="inlineStr">
        <is>
          <t>DPO</t>
        </is>
      </c>
      <c r="F79" s="11" t="inlineStr">
        <is>
          <t>High</t>
        </is>
      </c>
      <c r="G79" s="11" t="inlineStr">
        <is>
          <t>Negative</t>
        </is>
      </c>
      <c r="H79" s="11" t="inlineStr">
        <is>
          <t>S2-04</t>
        </is>
      </c>
      <c r="I79" s="11" t="inlineStr">
        <is>
          <t>-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
- SG is not on the 'Restricted countries (s.16)' list (CON-15 lifted it).
- At the CIT site there is at least one current consent with agreed purposes (Anjali Verma). The seeded purposes 'Gait model training' (PUR-GAIT-TRAIN) and 'Recording quality assurance' (PUR-QUALITY) do not permit transfer outside India.
- REMEMBER: set SEED's Country back to IN at the end, even if the test fails.</t>
        </is>
      </c>
      <c r="J79" s="11" t="inlineStr">
        <is>
          <t>- Processor: SEED
- Test country: SG</t>
        </is>
      </c>
      <c r="K79" s="11" t="inlineStr">
        <is>
          <t>1. Click 'Processors'; on 'SEED' click 'Edit', set 'Country' to SG and click 'Save changes'.
2. Check the 'Restricted countries (s.16)' card.
3. Open 'Gait Identification Study 2026', click 'Generate export', then 'Generate the export'.
4. Click 'Cancel' and open 'Exports'.
5. Restore: 'Processors' &gt; 'SEED' &gt; 'Edit', set 'Country' to IN, 'Save changes'.
6. Open the project again, click 'Generate export', then 'Generate the export'.
7. Open 'Exports' and click 'Download' on the new top row, then open the CSV.</t>
        </is>
      </c>
      <c r="L79" s="11" t="inlineStr">
        <is>
          <t>1. 'Processor updated' appears and SEED shows SG.
2. SG is not listed.
3. A red message in the dialog: 'This export cannot go: SEED is in SG, and PUR-GAIT-TRAIN, PUR-QUALITY does not permit a transfer outside India.' (it names the purposes people agreed to at CIT). No 'Export generated' notice.
4. No new export row was added by the refused attempt.
5. SEED shows IN.
6. 'Export generated' appears with the number of consents.
7. A new 'Project export' row is listed; the CSV holds the same people and statuses as in CON-14.</t>
        </is>
      </c>
      <c r="M79" s="11" t="inlineStr">
        <is>
          <t>Abroad with purposes that do not permit transfer the export is refused and names the purposes; with the processor back in India the same export succeeds.</t>
        </is>
      </c>
      <c r="N79" s="16" t="n"/>
      <c r="O79" s="17" t="n"/>
      <c r="P79" s="16" t="inlineStr">
        <is>
          <t>Not run</t>
        </is>
      </c>
      <c r="Q79" s="16" t="n"/>
      <c r="R79" s="16" t="n"/>
    </row>
    <row r="80">
      <c r="A80" s="10" t="inlineStr">
        <is>
          <t>CON-17</t>
        </is>
      </c>
      <c r="B80" s="11" t="inlineStr">
        <is>
          <t>Consent and data exchange</t>
        </is>
      </c>
      <c r="C80" s="11" t="inlineStr">
        <is>
          <t>An export is refused when a site's processor has no recorded country</t>
        </is>
      </c>
      <c r="D80" s="11" t="inlineStr">
        <is>
          <t>Console: cross-border check at export — unknown location (S2-04)</t>
        </is>
      </c>
      <c r="E80" s="11" t="inlineStr">
        <is>
          <t>DPO</t>
        </is>
      </c>
      <c r="F80" s="11" t="inlineStr">
        <is>
          <t>High</t>
        </is>
      </c>
      <c r="G80" s="11" t="inlineStr">
        <is>
          <t>Negative</t>
        </is>
      </c>
      <c r="H80" s="11" t="inlineStr">
        <is>
          <t>S2-04</t>
        </is>
      </c>
      <c r="I80" s="11" t="inlineStr">
        <is>
          <t>-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
- The coordinator has prepared an approved project (e.g. from the PRJ cases) with a collection site run by a processor whose 'Country' shows 'not recorded', and at least one person has agreed to a purpose at that site. The coordinator gives you the project and processor names. (An existing processor's country cannot be emptied from the Edit dialog, so this has to be prepared.)</t>
        </is>
      </c>
      <c r="J80" s="11" t="inlineStr">
        <is>
          <t>- New processor: UAT No Country Lab Pvt Ltd, Type Lab, Contract reference CTR-UAT-0001, Security confirmed on: 01/09/2026, Country: leave empty
- Prepared project and processor: as named by the coordinator</t>
        </is>
      </c>
      <c r="K80" s="11" t="inlineStr">
        <is>
          <t>1. Click 'Processors', then 'Register processor'. Fill 'Registered legal name', 'Type', 'Contract reference' and 'Security confirmed on' from the test data, leave 'Country' empty and click 'Register processor'.
2. Find the coordinator's prepared processor in the list.
3. Open the prepared project, click 'Generate export', then 'Generate the export'.
4. Click 'Cancel' and open 'Exports'.
5. Go to 'Processors', click 'Edit' on the prepared processor, set 'Country' to IN and click 'Save changes'.
6. Open the prepared project again and click 'Generate export', then 'Generate the export'.
7. Clean-up: on the 'UAT No Country Lab Pvt Ltd' row click 'Suspend'.</t>
        </is>
      </c>
      <c r="L80" s="11" t="inlineStr">
        <is>
          <t>1. The notice 'Processor registered' appears. The new row shows 'not recorded' in the Country column; hovering it shows 'An export to this processor is refused until its country is recorded'.
2. Its Country also shows 'not recorded'.
3. A red message in the dialog: 'This export cannot go: &lt;processor name&gt; has no recorded location - record its country first.' No 'Export generated' notice.
4. No new export row for that project.
5. 'Processor updated' appears and the row shows IN.
6. 'Export generated' appears and a new 'Project export' row is listed on 'Exports'.
7. 'Processor suspended' appears and its status changes.</t>
        </is>
      </c>
      <c r="M80" s="11" t="inlineStr">
        <is>
          <t>A processor with no country is visibly 'not recorded', an export through it is refused naming the processor and asking for its country, and the export succeeds once the country (India) is recorded.</t>
        </is>
      </c>
      <c r="N80" s="16" t="n"/>
      <c r="O80" s="17" t="n"/>
      <c r="P80" s="16" t="inlineStr">
        <is>
          <t>Not run</t>
        </is>
      </c>
      <c r="Q80" s="16" t="n"/>
      <c r="R80" s="16" t="n"/>
    </row>
    <row r="81">
      <c r="A81" s="10" t="inlineStr">
        <is>
          <t>CON-18</t>
        </is>
      </c>
      <c r="B81" s="11" t="inlineStr">
        <is>
          <t>Consent and data exchange</t>
        </is>
      </c>
      <c r="C81" s="11" t="inlineStr">
        <is>
          <t>A collection owner downloads the manifest template, validates a manifest, imports it and sees the collection and assets</t>
        </is>
      </c>
      <c r="D81" s="11" t="inlineStr">
        <is>
          <t>Console: Imports (template, dry run, import), Collections, assets</t>
        </is>
      </c>
      <c r="E81" s="11" t="inlineStr">
        <is>
          <t>Data Collection Owner</t>
        </is>
      </c>
      <c r="F81" s="11" t="inlineStr">
        <is>
          <t>High</t>
        </is>
      </c>
      <c r="G81" s="11" t="inlineStr">
        <is>
          <t>Positive</t>
        </is>
      </c>
      <c r="H81" s="11" t="inlineStr">
        <is>
          <t>Core</t>
        </is>
      </c>
      <c r="I81" s="11" t="inlineStr">
        <is>
          <t>- Signed in to the console (http://localhost:3000) as Arun Shetty, Data Collection Owner (dco@cmp.local): on 'Sign in' enter 'Email or username' and 'Password' (SeedPassw0rd!2026), click 'Sign in', then type the 6-digit code relayed by the test coordinator on 'Verify it is you' and click 'Verify and continue'. To change user, use 'Sign out' in the sidebar.
- CON-14 is done and you have Anjali Verma's consent_uuid from the export CSV.
- A spreadsheet or text editor that can save a CSV (UTF-8).</t>
        </is>
      </c>
      <c r="J81" s="11" t="inlineStr">
        <is>
          <t>- File uat-template-asis.csv: the downloaded template saved unchanged
- File uat-manifest-01.csv, keep the template's header row and replace the example with two rows:
- Row 1: source_collection_ref RUN-UAT-CON-01; source_asset_ref IMG_UAT_0001.jpg; asset_type image; collected_on 2026-09-20; subject_role consented; consent_uuid &lt;Anjali's consent_uuid&gt;; storage_ref s3://collections/run-uat-con-01/IMG_UAT_0001.jpg; other columns empty
- Row 2: RUN-UAT-CON-01; VID_UAT_0002.mp4; video; 2026-09-20; incidental; consent_uuid empty; storage_ref s3://collections/run-uat-con-01/VID_UAT_0002.mp4; other columns empty
- Data source: CIT · SRC-SEED-CIT; Project: Gait Identification Study 2026</t>
        </is>
      </c>
      <c r="K81" s="11" t="inlineStr">
        <is>
          <t>1. In the sidebar, under 'Data movement', click 'Imports', then 'Import a manifest'.
2. Click 'What the file must contain'.
3. Click 'Download the manifest template' and open the file.
4. Save it unchanged as uat-template-asis.csv. In the dialog choose 'CIT · SRC-SEED-CIT' in 'Data source' and 'Gait Identification Study 2026' in 'Project'.
5. Choose uat-template-asis.csv and click 'Check it — this writes nothing'.
6. Create uat-manifest-01.csv from the test data, choose it and click 'Check it — this writes nothing'.
7. Click 'Import 2 row(s)'.
8. Click the file name uat-manifest-01.csv.
9. In the sidebar click 'Collections'.
10. Click 'RUN-UAT-CON-01'.
11. Open 'Consents' and click 'Anjali Verma'.</t>
        </is>
      </c>
      <c r="L81" s="11" t="inlineStr">
        <is>
          <t>1. A dialog 'Import a manifest' opens with three numbered steps: '1 Start from the template', '2 Where it came from, and where it goes' and '3 Check the file' — step 3 is dimmed with 'Choose a source and a project first — the checks depend on both.' The 'Import' button is greyed out.
2. It lists source_collection_ref, source_asset_ref, asset_type, collected_on and subject_role, each with a short explanation.
3. collection-manifest-template.csv is saved. It has a header row, one example row (RUN-2026-001, IMG_0001.jpg, image, …, consented) and guidance lines starting with '#', including '# Delete every line below before uploading.'
4. Step 3 becomes available with a 'Manifest' file picker (hint 'CSV, up to 25 MB.') and the button 'Check it — this writes nothing', which is greyed out until a file is chosen.
5. A red box '1 problem(s) found' ('Nothing has been written. Fix the manifest and check it again…') and a table Row / Column / Problem: row 2, consent_uuid, 'A consented subject requires a consent_uuid'. 'Import' stays greyed out.
6. The earlier result disappears when the file changes. Then a green box 'Manifest is valid': '2 row(s) parsed with no errors. Nothing has been written yet.' with 'File SHA-256 …', a notice 'Manifest is valid' / '2 row(s) ready to import.', and the footer button now reads 'Import 2 row(s)'.
7. The notice 'Import accepted' / '2 accepted, 0 rejected.' appears and the dialog closes. The Imports list shows a new row: File uat-manifest-01.csv, Source SRC-SEED-CIT, Project Gait Identification Study 2026, Status 'Accepted', Rows '2 of 2', Received just now.
8. The batch page shows the tiles 'Declared' 2, 'Accepted' 2, 'Rejected' 0, 'Not processed' 0, an 'Outcome' bar, 'Rejected rows' with 'Nothing was rejected', and a card 'The file' with its hash.
9. A row with Reference 'RUN-UAT-CON-01' (site CIT underneath), Project 'Gait Identification Study 2026', Source CIT, Collected 20 Sep 2026.
10. The collection page shows 'Gait Identification Study 2026 · collected …'; the note 'This collection carries no declaration' (no declared_asset_count was given); the tile 'Assets flagged' = 1 ('Contain someone with no consent'); the 'Assets' table lists IMG_UAT_0001.jpg (Image, Subjects 1) and VID_UAT_0002.mp4 (Video, Bystanders 1); 'Provenance' shows Source CIT SRC-SEED-CIT.
11. 'Assets containing this person' now lists IMG_UAT_0001.jpg with Source CIT, Collected 20 Sep 2026, Role Consented and a Disposition (Active).</t>
        </is>
      </c>
      <c r="M81" s="11" t="inlineStr">
        <is>
          <t>The template downloads with guidance; the dry run reports problems row by row and writes nothing; a valid manifest imports as an Accepted batch; the collection and its assets appear and the consented asset is linked to the person's consent record.</t>
        </is>
      </c>
      <c r="N81" s="16" t="n"/>
      <c r="O81" s="17" t="n"/>
      <c r="P81" s="16" t="inlineStr">
        <is>
          <t>Not run</t>
        </is>
      </c>
      <c r="Q81" s="16" t="n"/>
      <c r="R81" s="16" t="n"/>
    </row>
    <row r="82">
      <c r="A82" s="10" t="inlineStr">
        <is>
          <t>CON-19</t>
        </is>
      </c>
      <c r="B82" s="11" t="inlineStr">
        <is>
          <t>Consent and data exchange</t>
        </is>
      </c>
      <c r="C82" s="11" t="inlineStr">
        <is>
          <t>Imports refuse bad manifests, never duplicate a file, and reject rows whose consent does not exist</t>
        </is>
      </c>
      <c r="D82" s="11" t="inlineStr">
        <is>
          <t>Console: Imports — negative paths</t>
        </is>
      </c>
      <c r="E82" s="11" t="inlineStr">
        <is>
          <t>Data Collection Owner; R&amp;D User</t>
        </is>
      </c>
      <c r="F82" s="11" t="inlineStr">
        <is>
          <t>Medium</t>
        </is>
      </c>
      <c r="G82" s="11" t="inlineStr">
        <is>
          <t>Negative</t>
        </is>
      </c>
      <c r="H82" s="11" t="inlineStr">
        <is>
          <t>Core</t>
        </is>
      </c>
      <c r="I82" s="11" t="inlineStr">
        <is>
          <t>- Signed in to the console (http://localhost:3000) as Arun Shetty, Data Collection Owner (dco@cmp.local): on 'Sign in' enter 'Email or username' and 'Password' (SeedPassw0rd!2026), click 'Sign in', then type the 6-digit code relayed by the test coordinator on 'Verify it is you' and click 'Verify and continue'. To change user, use 'Sign out' in the sidebar.
- CON-18 is done (uat-manifest-01.csv was imported).
- R&amp;D User account rnd@cmp.local for step 1 (same console sign-in).</t>
        </is>
      </c>
      <c r="J82" s="11" t="inlineStr">
        <is>
          <t>- bad-values.csv (template header): row 2 asset_type 'photo', collected_on 2030-01-01, subject_role consented with a consent_uuid; row 3 subject_role incidental WITH a consent_uuid, collected_on 20/09/2026
- extra-column.csv: a valid row but with an extra column named notes
- unknown-consent.csv: one row RUN-UAT-CON-02, IMG_UAT_0100.jpg, image, 2026-09-20, consented, consent_uuid 00000000-0000-4000-8000-000000000000
- uat-manifest-01.csv from CON-18, unchanged</t>
        </is>
      </c>
      <c r="K82" s="11" t="inlineStr">
        <is>
          <t>1. Sign in as rnd@cmp.local and click 'Imports'.
2. As the DCO click 'Imports' &gt; 'Import a manifest'. Choose only a 'Data source'.
3. Choose the 'Project' too.
4. Choose bad-values.csv and click 'Check it — this writes nothing'.
5. Choose extra-column.csv and check it.
6. Choose uat-manifest-01.csv and check it; then change 'Data source' to a different source.
7. Set 'Data source' back to 'CIT · SRC-SEED-CIT', check uat-manifest-01.csv again and, if 'Import' is available, click it.
8. Open 'Import a manifest' again, choose CIT and the Gait project, choose unknown-consent.csv and check it.
9. Click 'Import 1 row(s)'.
10. Open that batch.</t>
        </is>
      </c>
      <c r="L82" s="11" t="inlineStr">
        <is>
          <t>1. The list is visible but there is NO 'Import a manifest' button. Sign out and sign in as dco@cmp.local.
2. Step 3 stays dimmed with 'Choose a source and a project first — the checks depend on both.' 'Import' is greyed out.
3. Step 3 opens; 'Check it — this writes nothing' is greyed out until a file is chosen; 'Import' is still greyed out.
4. A red '&lt;n&gt; problem(s) found' box and a table including: asset_type 'Must be one of: audio, document, image, other, sensor, video'; collected_on 'Collection date is in the future'; consent_uuid 'A incidental subject must not carry a consent_uuid'; collected_on 'Must be YYYY-MM-DD'. 'Import' stays greyed out.
5. The table shows Row 'file', Column 'notes', Problem 'Unknown column(s): notes'.
6. The check first reports 'Already imported' ('This exact file has been imported before (batch …)…'). Changing the data source clears the result, so the file must be checked again before anything can be imported.
7. 'Already imported' is shown again; if imported, the notice 'Nothing to do' / 'This file has already been imported. Nothing was written.' appears. No second batch and no second RUN-UAT-CON-01 collection appear.
8. 'Manifest is valid' — the dry run checks the file's shape, not whether the consent exists.
9. The notice 'Import rejected' / '0 accepted, 1 rejected.' appears. The Imports list shows the batch with Status 'Rejected', Rows '0 of 1' and '1 rejected'.
10. 'Rejected' = 1 and the 'Rejected rows' table gives the Reason 'Consent artefact not found'.</t>
        </is>
      </c>
      <c r="M82" s="11" t="inlineStr">
        <is>
          <t>Import stays locked until a clean dry run; every bad value is reported by row and column with nothing written; a file already imported writes nothing; a row naming a non-existent consent is rejected with a reason; the R&amp;D User cannot import.</t>
        </is>
      </c>
      <c r="N82" s="16" t="n"/>
      <c r="O82" s="17" t="n"/>
      <c r="P82" s="16" t="inlineStr">
        <is>
          <t>Not run</t>
        </is>
      </c>
      <c r="Q82" s="16" t="n"/>
      <c r="R82" s="16" t="n"/>
    </row>
    <row r="83">
      <c r="A83" s="10" t="inlineStr">
        <is>
          <t>CON-20</t>
        </is>
      </c>
      <c r="B83" s="11" t="inlineStr">
        <is>
          <t>Consent and data exchange</t>
        </is>
      </c>
      <c r="C83" s="11" t="inlineStr">
        <is>
          <t>Consent, export, cross-border and import events appear in the audit trail</t>
        </is>
      </c>
      <c r="D83" s="11" t="inlineStr">
        <is>
          <t>Console: Audit trail for consent and data exchange</t>
        </is>
      </c>
      <c r="E83" s="11" t="inlineStr">
        <is>
          <t>DPO</t>
        </is>
      </c>
      <c r="F83" s="11" t="inlineStr">
        <is>
          <t>Medium</t>
        </is>
      </c>
      <c r="G83" s="11" t="inlineStr">
        <is>
          <t>Positive</t>
        </is>
      </c>
      <c r="H83" s="11" t="inlineStr">
        <is>
          <t>Core</t>
        </is>
      </c>
      <c r="I83" s="11" t="inlineStr">
        <is>
          <t>-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
- CON-01 to CON-19 have been run (in any order), so the events exist.</t>
        </is>
      </c>
      <c r="J83" s="11" t="inlineStr">
        <is>
          <t>- Areas: Consent, Exports, Cross-border transfers, Processors, Imports</t>
        </is>
      </c>
      <c r="K83" s="11" t="inlineStr">
        <is>
          <t>1. Under 'Oversight' click 'Audit trail'.
2. Set 'Area' to 'Consent'.
3. Set 'Area' to 'Exports'.
4. Click an 'Export refused' row.
5. Set 'Area' to 'Cross-border transfers'.
6. Set 'Area' to 'Processors'.
7. Set 'Area' to 'Imports'.
8. Click 'Verify chain'.</t>
        </is>
      </c>
      <c r="L83" s="11" t="inlineStr">
        <is>
          <t>1. The page 'Audit trail' opens ('Append-only and hash-chained…') with 'Export CSV' and 'Verify chain' buttons, filters 'Area', 'Event', 'Record type', 'Actor role', 'From', 'To' and a 'Search' box, and the columns When, Event, Actor, About, Record.
2. Entries such as 'Consent given', 'Consent declined' and 'Consent withdrawn' for the test people are listed.
3. Entries 'Export generated' (Actor Priya Menon, and Meera Iyer from CON-13), 'Export downloaded' and 'Export refused' (from CON-15, CON-16, CON-17) are listed.
4. A detail panel titled 'Export refused' opens with What, When, Who. It concerns the project and names the processor/cause; it does not name any data principal.
5. 'Transfer country restricted' and 'Transfer country lifted' entries for SG are listed.
6. 'Processor updated' entries for the SEED country changes and 'Processor created' for UAT No Country Lab Pvt Ltd are listed.
7. 'Import validated' (one per check), 'Import accepted' and 'Import rejected' entries are listed with Actor Arun Shetty.
8. A green box 'Chain intact' appears.</t>
        </is>
      </c>
      <c r="M83" s="11" t="inlineStr">
        <is>
          <t>Every consent decision, export (generated, downloaded, refused), restricted-country change, processor change and import (validated, accepted, rejected) is in the audit trail, and the chain verifies intact.</t>
        </is>
      </c>
      <c r="N83" s="16" t="n"/>
      <c r="O83" s="17" t="n"/>
      <c r="P83" s="16" t="inlineStr">
        <is>
          <t>Not run</t>
        </is>
      </c>
      <c r="Q83" s="16" t="n"/>
      <c r="R83" s="16" t="n"/>
    </row>
    <row r="84">
      <c r="A84" s="10" t="inlineStr">
        <is>
          <t>CON-21</t>
        </is>
      </c>
      <c r="B84" s="11" t="inlineStr">
        <is>
          <t>Consent and data exchange</t>
        </is>
      </c>
      <c r="C84" s="11" t="inlineStr">
        <is>
          <t>After an export the principal sees who received her data, and withdraws one purpose while keeping the other</t>
        </is>
      </c>
      <c r="D84" s="11" t="inlineStr">
        <is>
          <t>Portal: disclosures and Withdraw just this one</t>
        </is>
      </c>
      <c r="E84" s="11" t="inlineStr">
        <is>
          <t>Data principal (Anjali Verma); DPO for the last check</t>
        </is>
      </c>
      <c r="F84" s="11" t="inlineStr">
        <is>
          <t>High</t>
        </is>
      </c>
      <c r="G84" s="11" t="inlineStr">
        <is>
          <t>Positive</t>
        </is>
      </c>
      <c r="H84" s="11" t="inlineStr">
        <is>
          <t>Core</t>
        </is>
      </c>
      <c r="I84" s="11" t="inlineStr">
        <is>
          <t>- The data-principal portal is open at http://localhost:3001 in a fresh private (incognito) browser window, so no earlier sign-in carries over.
- The test coordinator is available to read six-digit codes from the test outbox and relay them to you.
- CON-14 and CON-18 are done (Anjali is in an export; her consent is still 2 of 2).
- For the last step: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t>
        </is>
      </c>
      <c r="J84" s="11" t="inlineStr">
        <is>
          <t>- Mobile: +91 90000 00001
- Purpose to withdraw: Recording quality assurance</t>
        </is>
      </c>
      <c r="K84" s="11" t="inlineStr">
        <is>
          <t>1. Open http://localhost:3001/sign-in. Under 'Sign in with' select 'Mobile', type +91 90000 00001 in 'Mobile number' and click 'Send me a code'. Then type the code the coordinator relays into 'Six-digit code' and click 'Verify'.
2. Scroll to 'Who your data has been shared with'.
3. On the 'Gait Identification Study 2026' card (status 'Consented') click 'See what you agreed to'.
4. Click 'Withdraw just this one' under 'Recording quality assurance'.
5. Look at the card.
6. Look for a way to withdraw the remaining purpose, 'Gait model training'.
7. Click 'What was recorded'.
8. Ask the coordinator to check the outbox for Anjali.
9. In the console as the DPO open 'Consents' &gt; 'Anjali Verma'.</t>
        </is>
      </c>
      <c r="L84" s="11" t="inlineStr">
        <is>
          <t>1. After 'Send me a code' a blue box 'Check your messages' says 'If +91 90000 00001 is registered with us, a six-digit code is on its way. It expires in ten minutes.' After 'Verify' the page 'My consents' opens and 'My consents' is highlighted in the sidebar.
2. At least one entry names the processor 'SEED' with 'Gait Identification Study 2026 · &lt;date and time&gt;' of the export.
3. Both purposes show 'Consented', each with a 'Withdraw just this one' button.
4. The notice 'Withdrawal recorded' / 'Stopped: Recording quality assurance.' appears.
5. The line reads 'You agreed to 1 of 2 purposes.' 'Recording quality assurance' now shows 'Declined' and 'Gait model training' still shows 'Consented'. The status badge reads 'Partial', not 'Withdrawn'.
6. A 'Withdraw just this one' button is still offered under 'Gait model training' (and 'Withdraw everything' on the card), so the rest can be withdrawn as easily as consent was given (s.6(4)).
7. The list shows the original consent followed by the withdrawal.
8. A withdrawal confirmation message is present.
9. The record shows the warning 'This record is a withdrawal'; 'Purposes' shows 'Gait model training' Agreed and 'Recording quality assurance' Not agreed. Its status reads 'Partial', not 'Withdrawn'.</t>
        </is>
      </c>
      <c r="M84" s="11" t="inlineStr">
        <is>
          <t>The principal sees the processor her data went to; withdrawing one purpose stops only that purpose, the other remains agreed, and she can still withdraw the remaining purpose from the same page.</t>
        </is>
      </c>
      <c r="N84" s="16" t="n"/>
      <c r="O84" s="17" t="n"/>
      <c r="P84" s="16" t="inlineStr">
        <is>
          <t>Not run</t>
        </is>
      </c>
      <c r="Q84" s="16" t="n"/>
      <c r="R84" s="16" t="n"/>
    </row>
    <row r="85">
      <c r="A85" s="10" t="inlineStr">
        <is>
          <t>RGT-01</t>
        </is>
      </c>
      <c r="B85" s="11" t="inlineStr">
        <is>
          <t>Rights requests</t>
        </is>
      </c>
      <c r="C85" s="11" t="inlineStr">
        <is>
          <t>Data principal raises an access request from My requests</t>
        </is>
      </c>
      <c r="D85" s="11" t="inlineStr">
        <is>
          <t>Portal - My requests - Make a request (access, s.11)</t>
        </is>
      </c>
      <c r="E85" s="11" t="inlineStr">
        <is>
          <t>Data principal (Anjali Verma) on portal</t>
        </is>
      </c>
      <c r="F85" s="11" t="inlineStr">
        <is>
          <t>High</t>
        </is>
      </c>
      <c r="G85" s="11" t="inlineStr">
        <is>
          <t>Positive</t>
        </is>
      </c>
      <c r="H85" s="11" t="inlineStr">
        <is>
          <t>Core</t>
        </is>
      </c>
      <c r="I85" s="11" t="inlineStr">
        <is>
          <t>- The portal is running at http://localhost:3001 and Anjali Verma (subject@cmp.local / +91 90000 00001) can sign in to it.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t>
        </is>
      </c>
      <c r="J85" s="11" t="inlineStr">
        <is>
          <t>- What are you asking for: Access (s.11)
- About: Everything you hold about me
- Your request: Please give me a summary of all the personal data you hold about me and who it was shared with.
- Note the reference shown (called RR-A in later cases).</t>
        </is>
      </c>
      <c r="K85" s="11" t="inlineStr">
        <is>
          <t>1. In Browser A open http://localhost:3001/sign-in. Under 'Sign in with' choose 'Email', type subject@cmp.local in 'Email address' and click 'Send me a code'. Ask the coordinator for the code, type it in 'Six-digit code' and click 'Verify'.
2. In the sidebar click 'My requests'.
3. Click 'Make a request'.
4. In 'What are you asking for' choose 'Access (s.11)'.
5. Leave 'About' on 'Everything you hold about me'. Type the test text in 'Your request'. Click 'Send the request'.
6. Look at the new card for RR-A at the top of the list.
7. Look at the lower half of the card (it opens already expanded after sending).
8. Click 'Hide progress', then 'Show progress'.
9. Click 'Show what was recorded' on the card.
10. Ask the coordinator to check the outbox for an acknowledgement sent to subject@cmp.local.</t>
        </is>
      </c>
      <c r="L85" s="11" t="inlineStr">
        <is>
          <t>1. A 'Check your messages' box appears after the first click. After 'Verify' you are signed in and the 'My consents' page opens; the sidebar shows 'My consents' and 'My requests'.
2. The page 'My requests' opens with the text 'Ask for access to your data, a correction or erasure, or raise a complaint...' and a 'Make a request' button at the top right. At the foot of the page a line says naming someone to act for you is under 'My nominations'.
3. A dialog titled 'Make a request' opens with the line 'You are signed in, so this counts as verified and the clock starts now.' It has 'What are you asking for', 'About', 'Your request' and a 'Send the request' button.
4. A blue note under it reads 'A summary of the personal data we hold about you, what we do with it, and who it has been shared with.'
5. The dialog closes. A message 'Recorded as RR-YYYY-NNNNNN' appears with 'You will hear from us by &lt;date&gt;.' Write down the reference (RR-A).
6. The card shows the reference, the badges 'Access · s.11' and 'Received', and the line 'Received &lt;date and time&gt; · you will hear by &lt;date&gt;'. Your request text is shown. There is NO yellow box saying 'We have not yet confirmed this came from you'.
7. Two columns are shown: 'Clock' with the checkpoints, and 'The path' with steps including 'Request received', 'Acknowledge', 'Identity verified?', 'A valid access request?' and 'The CMP answers its own records'. The button reads 'Hide progress'.
8. The Clock and path collapse and open again.
9. A list of recorded events opens, oldest first, starting with the request being received. The button now reads 'Hide what was recorded'.
10. An acknowledgement for RR-A is in the outbox, quoting the reference and the date by which she will hear.</t>
        </is>
      </c>
      <c r="M85" s="11" t="inlineStr">
        <is>
          <t>The access request is recorded with an RR- reference, is verified by the session (no 'not yet confirmed' warning), shows 'Received' with its clock and path, and an acknowledgement is sent.</t>
        </is>
      </c>
      <c r="N85" s="16" t="n"/>
      <c r="O85" s="17" t="n"/>
      <c r="P85" s="16" t="inlineStr">
        <is>
          <t>Not run</t>
        </is>
      </c>
      <c r="Q85" s="16" t="n"/>
      <c r="R85" s="16" t="n"/>
    </row>
    <row r="86">
      <c r="A86" s="10" t="inlineStr">
        <is>
          <t>RGT-02</t>
        </is>
      </c>
      <c r="B86" s="11" t="inlineStr">
        <is>
          <t>Rights requests</t>
        </is>
      </c>
      <c r="C86" s="11" t="inlineStr">
        <is>
          <t>Data principal raises a correction request from My requests</t>
        </is>
      </c>
      <c r="D86" s="11" t="inlineStr">
        <is>
          <t>Portal - My requests - Make a request (correction, s.12)</t>
        </is>
      </c>
      <c r="E86" s="11" t="inlineStr">
        <is>
          <t>Data principal (Anjali Verma) on portal</t>
        </is>
      </c>
      <c r="F86" s="11" t="inlineStr">
        <is>
          <t>Medium</t>
        </is>
      </c>
      <c r="G86" s="11" t="inlineStr">
        <is>
          <t>Positive</t>
        </is>
      </c>
      <c r="H86" s="11" t="inlineStr">
        <is>
          <t>Core</t>
        </is>
      </c>
      <c r="I86" s="11" t="inlineStr">
        <is>
          <t>- The portal is running at http://localhost:3001 and Anjali Verma (subject@cmp.local / +91 90000 00001) can sign in to it.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Anjali is signed in to the portal in Browser A (RGT-01 step 1).</t>
        </is>
      </c>
      <c r="J86" s="11" t="inlineStr">
        <is>
          <t>- What are you asking for: Correction (s.12)
- Your request: My surname is recorded as 'Varma' in the gait study. Please correct it to 'Verma'.
- Note the reference (called RR-C in later cases).</t>
        </is>
      </c>
      <c r="K86" s="11" t="inlineStr">
        <is>
          <t>1. In the sidebar click 'My requests', then click 'Make a request'.
2. In 'What are you asking for' choose 'Correction (s.12)'.
3. Open the 'About' list without changing it.
4. Type the test text in 'Your request' and click 'Send the request'.
5. Look at the RR-C card and its path.</t>
        </is>
      </c>
      <c r="L86" s="11" t="inlineStr">
        <is>
          <t>1. The 'Make a request' dialog opens.
2. The note under it reads 'Correct inaccurate personal data, or complete data that is incomplete.'
3. The first option is 'Everything you hold about me'; the others are her consents, each shown as '&lt;project&gt; · &lt;notice code&gt; v&lt;version&gt; · &lt;date&gt;'. Leave it on 'Everything you hold about me'.
4. A message 'Recorded as RR-...' with 'You will hear from us by &lt;date&gt;.' appears. Write down the reference (RR-C).
5. The card shows 'Correction · s.12' and 'Received'. 'The path' includes the step 'A valid correction request?'.</t>
        </is>
      </c>
      <c r="M86" s="11" t="inlineStr">
        <is>
          <t>A correction request is recorded with its own reference, type badge 'Correction · s.12' and status 'Received'.</t>
        </is>
      </c>
      <c r="N86" s="16" t="n"/>
      <c r="O86" s="17" t="n"/>
      <c r="P86" s="16" t="inlineStr">
        <is>
          <t>Not run</t>
        </is>
      </c>
      <c r="Q86" s="16" t="n"/>
      <c r="R86" s="16" t="n"/>
    </row>
    <row r="87">
      <c r="A87" s="10" t="inlineStr">
        <is>
          <t>RGT-03</t>
        </is>
      </c>
      <c r="B87" s="11" t="inlineStr">
        <is>
          <t>Rights requests</t>
        </is>
      </c>
      <c r="C87" s="11" t="inlineStr">
        <is>
          <t>Data principal raises an erasure request and is told erasure is not withdrawal</t>
        </is>
      </c>
      <c r="D87" s="11" t="inlineStr">
        <is>
          <t>Portal - My requests - Make a request (erasure, s.12(3))</t>
        </is>
      </c>
      <c r="E87" s="11" t="inlineStr">
        <is>
          <t>Data principal (Anjali Verma) on portal</t>
        </is>
      </c>
      <c r="F87" s="11" t="inlineStr">
        <is>
          <t>High</t>
        </is>
      </c>
      <c r="G87" s="11" t="inlineStr">
        <is>
          <t>Positive</t>
        </is>
      </c>
      <c r="H87" s="11" t="inlineStr">
        <is>
          <t>Core</t>
        </is>
      </c>
      <c r="I87" s="11" t="inlineStr">
        <is>
          <t>- The portal is running at http://localhost:3001 and Anjali Verma (subject@cmp.local / +91 90000 00001) can sign in to it.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Anjali is signed in to the portal in Browser A.
- The coordinator has imported a manifest naming the principal's consent (see CON cases) so that she appears in collected assets (needed later in RGT-11 to RGT-16).</t>
        </is>
      </c>
      <c r="J87" s="11" t="inlineStr">
        <is>
          <t>- What are you asking for: Erasure (s.12(3))
- About: Everything you hold about me
- Your request: Please erase the gait recordings you collected of me. I no longer want you to keep them.
- Note the reference (called RR-E in later cases).</t>
        </is>
      </c>
      <c r="K87" s="11" t="inlineStr">
        <is>
          <t>1. In 'My requests' click 'Make a request' and in 'What are you asking for' choose 'Erasure (s.12(3))'.
2. Leave 'About' on 'Everything you hold about me', type the test text in 'Your request' and click 'Send the request'.
3. Look at the RR-E card.
4. Read 'The path' on the RR-E card.
5. Click 'My consents' in the sidebar.</t>
        </is>
      </c>
      <c r="L87" s="11" t="inlineStr">
        <is>
          <t>1. A yellow (warning) note appears: 'Erase personal data that is no longer needed. Consent records are kept as evidence of what was agreed; withdrawing consent is a separate, quicker step you can take yourself.'
2. 'Recorded as RR-...' appears with the date she will hear by. Write down the reference (RR-E).
3. The card shows 'Erasure · s.12(3)' and 'Received', and no 'not yet confirmed' warning.
4. The steps include 'Withdrawal, or erasure?', 'Scope determined', 'Inside the one-year floor?', 'Holders derived, DPO confirms', 'Erasure instructions issued', 'All confirmations returned?' and 'Respond and close'.
5. Her consents are unchanged - raising an erasure request did not withdraw any consent.</t>
        </is>
      </c>
      <c r="M87" s="11" t="inlineStr">
        <is>
          <t>An erasure request is recorded, the form warns that erasure is not withdrawal, the erasure path is shown, and no consent is withdrawn by the request.</t>
        </is>
      </c>
      <c r="N87" s="16" t="n"/>
      <c r="O87" s="17" t="n"/>
      <c r="P87" s="16" t="inlineStr">
        <is>
          <t>Not run</t>
        </is>
      </c>
      <c r="Q87" s="16" t="n"/>
      <c r="R87" s="16" t="n"/>
    </row>
    <row r="88">
      <c r="A88" s="10" t="inlineStr">
        <is>
          <t>RGT-04</t>
        </is>
      </c>
      <c r="B88" s="11" t="inlineStr">
        <is>
          <t>Rights requests</t>
        </is>
      </c>
      <c r="C88" s="11" t="inlineStr">
        <is>
          <t>Request forms refuse incomplete or badly formed input</t>
        </is>
      </c>
      <c r="D88" s="11" t="inlineStr">
        <is>
          <t>Portal - Make a request / public rights form - validation</t>
        </is>
      </c>
      <c r="E88" s="11" t="inlineStr">
        <is>
          <t>Data principal on portal; member of the public</t>
        </is>
      </c>
      <c r="F88" s="11" t="inlineStr">
        <is>
          <t>Medium</t>
        </is>
      </c>
      <c r="G88" s="11" t="inlineStr">
        <is>
          <t>Negative</t>
        </is>
      </c>
      <c r="H88" s="11" t="inlineStr">
        <is>
          <t>Core</t>
        </is>
      </c>
      <c r="I88" s="11" t="inlineStr">
        <is>
          <t>- The portal is running at http://localhost:3001 and Anjali Verma (subject@cmp.local / +91 90000 00001) can sign in to it.
- Use two separate browsers or browser profiles: Browser A for the portal (the data principal or nominee) and Browser B for the console (staff). The two sites share one sign-in on this machine, so one browser cannot hold both sessions.
- Anjali is signed in to the portal in Browser A.
- A second private window (not signed in) is available for the public page.</t>
        </is>
      </c>
      <c r="J88" s="11" t="inlineStr">
        <is>
          <t>- Short request text: short
- Bad contact: ab
- Bad reference: 12345
- Bad code: 12ab</t>
        </is>
      </c>
      <c r="K88" s="11" t="inlineStr">
        <is>
          <t>1. In 'My requests' click 'Make a request', choose 'Access (s.11)', type 'short' in 'Your request' and click 'Send the request'.
2. In the same dialog change 'What are you asking for' to 'Complaint (grievance) (s.13)'.
3. In the private window open http://localhost:3001/rights. In 'Make a request' type 'ab' in 'The email or mobile you registered with', a full sentence in 'Your request', and click 'Send the request'.
4. Click 'Already have a reference and a code? Verify it here.'
5. Type 12345 in 'Your reference' and 12ab in 'The code we sent'. Click 'Confirm it is me'.
6. Click 'Make a new request instead'.</t>
        </is>
      </c>
      <c r="L88" s="11" t="inlineStr">
        <is>
          <t>1. The dialog stays open with the error 'Say what you are asking for, in a sentence or two.' under 'Your request'. No new card appears.
2. The 'About' field disappears and a checkbox appears: 'This complaint is about the Data Protection Officer's own decisions.' with 'It will be reviewed by somebody independent of the DPO.' Close the dialog with Esc.
3. The error 'The email or mobile you registered with.' appears under the contact field. No 'Recorded' box appears.
4. The form changes to 'Your reference' and 'The code we sent' with a 'Confirm it is me' button and a 'Make a new request instead' link.
5. 'A reference looks like RR-2026-000123.' appears under the reference and 'The code is digits only.' under the code. Nothing is verified.
6. The request form ('What are you asking for', contact, 'Your name', 'Your request') is shown again.</t>
        </is>
      </c>
      <c r="M88" s="11" t="inlineStr">
        <is>
          <t>Each form refuses the bad input with the stated message and records nothing.</t>
        </is>
      </c>
      <c r="N88" s="16" t="n"/>
      <c r="O88" s="17" t="n"/>
      <c r="P88" s="16" t="inlineStr">
        <is>
          <t>Not run</t>
        </is>
      </c>
      <c r="Q88" s="16" t="n"/>
      <c r="R88" s="16" t="n"/>
    </row>
    <row r="89">
      <c r="A89" s="10" t="inlineStr">
        <is>
          <t>RGT-05</t>
        </is>
      </c>
      <c r="B89" s="11" t="inlineStr">
        <is>
          <t>Rights requests</t>
        </is>
      </c>
      <c r="C89" s="11" t="inlineStr">
        <is>
          <t>Person without a portal session makes a request on the public rights page and verifies it by code</t>
        </is>
      </c>
      <c r="D89" s="11" t="inlineStr">
        <is>
          <t>Portal - public /rights page - request and code verification</t>
        </is>
      </c>
      <c r="E89" s="11" t="inlineStr">
        <is>
          <t>Data principal, not signed in</t>
        </is>
      </c>
      <c r="F89" s="11" t="inlineStr">
        <is>
          <t>High</t>
        </is>
      </c>
      <c r="G89" s="11" t="inlineStr">
        <is>
          <t>Positive</t>
        </is>
      </c>
      <c r="H89" s="11" t="inlineStr">
        <is>
          <t>Core</t>
        </is>
      </c>
      <c r="I89" s="11" t="inlineStr">
        <is>
          <t>- The portal is running at http://localhost:3001 and Anjali Verma (subject@cmp.local / +91 90000 00001) can sign in to it.
- The console is running at http://localhost:3000.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Browser A is signed OUT of the portal (or use a private window).</t>
        </is>
      </c>
      <c r="J89" s="11" t="inlineStr">
        <is>
          <t>- What are you asking for: Access (s.11)
- The email or mobile you registered with: subject@cmp.local
- Your name: Anjali Verma
- Your request: I have lost my notice. Please tell me what data you hold about me.
- Note the reference (called RR-PUB).</t>
        </is>
      </c>
      <c r="K89" s="11" t="inlineStr">
        <is>
          <t>1. Open http://localhost:3001/rights.
2. In 'Make a request' choose 'Access (s.11)' in 'What are you asking for'. Read the hint under 'The email or mobile you registered with'.
3. Fill in the contact, name and request from the test data and click 'Send the request'.
4. Ask the coordinator for the code sent to subject@cmp.local for this reference.
5. Type the code in 'The code we sent' and click 'Confirm it is me'.
6. In Browser B open http://localhost:3000. Type dpo@cmp.local in 'Email or username' and SeedPassw0rd!2026 in 'Password' and click 'Sign in'. If the 'Verify it is you' page appears, ask the coordinator for the code, type it in '6-digit code' and click 'Verify and continue'.
7. Click 'Rights requests' in the sidebar and find RR-PUB.
8. Open RR-PUB.</t>
        </is>
      </c>
      <c r="L89" s="11" t="inlineStr">
        <is>
          <t>1. The page 'Your rights' opens without sign-in. It shows cards 'What you can ask for', 'Make a request', 'Withdrawing your consent', 'Acting for someone who nominated you', 'Contacting us', and a box 'If you are not satisfied' describing the Data Protection Board route.
2. The hint reads 'We send a verification code to the contact we already hold for you - never to a new one typed here.'
3. A box titled 'Recorded' reads 'Thank you. Your request has been recorded. If we hold records for the contact you gave, a verification code has been sent to it.' and 'Your reference is RR-.... Quote it if you contact us.' Below it 'Your reference' is already filled in and 'The code we sent' is empty.
4. The coordinator finds a verification code in the outbox addressed to subject@cmp.local.
5. A box titled 'Verified' reads 'Thank you, your identity is verified. You will hear from us by &lt;date&gt;.' and 'Your reference is RR-.... Keep it.'
6. The Dashboard opens, signed in as Priya Menon (DPO).
7. The row shows 'Anjali Verma' under 'Who', 'Access · s.11' under 'Kind' and 'Received' under 'Status', with no 'unverified' tag.
8. The line under the heading reads 'Access · s.11 · Public form'. The card '3 · Identity verified?' shows a green note 'Verified by code on &lt;date&gt;'.</t>
        </is>
      </c>
      <c r="M89" s="11" t="inlineStr">
        <is>
          <t>The public request is recorded with a neutral message, the code goes only to the contact on file, entering it shows 'Verified', and the DPO sees the request as verified by code.</t>
        </is>
      </c>
      <c r="N89" s="16" t="n"/>
      <c r="O89" s="17" t="n"/>
      <c r="P89" s="16" t="inlineStr">
        <is>
          <t>Not run</t>
        </is>
      </c>
      <c r="Q89" s="16" t="n"/>
      <c r="R89" s="16" t="n"/>
    </row>
    <row r="90">
      <c r="A90" s="10" t="inlineStr">
        <is>
          <t>RGT-06</t>
        </is>
      </c>
      <c r="B90" s="11" t="inlineStr">
        <is>
          <t>Rights requests</t>
        </is>
      </c>
      <c r="C90" s="11" t="inlineStr">
        <is>
          <t>Public form stays neutral for an unknown contact; wrong code refused; DPO closes it as not verified</t>
        </is>
      </c>
      <c r="D90" s="11" t="inlineStr">
        <is>
          <t>Portal - public /rights page; Console - identity verification</t>
        </is>
      </c>
      <c r="E90" s="11" t="inlineStr">
        <is>
          <t>Member of the public; DPO</t>
        </is>
      </c>
      <c r="F90" s="11" t="inlineStr">
        <is>
          <t>High</t>
        </is>
      </c>
      <c r="G90" s="11" t="inlineStr">
        <is>
          <t>Negative</t>
        </is>
      </c>
      <c r="H90" s="11" t="inlineStr">
        <is>
          <t>Core</t>
        </is>
      </c>
      <c r="I90" s="11" t="inlineStr">
        <is>
          <t>- The portal is running at http://localhost:3001 and Anjali Verma (subject@cmp.local / +91 90000 00001) can sign in to it.
- The console is running at http://localhost:3000.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RGT-05 has been run (its reference RR-PUB is known).</t>
        </is>
      </c>
      <c r="J90" s="11" t="inlineStr">
        <is>
          <t>- Contact: stranger.rgt@example.org
- Your name: A Stranger
- Your request: Tell me what you hold about me.
- Wrong code: 123456
- Note the reference (called RR-X).</t>
        </is>
      </c>
      <c r="K90" s="11" t="inlineStr">
        <is>
          <t>1. Signed out, open http://localhost:3001/rights, choose 'Access (s.11)', enter the test contact, name and request, and click 'Send the request'.
2. Ask the coordinator whether any code was sent to stranger.rgt@example.org.
3. Type 123456 in 'The code we sent' and click 'Confirm it is me'.
4. Reload the page, click 'Already have a reference and a code? Verify it here.', enter RR-PUB (already verified in RGT-05) and code 000000, and click 'Confirm it is me'.
5. In Browser B open http://localhost:3000. Type dpo@cmp.local in 'Email or username' and SeedPassw0rd!2026 in 'Password' and click 'Sign in'. If the 'Verify it is you' page appears, ask the coordinator for the code, type it in '6-digit code' and click 'Verify and continue'.
6. Click 'Rights requests'. Find RR-X.
7. Open RR-X and look at 'Who' and '3 · Identity verified?'.
8. Look at the 'What happens next' card.
9. In '3 · Identity verified?' click 'No match, or not satisfied'.
10. Click 'Close as not verified'.</t>
        </is>
      </c>
      <c r="L90" s="11" t="inlineStr">
        <is>
          <t>1. The same 'Recorded' box as for a known person appears, with a reference. Nothing on the page says 'no account', 'not found' or 'unknown contact'.
2. No code or message to stranger.rgt@example.org is in the outbox.
3. The error 'Invalid or expired code' appears. No 'Verified' box.
4. The same 'Invalid or expired code' error appears - the page does not reveal that RR-PUB is already verified.
5. The Dashboard opens, signed in as Priya Menon (DPO).
6. The row shows 'A Stranger' and the contact under 'Who', 'Received' under 'Status' and the small tag 'unverified'.
7. 'Who' shows 'A Stranger' and 'No account matches this contact'. The box 'A code to the stored channel' says 'No account matches this contact, so there is no stored channel. Verify manually, or close as not verified.' There is no 'Send a code' button.
8. 'Move to in progress' shows the warning 'Identity is not verified' and its 'In progress' button is greyed out.
9. A warning appears: 'Closes the request as not verified and audits it. The requester gets a neutral message - nothing is confirmed either way - and may try again.' with a 'Close as not verified' button.
10. The message 'Closed as not verified' appears. The header badge reads 'Not verified'. The card shows 'Not satisfied. The requester was told nothing either way, and may try again.' 'What happens next' is replaced by 'Closed. Disagreement with the outcome is a grievance - a new request linked to this one.'</t>
        </is>
      </c>
      <c r="M90" s="11" t="inlineStr">
        <is>
          <t>The public form gives an unknown contact the same neutral answer, no code is sent, wrong codes get one neutral error, and the DPO can only verify manually or close the request as 'Not verified'.</t>
        </is>
      </c>
      <c r="N90" s="16" t="n"/>
      <c r="O90" s="17" t="n"/>
      <c r="P90" s="16" t="inlineStr">
        <is>
          <t>Not run</t>
        </is>
      </c>
      <c r="Q90" s="16" t="n"/>
      <c r="R90" s="16" t="n"/>
    </row>
    <row r="91">
      <c r="A91" s="10" t="inlineStr">
        <is>
          <t>RGT-07</t>
        </is>
      </c>
      <c r="B91" s="11" t="inlineStr">
        <is>
          <t>Rights requests</t>
        </is>
      </c>
      <c r="C91" s="11" t="inlineStr">
        <is>
          <t>DPO finds a request in the register, checks identity, classifies it and starts it</t>
        </is>
      </c>
      <c r="D91" s="11" t="inlineStr">
        <is>
          <t>Console - Rights requests register and request detail (steps 3-4)</t>
        </is>
      </c>
      <c r="E91" s="11" t="inlineStr">
        <is>
          <t>DPO (Priya Menon) on console</t>
        </is>
      </c>
      <c r="F91" s="11" t="inlineStr">
        <is>
          <t>High</t>
        </is>
      </c>
      <c r="G91" s="11" t="inlineStr">
        <is>
          <t>Positive</t>
        </is>
      </c>
      <c r="H91" s="11" t="inlineStr">
        <is>
          <t>Core</t>
        </is>
      </c>
      <c r="I91" s="11" t="inlineStr">
        <is>
          <t>- The console is running at http://localhost:3000.
- Use two separate browsers or browser profiles: Browser A for the portal (the data principal or nominee) and Browser B for the console (staff). The two sites share one sign-in on this machine, so one browser cannot hold both sessions.
- RGT-01 has been run; RR-A is in status 'Received'.</t>
        </is>
      </c>
      <c r="J91" s="11" t="inlineStr">
        <is>
          <t>- Request: RR-A (access)
- This is a request for: Access (s.11)</t>
        </is>
      </c>
      <c r="K91" s="11" t="inlineStr">
        <is>
          <t>1. In Browser B open http://localhost:3000. Type dpo@cmp.local in 'Email or username' and SeedPassw0rd!2026 in 'Password' and click 'Sign in'. If the 'Verify it is you' page appears, ask the coordinator for the code, type it in '6-digit code' and click 'Verify and continue'.
2. Click 'Rights requests'.
3. In the 'Kind' filter choose 'Access'.
4. Click RR-A.
5. Look at the card '3 · Identity verified?'.
6. Look at the card 'What happens next'.
7. In the card '4 · A valid access request?' check that 'This is a request for' shows 'Access (s.11)'. Type 'Clear access request' in 'Note' and click 'Confirm classification'.
8. In 'What happens next' click 'In progress'.
9. Go back to 'Rights requests' and set 'Status' to 'In progress'.
10. In Browser A (Anjali on the portal) reload 'My requests'.</t>
        </is>
      </c>
      <c r="L91" s="11" t="inlineStr">
        <is>
          <t>1. The Dashboard opens, signed in as Priya Menon (DPO). The sidebar shows 'Rights requests' under 'Your work'.
2. The page 'Rights requests' opens with the text 'Access, correction, erasure and grievance - sections 11 to 14...' and a 'Log a request received by email' button. Filters 'Status', 'Kind', 'Clock' and 'Tickets' are shown, and the columns 'Reference', 'Who', 'Kind', 'Status', 'Received', 'Due'.
3. Only access requests are listed. RR-A shows 'Anjali Verma' and her contact, 'Access · s.11', 'Received', its received time, and a due date with 'N days left' under it.
4. The heading is RR-A, the line under it reads 'Access · s.11 · Portal', and the badges 'Access · s.11' and 'Received' are at the right. The details show 'Who' (Anjali Verma with email and mobile), 'Contact given', 'Received' and 'Acknowledged', followed by her request text. Cards 'Clock' and 'The path, and where it can end early' follow.
5. A green note reads 'Verified by session on &lt;date&gt;'. No code or manual verification controls are shown.
6. It reads 'Currently received. Rendered from the server's answer.' The row 'Move to in progress' carries the warning 'The request has not been classified as a rights request' and its 'In progress' button is greyed out.
7. The message 'Classified' appears and the card shows 'Classified as access on &lt;date&gt;.'
8. The message 'Moved to In progress' appears. The header badge reads 'In progress'. 'What happens next' now offers 'Move to awaiting holders' (warning 'No tickets have been issued yet') and 'Move to collating'.
9. RR-A is listed with status 'In progress'.
10. RR-A now shows the badge 'In progress'.</t>
        </is>
      </c>
      <c r="M91" s="11" t="inlineStr">
        <is>
          <t>The register lists and filters the request; the detail shows session verification; the start is blocked with the server's reason until classified, then the request moves to 'In progress' on both sides.</t>
        </is>
      </c>
      <c r="N91" s="16" t="n"/>
      <c r="O91" s="17" t="n"/>
      <c r="P91" s="16" t="inlineStr">
        <is>
          <t>Not run</t>
        </is>
      </c>
      <c r="Q91" s="16" t="n"/>
      <c r="R91" s="16" t="n"/>
    </row>
    <row r="92">
      <c r="A92" s="10" t="inlineStr">
        <is>
          <t>RGT-08</t>
        </is>
      </c>
      <c r="B92" s="11" t="inlineStr">
        <is>
          <t>Rights requests</t>
        </is>
      </c>
      <c r="C92" s="11" t="inlineStr">
        <is>
          <t>DPO tickets a third-party holder by mail and records what it returned</t>
        </is>
      </c>
      <c r="D92" s="11" t="inlineStr">
        <is>
          <t>Console - request detail - '6–8 · Holders, tickets, returns' (mail holder)</t>
        </is>
      </c>
      <c r="E92" s="11" t="inlineStr">
        <is>
          <t>DPO (Priya Menon) on console</t>
        </is>
      </c>
      <c r="F92" s="11" t="inlineStr">
        <is>
          <t>High</t>
        </is>
      </c>
      <c r="G92" s="11" t="inlineStr">
        <is>
          <t>Positive</t>
        </is>
      </c>
      <c r="H92" s="11" t="inlineStr">
        <is>
          <t>Core</t>
        </is>
      </c>
      <c r="I92" s="11" t="inlineStr">
        <is>
          <t>- The console is running at http://localhost:3000.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RGT-07 has been run; RR-A is 'In progress'.
- The third-party processor SEED is in the registry (seed data).</t>
        </is>
      </c>
      <c r="J92" s="11" t="inlineStr">
        <is>
          <t>- A registered processor: SEED
- Responder name: SEED Privacy Desk
- Responder contact: privacy.desk@seed.example
- Contact note: Phoned the SEED desk; reply promised this week.
- Summary of the return: SEED holds one CIT-campus gait video of her and a copy of the consent export; extract attached.
- Evidence file: any small PDF, e.g. seed-return.pdf</t>
        </is>
      </c>
      <c r="K92" s="11" t="inlineStr">
        <is>
          <t>1. Open RR-A and scroll to the card '6–8 · Holders, tickets, returns'.
2. Click 'Add a holder'.
3. Choose SEED in 'A registered processor', fill 'Responder name' and 'Responder contact' from the test data, and click 'Add'.
4. In the box '1 confirmed holder waiting for a ticket' click 'Issue tickets'.
5. Leave both empty and click 'Issue the ticket'.
6. Ask the coordinator to check the outbox for mail to privacy.desk@seed.example.
7. On the SEED row click 'Mail · log a contact'. In 'What happened' choose 'I chased them', type the contact note in 'Note' and click 'Log it'.
8. Look at 'What happens next'.
9. On the SEED row click 'Record the return'.
10. Type the summary, choose the evidence file under 'Evidence', and click 'Record'.
11. Click the 'evidence' link.</t>
        </is>
      </c>
      <c r="L92" s="11" t="inlineStr">
        <is>
          <t>1. The card says 'export_line and asset_consent are exact - the DPO adds what they miss.' and offers 'Derive from the records' and 'Add a holder'.
2. A dialog 'Add a holder' opens: 'A party the records did not name. Added and confirmed in one step - you are the source.' with 'A registered processor', 'Label', 'Responder name', 'Responder contact' and 'Add'.
3. The message 'Holder added and confirmed' appears. A row 'SEED' shows the badges 'No ticket yet', 'confirmed' and 'by mail', and the line 'Added by the DPO · responder SEED Privacy Desk (privacy.desk@seed.example)'.
4. The fields 'Instruction' (hint: leave empty for the standard instruction) and 'Due' (hint starts 'Halfway (&lt;date&gt;) unless you set a date.') appear with 'Issue the ticket' and 'Cancel'.
5. The message 'Tickets issued' with 'The request is now awaiting holders.' appears. SEED's badge reads 'Issued' and a line 'Issued &lt;date&gt;' with its due date appears. The summary under the card title reads '1 ticket issued · 0 returned'. The header badge reads 'Awaiting holders'.
6. The instruction for RR-A has been mailed to privacy.desk@seed.example.
7. The dialog 'SEED · by mail' closes with the message 'Contact logged'. A 'Contact log' line appears on the row; expanding it shows an entry 'Chased' with the note.
8. 'Move to collating' carries the warning 'A holder has not returned its ticket - escalate once before responding partial' and is greyed out.
9. A dialog 'What SEED returned' opens: 'A confirmation of what was done and how - not an assurance...' The 'Record' button is greyed out while 'Summary of the return' is empty.
10. The message 'Return recorded' appears. SEED's badge reads 'Returned' and a grey box shows 'Returned: &lt;summary&gt;' with an 'evidence' link. The summary reads '1 ticket issued · 1 returned'. The header badge changes by itself to 'Collating'.
11. The uploaded evidence file downloads.</t>
        </is>
      </c>
      <c r="M92" s="11" t="inlineStr">
        <is>
          <t>A third party is added, ticketed by mail, a contact is logged, and the DPO records its return with evidence; the last return moves the request to 'Collating' automatically.</t>
        </is>
      </c>
      <c r="N92" s="16" t="n"/>
      <c r="O92" s="17" t="n"/>
      <c r="P92" s="16" t="inlineStr">
        <is>
          <t>Not run</t>
        </is>
      </c>
      <c r="Q92" s="16" t="n"/>
      <c r="R92" s="16" t="n"/>
    </row>
    <row r="93">
      <c r="A93" s="10" t="inlineStr">
        <is>
          <t>RGT-09</t>
        </is>
      </c>
      <c r="B93" s="11" t="inlineStr">
        <is>
          <t>Rights requests</t>
        </is>
      </c>
      <c r="C93" s="11" t="inlineStr">
        <is>
          <t>DPO releases an access response and the principal downloads it</t>
        </is>
      </c>
      <c r="D93" s="11" t="inlineStr">
        <is>
          <t>Console - '9–10 · Collate, review, release'; Portal - response and download</t>
        </is>
      </c>
      <c r="E93" s="11" t="inlineStr">
        <is>
          <t>DPO on console; data principal on portal</t>
        </is>
      </c>
      <c r="F93" s="11" t="inlineStr">
        <is>
          <t>High</t>
        </is>
      </c>
      <c r="G93" s="11" t="inlineStr">
        <is>
          <t>Positive</t>
        </is>
      </c>
      <c r="H93" s="11" t="inlineStr">
        <is>
          <t>Core</t>
        </is>
      </c>
      <c r="I93" s="11" t="inlineStr">
        <is>
          <t>- The portal is running at http://localhost:3001 and Anjali Verma (subject@cmp.local / +91 90000 00001) can sign in to it.
- The console is running at http://localhost:3000.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RGT-08 has been run; RR-A is 'Collating'.</t>
        </is>
      </c>
      <c r="J93" s="11" t="inlineStr">
        <is>
          <t>- Outcome: Complete
- The response: Attached is the summary of your data. SEED returned an extract of the gait video it holds, released with this response.
- Files released with the response: access-extract.pdf (any small PDF)</t>
        </is>
      </c>
      <c r="K93" s="11" t="inlineStr">
        <is>
          <t>1. Open RR-A and find the card '9–10 · Collate, review, release'.
2. Without typing a response, look at 'Release and close'.
3. Type the response in 'The response'. Under 'Files released with the response' choose access-extract.pdf.
4. Click 'Release and close'.
5. Look at 'What happens next'.
6. Ask the coordinator to check the outbox for the response mail to subject@cmp.local.
7. In Browser A reload 'My requests' and look at RR-A.
8. Click 'Download the file'.
9. Open the downloaded file in a text editor.
10. Click 'Download' next to access-extract.pdf.</t>
        </is>
      </c>
      <c r="L93" s="11" t="inlineStr">
        <is>
          <t>1. It reads 'Third-party data removed. The DPO signs off - nothing releases automatically. An access response is a file the requester downloads from their own account.' There is no yellow warning, and 'Outcome' shows 'Complete'.
2. 'Release and close' is greyed out.
3. The file is listed with its size and a small X to remove it.
4. The message 'Released and closed' with 'The requester has been told; 1 file released with the response.' appears. The header badge reads 'Complete'. A 'Response' card shows 'Complete · &lt;date&gt; · downloadable by the requester until &lt;date&gt;', the response text, a 'Download the file' button and 'Released with the response' listing access-extract.pdf.
5. It reads 'Closed. Disagreement with the outcome is a grievance - a new request linked to this one.'
6. A mail telling her the response to RR-A is ready is in the outbox, with a summary including what SEED returned.
7. The badge reads 'Complete'. A box 'Our response · &lt;date&gt;' shows the text. 'Files released with this response' lists access-extract.pdf with 'Download'. Buttons 'Download the file' (with 'until &lt;date&gt;') and 'Dispute this response' are shown, with the note about the Data Protection Board.
8. The message 'Downloaded' with 'Keep it somewhere safe - the link is time-limited.' appears and a file named RR-A's reference with .json is saved.
9. It contains her 'consents', 'disclosures', 'holders' (SEED with ticket_status 'returned' and its return summary), an empty 'gaps' list, 'files' listing access-extract.pdf, and 'your_rights' with the grievance and Board routes.
10. The same PDF the DPO released downloads.</t>
        </is>
      </c>
      <c r="M93" s="11" t="inlineStr">
        <is>
          <t>The DPO signs off and releases the response with a file; the principal sees 'Complete', can download the record and the file, and the record names each holder's return.</t>
        </is>
      </c>
      <c r="N93" s="16" t="n"/>
      <c r="O93" s="17" t="n"/>
      <c r="P93" s="16" t="inlineStr">
        <is>
          <t>Not run</t>
        </is>
      </c>
      <c r="Q93" s="16" t="n"/>
      <c r="R93" s="16" t="n"/>
    </row>
    <row r="94">
      <c r="A94" s="10" t="inlineStr">
        <is>
          <t>RGT-10</t>
        </is>
      </c>
      <c r="B94" s="11" t="inlineStr">
        <is>
          <t>Rights requests</t>
        </is>
      </c>
      <c r="C94" s="11" t="inlineStr">
        <is>
          <t>DPO confirms the principal means erasure (not withdrawal) before work starts</t>
        </is>
      </c>
      <c r="D94" s="11" t="inlineStr">
        <is>
          <t>Console - '4 · Withdrawal, or erasure?'</t>
        </is>
      </c>
      <c r="E94" s="11" t="inlineStr">
        <is>
          <t>DPO on console; data principal on portal</t>
        </is>
      </c>
      <c r="F94" s="11" t="inlineStr">
        <is>
          <t>High</t>
        </is>
      </c>
      <c r="G94" s="11" t="inlineStr">
        <is>
          <t>Positive</t>
        </is>
      </c>
      <c r="H94" s="11" t="inlineStr">
        <is>
          <t>Core</t>
        </is>
      </c>
      <c r="I94" s="11" t="inlineStr">
        <is>
          <t>- The portal is running at http://localhost:3001 and Anjali Verma (subject@cmp.local / +91 90000 00001) can sign in to it.
- The console is running at http://localhost:3000.
- Use two separate browsers or browser profiles: Browser A for the portal (the data principal or nominee) and Browser B for the console (staff). The two sites share one sign-in on this machine, so one browser cannot hold both sessions.
- RGT-03 has been run; RR-E is 'Received'.
- DPO signed in in Browser B; Anjali signed in in Browser A.</t>
        </is>
      </c>
      <c r="J94" s="11" t="inlineStr">
        <is>
          <t>- This is a request for: Erasure (s.12(3))
- Second erasure request text (RR-W): Please stop using my data for the study.</t>
        </is>
      </c>
      <c r="K94" s="11" t="inlineStr">
        <is>
          <t>1. In 'Rights requests' set 'Kind' to 'Erasure' and open RR-E.
2. In '4 · Withdrawal, or erasure?' read the yellow box.
3. Check 'This is a request for' shows 'Erasure (s.12(3))' and click 'Confirm classification'.
4. Look at 'What happens next'.
5. Click 'They mean erasure'.
6. In 'What happens next' click 'In progress'.
7. In Browser A, on 'My requests', make a new request: 'Erasure (s.12(3))' with the RR-W text. Note its reference (RR-W).
8. In Browser B open RR-W and click 'They meant withdrawal'.
9. In Browser A reload 'My requests' and look at RR-W, then open 'My consents'.</t>
        </is>
      </c>
      <c r="L94" s="11" t="inlineStr">
        <is>
          <t>1. The line under the heading reads 'Erasure · s.12(3) · Portal'. The cards include '4 · Withdrawal, or erasure?', '7–9 · Holders, instructions, confirmations' and '5–6 · Scope determined; inside the one-year floor?'.
2. It is headed 'Does the requester mean erasure, or withdrawal?' and explains 'Withdrawal stops future processing, and the requester can do it from their consent record... Confirm which before anything is deleted.' with buttons 'They mean erasure' and 'They meant withdrawal'.
3. 'Classified' appears; the card shows 'Classified as erasure on &lt;date&gt;.'
4. 'Move to in progress' carries the warning 'Whether she means withdrawal or erasure is not yet confirmed' and 'In progress' is greyed out.
5. The message 'Erasure confirmed' appears, the yellow box disappears and the card reads 'Erasure confirmed on &lt;date&gt;.'
6. 'Moved to In progress' appears and the header badge reads 'In progress'.
7. 'Recorded as RR-...' appears.
8. The message 'Handled as withdrawal' appears. The header badge reads 'Handled as withdrawal'. A 'Response' card shows the explanation starting 'Withdrawing consent stops future processing for the purposes withdrawn. It does not delete data already collected...'
9. RR-W shows 'Handled as withdrawal' with 'Our response' giving the same explanation and a 'Dispute this response' button. Her consents are NOT changed - withdrawing stays her own step.</t>
        </is>
      </c>
      <c r="M94" s="11" t="inlineStr">
        <is>
          <t>Work on an erasure cannot start until the DPO confirms intent; 'They mean erasure' unblocks it; 'They meant withdrawal' closes the request as 'Handled as withdrawal' with the explanation, without touching her consents.</t>
        </is>
      </c>
      <c r="N94" s="16" t="n"/>
      <c r="O94" s="17" t="n"/>
      <c r="P94" s="16" t="inlineStr">
        <is>
          <t>Not run</t>
        </is>
      </c>
      <c r="Q94" s="16" t="n"/>
      <c r="R94" s="16" t="n"/>
    </row>
    <row r="95">
      <c r="A95" s="10" t="inlineStr">
        <is>
          <t>RGT-11</t>
        </is>
      </c>
      <c r="B95" s="11" t="inlineStr">
        <is>
          <t>Rights requests</t>
        </is>
      </c>
      <c r="C95" s="11" t="inlineStr">
        <is>
          <t>DPO derives the holders, confirms the in-house holder with its respondent and issues the ticket</t>
        </is>
      </c>
      <c r="D95" s="11" t="inlineStr">
        <is>
          <t>Console - '7–9 · Holders, instructions, confirmations' (in-house holder)</t>
        </is>
      </c>
      <c r="E95" s="11" t="inlineStr">
        <is>
          <t>DPO (Priya Menon) on console</t>
        </is>
      </c>
      <c r="F95" s="11" t="inlineStr">
        <is>
          <t>High</t>
        </is>
      </c>
      <c r="G95" s="11" t="inlineStr">
        <is>
          <t>Positive</t>
        </is>
      </c>
      <c r="H95" s="11" t="inlineStr">
        <is>
          <t>Core</t>
        </is>
      </c>
      <c r="I95" s="11" t="inlineStr">
        <is>
          <t>- The console is running at http://localhost:3000.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RGT-10 has been run; RR-E is 'In progress'.
- The coordinator has imported a manifest naming the principal's consent (see CON cases): she appears in two collected assets at the in-house source SRC-SRIB-SE (processor SRIB) - asset A containing only her, and asset B containing her and one other person. Write down both asset references.
- Meera Iyer (rco@cmp.local) is registered on the Processors page as a respondent with an account for SRIB (see REG-12).</t>
        </is>
      </c>
      <c r="J95" s="11" t="inlineStr">
        <is>
          <t>- Respondent: Meera Iyer · rco@cmp.local · portal</t>
        </is>
      </c>
      <c r="K95" s="11" t="inlineStr">
        <is>
          <t>1. Open RR-E and find '7–9 · Holders, instructions, confirmations'.
2. Click 'Derive from the records'.
3. Under the SRIB row open 'Respondent'.
4. Choose 'Meera Iyer · rco@cmp.local · portal' and click 'Confirm' on the SRIB row.
5. In the box '1 confirmed holder waiting for a ticket' click 'Issue tickets', leave 'Instruction' and 'Due' empty, and click 'Issue the ticket'.
6. Look at 'What happens next' and for a respond card.
7. Ask the coordinator to check the outbox for mail to rco@cmp.local.</t>
        </is>
      </c>
      <c r="L95" s="11" t="inlineStr">
        <is>
          <t>1. It reads 'No holders yet. Derive them from the records, or add what you know.' with 'Derive from the records' and 'Add a holder'.
2. The message 'Holders derived' with 'Confirm each one, then issue tickets.' appears. A row 'SRIB' shows the badges 'No ticket yet', 'derived, not confirmed' and 'in-house', and a line starting 'Named by' that counts the exports and assets naming it. (A row for any other processor her data went to may also appear; leave it for this case.)
3. The list starts with 'Type one below instead…' and includes 'Meera Iyer · rco@cmp.local · portal'.
4. 'Holder confirmed' appears. The row shows 'confirmed' and 'on the portal', and the line adds '· responder Meera Iyer (...) · returns it in their console'.
5. 'Tickets issued' appears. SRIB's badge reads 'Issued' with the issued date and due date, and 'Not yet seen by the team'. The header badge reads 'Awaiting holders'.
6. Only 'Move to collating' is offered, with the warning 'A holder has not returned its ticket - escalate once before responding partial', greyed out. There is no '10 · Respond and close' card yet.
7. A notice to Meera Iyer that a ticket for RR-E is waiting for her is in the outbox.</t>
        </is>
      </c>
      <c r="M95" s="11" t="inlineStr">
        <is>
          <t>The holder is derived from the records, confirmed with the processor's registered portal respondent, and the ticket is issued; the request waits for it.</t>
        </is>
      </c>
      <c r="N95" s="16" t="n"/>
      <c r="O95" s="17" t="n"/>
      <c r="P95" s="16" t="inlineStr">
        <is>
          <t>Not run</t>
        </is>
      </c>
      <c r="Q95" s="16" t="n"/>
      <c r="R95" s="16" t="n"/>
    </row>
    <row r="96">
      <c r="A96" s="10" t="inlineStr">
        <is>
          <t>RGT-12</t>
        </is>
      </c>
      <c r="B96" s="11" t="inlineStr">
        <is>
          <t>Rights requests</t>
        </is>
      </c>
      <c r="C96" s="11" t="inlineStr">
        <is>
          <t>DPO derives the erasure scope and records a decision with its basis (retention floor respected)</t>
        </is>
      </c>
      <c r="D96" s="11" t="inlineStr">
        <is>
          <t>Console - '5–6 · Scope determined; inside the one-year floor?'</t>
        </is>
      </c>
      <c r="E96" s="11" t="inlineStr">
        <is>
          <t>DPO (Priya Menon) on console</t>
        </is>
      </c>
      <c r="F96" s="11" t="inlineStr">
        <is>
          <t>High</t>
        </is>
      </c>
      <c r="G96" s="11" t="inlineStr">
        <is>
          <t>Positive</t>
        </is>
      </c>
      <c r="H96" s="11" t="inlineStr">
        <is>
          <t>Core</t>
        </is>
      </c>
      <c r="I96" s="11" t="inlineStr">
        <is>
          <t>- The console is running at http://localhost:3000.
- Use two separate browsers or browser profiles: Browser A for the portal (the data principal or nominee) and Browser B for the console (staff). The two sites share one sign-in on this machine, so one browser cannot hold both sessions.
- RGT-11 has been run; RR-E is 'Awaiting holders'.
- The coordinator has imported a manifest naming the principal's consent (see CON cases) (assets A and B as in RGT-11).</t>
        </is>
      </c>
      <c r="J96" s="11" t="inlineStr">
        <is>
          <t>- Retain basis: Rule 8(3) retention obligation
- Until (past): yesterday's date
- Until (future): the same date next year
- Erase basis: Section 12(3) request; no legal obligation requires keeping this recording.</t>
        </is>
      </c>
      <c r="K96" s="11" t="inlineStr">
        <is>
          <t>1. Open RR-E and find '5–6 · Scope determined; inside the one-year floor?'.
2. Click 'Derive from asset_consent'.
3. On asset A look at 'Decision', 'Basis' and 'Record the decision'.
4. Change 'Decision' to 'Retain - a floor binds, erased when it passes'. Set 'Until' to yesterday, type the retain basis and click 'Record the decision'.
5. Set 'Until' to the date next year and click 'Record the decision'.
6. Click 'Apply'.
7. Change 'Decision' to 'Erase - the asset holds only the requester', replace the basis with the erase basis and click 'Record the decision'.
8. Open 'Decision' on asset A once more without changing it.</t>
        </is>
      </c>
      <c r="L96" s="11" t="inlineStr">
        <is>
          <t>1. A blue note reads 'Consent artefacts are never erased. They are the evidence that past processing was lawful...' and the card says 'No scope yet. Derive it from the records the requester appears in.' with a button 'Derive from asset_consent'.
2. 'Scope derived' with '2 appearances of the requester in collected assets.' appears. Two rows show: asset A with its type badge and 'only the requester', and asset B with a warning badge 'holds 1 other person'. Each row names the project, source (SRC-SRIB-SE), 'held by SRIB' and the collection date.
3. 'Decision' shows 'Erase - the asset holds only the requester'. 'Basis' is empty and 'Record the decision' is greyed out.
4. An 'Until' field appeared when Retain was chosen. The message 'Not recorded' with 'A retention floor in the past is not a floor' appears.
5. 'Decision recorded' appears. The row shows 'decided: retain', 'Retained until &lt;date&gt;', the basis in quotes, and an 'Apply' button.
6. The message 'Not applied' with 'Retained until &lt;date&gt;. The floor binds even against her request; it is applied when it passes.' appears. The row still shows 'decided: retain' and nothing is quarantined.
7. The 'Until' field disappears. 'Decision recorded' appears and the row shows 'decided: erase' with the new basis. Do not click 'Apply' yet (RGT-14).
8. The four options are 'Erase - the asset holds only the requester', 'Redact - remove the requester, keep the others', 'Retain - a floor binds, erased when it passes' and 'Quarantine - removal cannot be assured; the DPO decides'.</t>
        </is>
      </c>
      <c r="M96" s="11" t="inlineStr">
        <is>
          <t>The scope lists each appearance of her with how many others share the asset; every decision needs a basis; a retention floor in the past is refused and one in the future cannot be applied early.</t>
        </is>
      </c>
      <c r="N96" s="16" t="n"/>
      <c r="O96" s="17" t="n"/>
      <c r="P96" s="16" t="inlineStr">
        <is>
          <t>Not run</t>
        </is>
      </c>
      <c r="Q96" s="16" t="n"/>
      <c r="R96" s="16" t="n"/>
    </row>
    <row r="97">
      <c r="A97" s="10" t="inlineStr">
        <is>
          <t>RGT-13</t>
        </is>
      </c>
      <c r="B97" s="11" t="inlineStr">
        <is>
          <t>Rights requests</t>
        </is>
      </c>
      <c r="C97" s="11" t="inlineStr">
        <is>
          <t>Erase is not offered for an asset that also holds other people; it is redacted instead</t>
        </is>
      </c>
      <c r="D97" s="11" t="inlineStr">
        <is>
          <t>Console - erasure scope - asset holding others</t>
        </is>
      </c>
      <c r="E97" s="11" t="inlineStr">
        <is>
          <t>DPO (Priya Menon) on console</t>
        </is>
      </c>
      <c r="F97" s="11" t="inlineStr">
        <is>
          <t>High</t>
        </is>
      </c>
      <c r="G97" s="11" t="inlineStr">
        <is>
          <t>Negative</t>
        </is>
      </c>
      <c r="H97" s="11" t="inlineStr">
        <is>
          <t>S2-03</t>
        </is>
      </c>
      <c r="I97" s="11" t="inlineStr">
        <is>
          <t>- The console is running at http://localhost:3000.
- Use two separate browsers or browser profiles: Browser A for the portal (the data principal or nominee) and Browser B for the console (staff). The two sites share one sign-in on this machine, so one browser cannot hold both sessions.
- RGT-12 has been run; asset B is in RR-E's scope, undecided.</t>
        </is>
      </c>
      <c r="J97" s="11" t="inlineStr">
        <is>
          <t>- Redact basis: Section 12(3); the recording also holds another participant's consented data.</t>
        </is>
      </c>
      <c r="K97" s="11" t="inlineStr">
        <is>
          <t>1. On the asset B row look at the badges, the 'Decision' field and the text beside 'Record the decision'.
2. Open 'Decision' and try to choose 'Erase - the asset holds only the requester'.
3. Keep 'Redact - remove the requester, keep the others', type the redact basis and click 'Record the decision'.
4. Click 'Apply'.
5. Read the list of stores under the row.
6. Look at the buttons on the row.</t>
        </is>
      </c>
      <c r="L97" s="11" t="inlineStr">
        <is>
          <t>1. The row carries the warning badge 'holds 1 other person'. 'Decision' is preset to 'Redact - remove the requester, keep the others'. Beside the button: 'Erase is not offered: deleting this asset would erase the other people's validly given consent.'
2. The Erase option is greyed out and cannot be chosen.
3. 'Decision recorded' appears; the row shows 'decided: redact' and an 'Apply' button.
4. The message 'Quarantined' with 'It is out of use now; it is erased when every store holding it is confirmed.' appears. The row now shows the badge 'quarantined - being redacted'; the decision fields are gone.
5. Exactly one line: 'The holder's copy: waiting for the holder's ticket to come back'. There is NO line for 'The platform's pointer to it' - a redaction keeps the asset for the other person.
6. 'Try again now' and 'Place a legal hold' are offered; 'Apply' is gone.</t>
        </is>
      </c>
      <c r="M97" s="11" t="inlineStr">
        <is>
          <t>The screen will not let the DPO erase an asset that holds other people, says why, and a redaction quarantines her part and waits only for the holder's copy.</t>
        </is>
      </c>
      <c r="N97" s="16" t="n"/>
      <c r="O97" s="17" t="n"/>
      <c r="P97" s="16" t="inlineStr">
        <is>
          <t>Not run</t>
        </is>
      </c>
      <c r="Q97" s="16" t="n"/>
      <c r="R97" s="16" t="n"/>
    </row>
    <row r="98">
      <c r="A98" s="10" t="inlineStr">
        <is>
          <t>RGT-14</t>
        </is>
      </c>
      <c r="B98" s="11" t="inlineStr">
        <is>
          <t>Rights requests</t>
        </is>
      </c>
      <c r="C98" s="11" t="inlineStr">
        <is>
          <t>Applying an erasure quarantines the item and shows each store's status; 'Try again now'</t>
        </is>
      </c>
      <c r="D98" s="11" t="inlineStr">
        <is>
          <t>Console - erasure scope - Apply, store status, Try again now</t>
        </is>
      </c>
      <c r="E98" s="11" t="inlineStr">
        <is>
          <t>DPO (Priya Menon) on console</t>
        </is>
      </c>
      <c r="F98" s="11" t="inlineStr">
        <is>
          <t>High</t>
        </is>
      </c>
      <c r="G98" s="11" t="inlineStr">
        <is>
          <t>Positive</t>
        </is>
      </c>
      <c r="H98" s="11" t="inlineStr">
        <is>
          <t>S2-03</t>
        </is>
      </c>
      <c r="I98" s="11" t="inlineStr">
        <is>
          <t>- The console is running at http://localhost:3000.
- The portal is running at http://localhost:3001 and Anjali Verma (subject@cmp.local / +91 90000 00001) can sign in to it.
- Use two separate browsers or browser profiles: Browser A for the portal (the data principal or nominee) and Browser B for the console (staff). The two sites share one sign-in on this machine, so one browser cannot hold both sessions.
- RGT-12 has been run: asset A in RR-E is 'decided: erase' and not applied.
- SRIB's ticket on RR-E is still 'Issued' (not returned).</t>
        </is>
      </c>
      <c r="J98" s="11" t="inlineStr">
        <is>
          <t>- Request: RR-E, asset A</t>
        </is>
      </c>
      <c r="K98" s="11" t="inlineStr">
        <is>
          <t>1. On asset A click 'Apply'.
2. Look at asset A's badges.
3. Read the list of stores under asset A.
4. Click 'Try again now'.
5. Check whether the decision can still be changed.
6. Look at 'What happens next' and the header.
7. In Browser A (Anjali) reload 'My requests' and look at RR-E.</t>
        </is>
      </c>
      <c r="L98" s="11" t="inlineStr">
        <is>
          <t>1. The message 'Quarantined' with 'It is out of use now; it is erased when every store holding it is confirmed.' appears.
2. The row shows the yellow badge 'quarantined - being erased'. It does NOT show 'erased'.
3. Two lines: 'The holder's copy: waiting for the holder's ticket to come back' and 'The platform's pointer to it: cleared' (in green).
4. The message 'Tried again' with 'Something is still outstanding; it is shown below.' appears. The lines and the 'quarantined - being erased' badge are unchanged.
5. The 'Decision' and 'Basis' fields are gone for asset A; the decision stands.
6. The request is still 'Awaiting holders'; 'Move to collating' is still blocked by 'A holder has not returned its ticket - escalate once before responding partial'.
7. RR-E shows 'Waiting for responses'. Nothing on her card says her data has been erased.</t>
        </is>
      </c>
      <c r="M98" s="11" t="inlineStr">
        <is>
          <t>Apply quarantines at once and shows each store as it stands - the holder's copy waiting for its ticket, the pointer cleared - and nothing claims 'erased' while a store is outstanding; 'Try again now' re-checks without changing the truth.</t>
        </is>
      </c>
      <c r="N98" s="16" t="n"/>
      <c r="O98" s="17" t="n"/>
      <c r="P98" s="16" t="inlineStr">
        <is>
          <t>Not run</t>
        </is>
      </c>
      <c r="Q98" s="16" t="n"/>
      <c r="R98" s="16" t="n"/>
    </row>
    <row r="99">
      <c r="A99" s="10" t="inlineStr">
        <is>
          <t>RGT-15</t>
        </is>
      </c>
      <c r="B99" s="11" t="inlineStr">
        <is>
          <t>Rights requests</t>
        </is>
      </c>
      <c r="C99" s="11" t="inlineStr">
        <is>
          <t>In-house respondent answers the ticket on 'My tasks' (thread, attach file, return)</t>
        </is>
      </c>
      <c r="D99" s="11" t="inlineStr">
        <is>
          <t>Console - My tasks; request detail - ticket thread</t>
        </is>
      </c>
      <c r="E99" s="11" t="inlineStr">
        <is>
          <t>Respondent (Meera Iyer, rco@cmp.local); DPO</t>
        </is>
      </c>
      <c r="F99" s="11" t="inlineStr">
        <is>
          <t>High</t>
        </is>
      </c>
      <c r="G99" s="11" t="inlineStr">
        <is>
          <t>Positive</t>
        </is>
      </c>
      <c r="H99" s="11" t="inlineStr">
        <is>
          <t>Core</t>
        </is>
      </c>
      <c r="I99" s="11" t="inlineStr">
        <is>
          <t>- The console is running at http://localhost:3000.
- The test coordinator can read the test outbox (backend/api/var/outbox.log) and relays codes, links and emails on request.
- RGT-14 has been run; RR-E's SRIB ticket is 'Issued' to Meera Iyer.
- Browser B holds the DPO session; use a third browser or profile (Browser C) for Meera Iyer.</t>
        </is>
      </c>
      <c r="J99" s="11" t="inlineStr">
        <is>
          <t>- Question: We hold two recordings of this person at SRC-SRIB-SE. Please confirm both are in scope.
- Attach a file: srib-inventory.csv (any small CSV)
- DPO reply: Yes - erase her own recording and remove her from the shared one.
- Return: Her solo recording deleted from the SE lab store; her segment cut from the shared recording. Deletion log attached.
- Return evidence: srib-deletion-log.pdf (any small PDF)</t>
        </is>
      </c>
      <c r="K99" s="11" t="inlineStr">
        <is>
          <t>1. In Browser C sign in to http://localhost:3000 as rco@cmp.local with password SeedPassw0rd!2026 (enter the relayed code if 'Verify it is you' appears).
2. Type http://localhost:3000/requests in the address bar.
3. Click 'My tasks'.
4. Click 'Respond'.
5. Type the question, choose srib-inventory.csv under 'Attach a file' and click 'Send' (leave the checkbox unticked).
6. In Browser B (DPO) open 'Rights requests' and then RR-E.
7. Click 'Thread' on the SRIB row.
8. Type the DPO reply and click 'Send'. Close the dialog.
9. In Browser C reload 'My tasks'.
10. Type the return text, attach srib-deletion-log.pdf and tick 'This is my return - close the ticket with it'.
11. Click 'Return the ticket'.
12. In Browser B reload RR-E.
13. Look at the scope card.</t>
        </is>
      </c>
      <c r="L99" s="11" t="inlineStr">
        <is>
          <t>1. Meera Iyer's dashboard opens. Under 'Your work' the sidebar shows 'My tasks' with a count; there is no 'Rights requests' link.
2. A box 'Not part of your account' says 'This section belongs to a different role, so there is nothing here for you...' with a 'Back to your dashboard' button. No requests are shown.
3. The page 'My tasks' shows tiles 'Open', 'Overdue', 'Due within 7 days', 'Unread from the Privacy Office' and a section 'Open · 1'. The ticket card shows RR-E, 'Erasure · s.12(3)', 'Issued', 'For SRIB · about Anjali Verma · issued &lt;date&gt;', the due date and an 'Instruction'.
4. A dialog 'RR-E · SRIB' opens with 'What the platform already knows', the messages so far, a 'Message' box ('Ask the Privacy Office a question, or say what you hold and where.'), 'Attach a file', the checkbox 'This is my return - close the ticket with it', and a 'Send' button greyed out while the box is empty.
5. The message appears in the thread with 'File: srib-inventory.csv'. The ticket stays open.
6. RR-E's row carries a '1 new' badge. On the request, the SRIB row shows '1 new' and a 'Thread' button with a count.
7. A dialog 'SRIB · the ticket's thread' shows Meera's question and a link to the attached file. Placeholder: 'Write to the team, or ask for more.'
8. The reply appears in the thread.
9. 'Unread from the Privacy Office' shows 1 and the card shows '1 new'. Clicking 'Respond' shows the DPO's reply.
10. The button changes from 'Send' to 'Return the ticket'.
11. The message 'Ticket returned' with 'The Privacy Office can see it.' appears, the dialog closes and the card moves to 'Returned · 1' with 'Returned &lt;date&gt;: &lt;text&gt;' and the badge 'Returned'. Its button now reads 'Open'.
12. SRIB shows 'Returned', 'Returned: &lt;text&gt;' and an 'evidence' link; the summary reads '1 ticket issued · 1 returned'; the header badge reads 'Collating'.
13. Asset A shows the badge 'erased' with 'The holder's copy: confirmed gone by the holder' and 'The platform's pointer to it: cleared'; asset B shows 'redacted' with 'The holder's copy: confirmed gone by the holder'. No 'Try again now' buttons remain.</t>
        </is>
      </c>
      <c r="M99" s="11" t="inlineStr">
        <is>
          <t>The in-house respondent sees only her ticket, exchanges messages and files with the office on the thread and returns it; the return moves the request to 'Collating' and completes the waiting erasure and redaction.</t>
        </is>
      </c>
      <c r="N99" s="16" t="n"/>
      <c r="O99" s="17" t="n"/>
      <c r="P99" s="16" t="inlineStr">
        <is>
          <t>Not run</t>
        </is>
      </c>
      <c r="Q99" s="16" t="n"/>
      <c r="R99" s="16" t="n"/>
    </row>
    <row r="100">
      <c r="A100" s="10" t="inlineStr">
        <is>
          <t>RGT-16</t>
        </is>
      </c>
      <c r="B100" s="11" t="inlineStr">
        <is>
          <t>Rights requests</t>
        </is>
      </c>
      <c r="C100" s="11" t="inlineStr">
        <is>
          <t>A fully carried-out erasure closes Complete and the principal downloads a record of what was done</t>
        </is>
      </c>
      <c r="D100" s="11" t="inlineStr">
        <is>
          <t>Console - '10 · Respond and close'; Portal - erasure record</t>
        </is>
      </c>
      <c r="E100" s="11" t="inlineStr">
        <is>
          <t>DPO on console; data principal on portal</t>
        </is>
      </c>
      <c r="F100" s="11" t="inlineStr">
        <is>
          <t>High</t>
        </is>
      </c>
      <c r="G100" s="11" t="inlineStr">
        <is>
          <t>Positive</t>
        </is>
      </c>
      <c r="H100" s="11" t="inlineStr">
        <is>
          <t>S2-02</t>
        </is>
      </c>
      <c r="I100" s="11" t="inlineStr">
        <is>
          <t>- The console is running at http://localhost:3000.
- The portal is running at http://localhost:3001 and Anjali Verma (subject@cmp.local / +91 90000 00001) can sign in to it.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RGT-15 has been run: RR-E is 'Collating', asset A 'erased' and asset B 'redacted'.</t>
        </is>
      </c>
      <c r="J100" s="11" t="inlineStr">
        <is>
          <t>- Outcome: Complete
- The response: Your solo recording has been erased at the lab and on our platform. The shared recording has been redacted to remove you; it is kept for the other participant.</t>
        </is>
      </c>
      <c r="K100" s="11" t="inlineStr">
        <is>
          <t>1. Open RR-E and find '10 · Respond and close'.
2. Read the hint under 'The response'.
3. Type the response and click 'Release and close'.
4. Look at the scope card.
5. Ask the coordinator to show the response mail to subject@cmp.local.
6. In Browser A reload 'My requests' and look at RR-E.
7. Click 'Download the file' and open the saved .json file.
8. In the same file look at 'consents'.</t>
        </is>
      </c>
      <c r="L100" s="11" t="inlineStr">
        <is>
          <t>1. No yellow warning is shown. 'Outcome' shows 'Complete', which can be chosen.
2. It reads 'What was decided for each item, what has been carried out, and why. Say only what was done: the record lists each item as it stands.'
3. 'Released and closed' with 'The requester has been told the response is ready.' appears. The header badge reads 'Complete' and a 'Response' card shows 'Complete · &lt;date&gt; ...'.
4. Asset A still shows 'erased' and asset B 'redacted'. No 'Apply', 'Try again now', 'Place a legal hold' or 'Derive from asset_consent' buttons are offered.
5. It has a section 'WHAT WAS DONE WITH EACH ITEM' with '- &lt;asset A&gt;: Erased.' and '- &lt;asset B&gt;: Redacted: your part removed; the material holds other people and was kept.', followed by 'Kept, because they are the record of what happened and are never rewritten: your consent records, the audit trail, the files of data sent to processors before your request, and earlier responses given to you.' There is no 'NOT YET DONE' section.
6. RR-E shows 'Complete', 'Our response' with the text, 'Download the file' and 'Dispute this response'.
7. 'Downloaded' appears. In the file, 'execution' has 'items' with two entries (asset A: decision 'erase', done true, outcome 'Erased.'; asset B: decision 'redact', done true, outcome 'Redacted: ...'), 'not_done' is empty, 'kept_as_evidence' holds the 'Kept, because...' sentence and 'holders_confirmed' lists SRIB.
8. Her consent records are still listed - consent artefacts are evidence and are not erased.</t>
        </is>
      </c>
      <c r="M100" s="11" t="inlineStr">
        <is>
          <t>Only when every item is carried out can the erasure close 'Complete'; the record she downloads states what was done to each item and what is kept as evidence and why.</t>
        </is>
      </c>
      <c r="N100" s="16" t="n"/>
      <c r="O100" s="17" t="n"/>
      <c r="P100" s="16" t="inlineStr">
        <is>
          <t>Not run</t>
        </is>
      </c>
      <c r="Q100" s="16" t="n"/>
      <c r="R100" s="16" t="n"/>
    </row>
    <row r="101">
      <c r="A101" s="10" t="inlineStr">
        <is>
          <t>RGT-17</t>
        </is>
      </c>
      <c r="B101" s="11" t="inlineStr">
        <is>
          <t>Rights requests</t>
        </is>
      </c>
      <c r="C101" s="11" t="inlineStr">
        <is>
          <t>A legal hold stops an erasure; releasing it lets the erasure finish</t>
        </is>
      </c>
      <c r="D101" s="11" t="inlineStr">
        <is>
          <t>Console - erasure scope - 'Place a legal hold' / 'Release hold'</t>
        </is>
      </c>
      <c r="E101" s="11" t="inlineStr">
        <is>
          <t>DPO; respondent (Meera Iyer); data principal</t>
        </is>
      </c>
      <c r="F101" s="11" t="inlineStr">
        <is>
          <t>High</t>
        </is>
      </c>
      <c r="G101" s="11" t="inlineStr">
        <is>
          <t>Positive</t>
        </is>
      </c>
      <c r="H101" s="11" t="inlineStr">
        <is>
          <t>S2-03</t>
        </is>
      </c>
      <c r="I101" s="11" t="inlineStr">
        <is>
          <t>- The console is running at http://localhost:3000.
- The portal is running at http://localhost:3001 and Anjali Verma (subject@cmp.local / +91 90000 00001) can sign in to it.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RR-E is closed (RGT-16). The coordinator has imported a manifest naming the principal's consent (see CON cases): a fresh manifest puts her in exactly one new asset, asset H, at SRC-SRIB-SE, containing only her. Write down its reference.
- Meera Iyer is still SRIB's respondent; Browser C is available for her.</t>
        </is>
      </c>
      <c r="J101" s="11" t="inlineStr">
        <is>
          <t>- Erasure request text: Please erase the new recording of me.
- Erase basis: Section 12(3) request.
- Hold reason: Evidence in a live legal matter - Legal ref LM-2026-17.
- Return text: Recording H deleted from the SE lab store.
- Note the new reference (RR-H).</t>
        </is>
      </c>
      <c r="K101" s="11" t="inlineStr">
        <is>
          <t>1. In Browser A make an erasure request ('Erasure (s.12(3))') with the test text. Note RR-H.
2. In Browser B open RR-H: click 'Confirm classification', then 'They mean erasure', then 'In progress' in 'What happens next'.
3. In the holders card click 'Derive from the records', choose 'Meera Iyer · rco@cmp.local · portal' in 'Respondent', click 'Confirm', then 'Issue tickets' and 'Issue the ticket'.
4. In the scope card click 'Derive from asset_consent'. On asset H keep 'Erase - the asset holds only the requester', type the erase basis and click 'Record the decision'.
5. On asset H click 'Place a legal hold'.
6. Type the hold reason and click 'Place the hold'.
7. Click 'Apply' on asset H.
8. In Browser C (Meera) open 'My tasks', click 'Respond' on RR-H, type the return text, tick 'This is my return - close the ticket with it' and click 'Return the ticket'.
9. In Browser B reload RR-H.
10. Look at '10 · Respond and close'.
11. On asset H click 'Release hold'.
12. Look at asset H again.
13. Look at '10 · Respond and close', then choose 'Complete', type a response and click 'Release and close'.</t>
        </is>
      </c>
      <c r="L101" s="11" t="inlineStr">
        <is>
          <t>1. 'Recorded as RR-...' appears.
2. 'Classified', 'Erasure confirmed' and 'Moved to In progress' appear in turn.
3. SRIB shows 'confirmed', 'on the portal' and 'Issued'. The request is 'Awaiting holders'.
4. 'Scope derived' shows 1 appearance; asset H shows 'only the requester' and 'decided: erase'.
5. A field 'Why this asset must not be erased' appears with the hint 'Sealed, and shown only to the Privacy Office.' and buttons 'Place the hold' (greyed out until at least 3 characters are typed) and 'Cancel'.
6. The message 'Legal hold placed' with 'Nothing covered by it is erased until it is released.' appears.
7. 'Quarantined' appears. The row shows a red badge 'legal hold' with a lock and the line 'Legal hold: stopped until the hold is released'. There is no 'Try again now' and no 'erased' badge; a 'Release hold' button is offered.
8. 'Ticket returned' appears and the ticket moves to 'Returned'.
9. SRIB shows 'Returned' and the request is 'Collating', but asset H is still NOT erased: it still shows 'legal hold' and 'Legal hold: stopped until the hold is released'. The hold wins over the returned ticket.
10. A yellow warning reads 'Not carried out yet: &lt;asset H&gt;. The response can go out on time, but it is partial and says what remains.' and 'Complete' is greyed out in 'Outcome'.
11. The message 'Hold released' with 'What it was stopping carries on.' appears.
12. Asset H shows the badge 'erased' with 'The holder's copy: confirmed gone by the holder' and 'The platform's pointer to it: cleared'. The 'legal hold' badge, the 'Legal hold: stopped...' line and the 'Release hold' button are gone.
13. The warning has gone and 'Complete' can be chosen. 'Released and closed' appears and the request shows 'Complete'.</t>
        </is>
      </c>
      <c r="M101" s="11" t="inlineStr">
        <is>
          <t>A legal hold stops erasure of the asset even after the holder confirms, keeps the response from claiming Complete, and releasing the hold carries the erasure out at once.</t>
        </is>
      </c>
      <c r="N101" s="16" t="n"/>
      <c r="O101" s="17" t="n"/>
      <c r="P101" s="16" t="inlineStr">
        <is>
          <t>Not run</t>
        </is>
      </c>
      <c r="Q101" s="16" t="n"/>
      <c r="R101" s="16" t="n"/>
    </row>
    <row r="102">
      <c r="A102" s="10" t="inlineStr">
        <is>
          <t>RGT-18</t>
        </is>
      </c>
      <c r="B102" s="11" t="inlineStr">
        <is>
          <t>Rights requests</t>
        </is>
      </c>
      <c r="C102" s="11" t="inlineStr">
        <is>
          <t>Complete is held back while an erasure item is not carried out; the response goes out Partial naming what remains</t>
        </is>
      </c>
      <c r="D102" s="11" t="inlineStr">
        <is>
          <t>Console - '10 · Respond and close' guard; Portal - partial record</t>
        </is>
      </c>
      <c r="E102" s="11" t="inlineStr">
        <is>
          <t>DPO on console; data principal on portal</t>
        </is>
      </c>
      <c r="F102" s="11" t="inlineStr">
        <is>
          <t>High</t>
        </is>
      </c>
      <c r="G102" s="11" t="inlineStr">
        <is>
          <t>Negative</t>
        </is>
      </c>
      <c r="H102" s="11" t="inlineStr">
        <is>
          <t>S2-02</t>
        </is>
      </c>
      <c r="I102" s="11" t="inlineStr">
        <is>
          <t>- The console is running at http://localhost:3000.
- The portal is running at http://localhost:3001 and Anjali Verma (subject@cmp.local / +91 90000 00001) can sign in to it.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RR-H is closed (RGT-17). The coordinator has imported a manifest naming the principal's consent (see CON cases): a fresh manifest puts her in exactly one new asset, asset P, at SRC-SRIB-SE, containing only her. Write down its reference.</t>
        </is>
      </c>
      <c r="J102" s="11" t="inlineStr">
        <is>
          <t>- Erasure request text: Please erase my latest recording.
- Erase basis: Section 12(3) request.
- The response: Your recording is out of all use and our pointer to it is removed. The lab has not yet confirmed deleting its copy; this is named below and will be completed.
- Note the new reference (RR-P).</t>
        </is>
      </c>
      <c r="K102" s="11" t="inlineStr">
        <is>
          <t>1. In Browser A make an erasure request with the test text. Note RR-P.
2. In Browser B open RR-P, click 'Confirm classification', 'They mean erasure' and then 'In progress'. Do NOT derive or add holders.
3. In the scope card click 'Derive from asset_consent'.
4. In 'What happens next' look at both rows, then click 'Collating'.
5. Look at '10 · Respond and close'. Type any text in 'The response'.
6. On asset P type the erase basis, click 'Record the decision', then 'Apply'.
7. Look at '10 · Respond and close' again.
8. Open 'Outcome'.
9. Keep 'Partial - a gap is named', type the response and click 'Release and close'.
10. Ask the coordinator to show the response mail to subject@cmp.local.
11. In Browser A reload 'My requests', check RR-P, click 'Download the file' and open it.</t>
        </is>
      </c>
      <c r="L102" s="11" t="inlineStr">
        <is>
          <t>1. 'Recorded as RR-...' appears.
2. The request is 'In progress'; the holders card reads 'No holders yet...'.
3. One row, asset P, 'only the requester', undecided.
4. 'Move to awaiting holders' is blocked by 'No tickets have been issued yet'; 'Move to collating' is allowed. After the click 'Moved to Collating' appears.
5. A warning reads 'Every item in the erasure scope needs a decision and the basis for it'. 'Release and close' stays greyed out.
6. 'Quarantined' appears. Asset P shows 'quarantined - being erased' with 'The holder's copy: no holder has been asked for this asset's copy - confirm the source's holder and issue its ticket' and 'The platform's pointer to it: cleared'.
7. The warning now reads 'Not carried out yet: &lt;asset P&gt;. The response can go out on time, but it is partial and says what remains.' 'Outcome' shows 'Partial - a gap is named'.
8. 'Complete' is greyed out and cannot be chosen; 'Partial - a gap is named' and 'No records held anywhere' can.
9. 'Released and closed' appears; the header badge reads 'Partial'; the 'Response' card shows 'Partial · &lt;date&gt;'.
10. 'WHAT WAS DONE WITH EACH ITEM' shows '- &lt;asset P&gt;: Decided for erasure and kept out of use; not yet carried out.' and a line 'NOT YET DONE: &lt;asset P&gt;. This response is partial; what remains is named rather than claimed.' The word 'Erased.' does not appear for asset P.
11. RR-P shows 'Partial' with the response. In the file, 'execution' lists asset P with done false and the 'Decided for erasure...' outcome, 'not_done' names asset P, and 'kept_as_evidence' is present.</t>
        </is>
      </c>
      <c r="M102" s="11" t="inlineStr">
        <is>
          <t>The DPO cannot respond while an item is undecided, cannot choose Complete while an item is not carried out (the server's reason is shown), and the response goes out Partial, naming what remains, without claiming erasure.</t>
        </is>
      </c>
      <c r="N102" s="16" t="n"/>
      <c r="O102" s="17" t="n"/>
      <c r="P102" s="16" t="inlineStr">
        <is>
          <t>Not run</t>
        </is>
      </c>
      <c r="Q102" s="16" t="n"/>
      <c r="R102" s="16" t="n"/>
    </row>
    <row r="103">
      <c r="A103" s="10" t="inlineStr">
        <is>
          <t>RGT-19</t>
        </is>
      </c>
      <c r="B103" s="11" t="inlineStr">
        <is>
          <t>Rights requests</t>
        </is>
      </c>
      <c r="C103" s="11" t="inlineStr">
        <is>
          <t>A correction nobody carried out cannot close as Complete</t>
        </is>
      </c>
      <c r="D103" s="11" t="inlineStr">
        <is>
          <t>Console - '9–10 · Collate, review, release' guard for correction</t>
        </is>
      </c>
      <c r="E103" s="11" t="inlineStr">
        <is>
          <t>DPO on console; data principal on portal</t>
        </is>
      </c>
      <c r="F103" s="11" t="inlineStr">
        <is>
          <t>Medium</t>
        </is>
      </c>
      <c r="G103" s="11" t="inlineStr">
        <is>
          <t>Negative</t>
        </is>
      </c>
      <c r="H103" s="11" t="inlineStr">
        <is>
          <t>S2-02</t>
        </is>
      </c>
      <c r="I103" s="11" t="inlineStr">
        <is>
          <t>- The console is running at http://localhost:3000.
- The portal is running at http://localhost:3001 and Anjali Verma (subject@cmp.local / +91 90000 00001) can sign in to it.
- Use two separate browsers or browser profiles: Browser A for the portal (the data principal or nominee) and Browser B for the console (staff). The two sites share one sign-in on this machine, so one browser cannot hold both sessions.
- RGT-02 has been run; RR-C is 'Received'.</t>
        </is>
      </c>
      <c r="J103" s="11" t="inlineStr">
        <is>
          <t>- This is a request for: Correction (s.12)
- The response: We have not yet been able to confirm the correction with the team holding the record; we will follow up.</t>
        </is>
      </c>
      <c r="K103" s="11" t="inlineStr">
        <is>
          <t>1. In Browser B open RR-C.
2. Click 'Confirm classification' (with 'Correction (s.12)'), then 'In progress'.
3. Without adding any holder, click 'Collating' in 'What happens next'.
4. Read the warning on '9–10 · Collate, review, release' and open 'Outcome'.
5. Read the hint under 'The response', type the response and click 'Release and close'.
6. In Browser A reload 'My requests' and look at RR-C.</t>
        </is>
      </c>
      <c r="L103" s="11" t="inlineStr">
        <is>
          <t>1. The line under the heading reads 'Correction · s.12 · Portal'; the classification card is titled '4 · A valid correction request?'; there is no scope card.
2. 'Classified' and 'Moved to In progress' appear.
3. 'Moved to Collating' appears and the card '9–10 · Collate, review, release' is shown.
4. The warning reads 'Nothing in this request has been corrected: no item in scope has been carried out and no holder has returned its ticket. Answer it as partial, or as no records if nothing is held.' 'Complete' is greyed out; 'Partial - a gap is named' is selected.
5. The hint reads 'What the requester is being given, and what could not be provided.' 'Released and closed' appears and the badge reads 'Partial'.
6. RR-C shows 'Partial' with the response and a 'Dispute this response' button.</t>
        </is>
      </c>
      <c r="M103" s="11" t="inlineStr">
        <is>
          <t>A correction with nothing carried out cannot be called Complete; the server's reason is shown and the response closes Partial.</t>
        </is>
      </c>
      <c r="N103" s="16" t="n"/>
      <c r="O103" s="17" t="n"/>
      <c r="P103" s="16" t="inlineStr">
        <is>
          <t>Not run</t>
        </is>
      </c>
      <c r="Q103" s="16" t="n"/>
      <c r="R103" s="16" t="n"/>
    </row>
    <row r="104">
      <c r="A104" s="10" t="inlineStr">
        <is>
          <t>RGT-20</t>
        </is>
      </c>
      <c r="B104" s="11" t="inlineStr">
        <is>
          <t>Rights requests</t>
        </is>
      </c>
      <c r="C104" s="11" t="inlineStr">
        <is>
          <t>Principal disputes a response; the grievance is linked and the DPO decides it</t>
        </is>
      </c>
      <c r="D104" s="11" t="inlineStr">
        <is>
          <t>Portal - 'Dispute this response'; Console - grievance '6 · Is it upheld?'</t>
        </is>
      </c>
      <c r="E104" s="11" t="inlineStr">
        <is>
          <t>Data principal on portal; DPO on console</t>
        </is>
      </c>
      <c r="F104" s="11" t="inlineStr">
        <is>
          <t>High</t>
        </is>
      </c>
      <c r="G104" s="11" t="inlineStr">
        <is>
          <t>Positive</t>
        </is>
      </c>
      <c r="H104" s="11" t="inlineStr">
        <is>
          <t>Core</t>
        </is>
      </c>
      <c r="I104" s="11" t="inlineStr">
        <is>
          <t>- The portal is running at http://localhost:3001 and Anjali Verma (subject@cmp.local / +91 90000 00001) can sign in to it.
- The console is running at http://localhost:3000.
- Use two separate browsers or browser profiles: Browser A for the portal (the data principal or nominee) and Browser B for the console (staff). The two sites share one sign-in on this machine, so one browser cannot hold both sessions.
- RGT-09 has been run; RR-A is closed 'Complete'.</t>
        </is>
      </c>
      <c r="J104" s="11" t="inlineStr">
        <is>
          <t>- Too-short text: short
- What was wrong: The response did not list the CIT campus recording, which I know was made.
- Decision: Not upheld
- What was found, and why: The CIT recording is in SEED's return, which was released as the attached extract.
- Note the grievance reference (RR-G).</t>
        </is>
      </c>
      <c r="K104" s="11" t="inlineStr">
        <is>
          <t>1. In Browser A on 'My requests' click 'Dispute this response' on RR-A.
2. Type 'short' in 'What was wrong' and click 'Raise the grievance'.
3. Type the full text, leave the checkbox unticked and click 'Raise the grievance'.
4. Look at the RR-G and RR-A cards.
5. Click 'See RR-A in full'.
6. In Browser B open RR-G from 'Rights requests'.
7. Look at '4 · Linked, and about whom?'.
8. Click 'Confirm classification' (Complaint (grievance) (s.13)) and then 'In progress'.
9. Change 'Decision' to 'Not upheld', type the finding and click 'Decide and close'.
10. In Browser A reload 'My requests' and look at RR-G.</t>
        </is>
      </c>
      <c r="L104" s="11" t="inlineStr">
        <is>
          <t>1. A dialog 'Dispute RR-A' opens: 'A grievance under section 13. Say what was wrong with the handling - late, incomplete, sent the wrong way, or the outcome itself.' with 'What was wrong', the checkbox 'This is about the Data Protection Officer's own decisions.', 'Cancel' and 'Raise the grievance'.
2. The error 'Say what you are asking for, in a sentence or two.' appears; nothing is recorded.
3. 'Grievance recorded as RR-...' with 'It is linked to the original request.' appears. Note RR-G.
4. RR-G shows 'Complaint (grievance) · s.13', 'Received' and a box 'What you disputed' naming RR-A with 'Complete: &lt;start of the answer&gt;' and 'See RR-A in full'. RR-A shows 'You disputed this in RR-G' with 'See it'.
5. The page scrolls to RR-A and briefly highlights it.
6. The line under the heading reads 'Complaint (grievance) · s.13 · Portal'. 'About' shows RR-A with 'the request under dispute, shown below', and a card 'The request under dispute' shows RR-A's dates, what was asked and its answer.
7. It contains 'Is the complaint about the DPO?' with the text '...Recuse if this concerns your handling.' and a button 'This is about me - escalate' (do not click it).
8. The request is 'In progress' and a card '6 · Is it upheld?' appears with 'Decision' ('Upheld'), 'What was found, and why', 'Remedy' and a ticked checkbox 'Re-run RR-A as a new request linked to this decision.' 'Decide and close' is greyed out.
9. 'Remedy' and the re-run checkbox disappear. After the click, 'Not upheld' appears and the header badge reads 'Not upheld'.
10. RR-G shows 'Not upheld', 'Our response' with the finding and the Data Protection Board note. There is no 'Dispute this response' button on a grievance.</t>
        </is>
      </c>
      <c r="M104" s="11" t="inlineStr">
        <is>
          <t>A dispute creates a grievance linked both ways to the original, the DPO sees the disputed request alongside it and records a reasoned decision the principal can read.</t>
        </is>
      </c>
      <c r="N104" s="16" t="n"/>
      <c r="O104" s="17" t="n"/>
      <c r="P104" s="16" t="inlineStr">
        <is>
          <t>Not run</t>
        </is>
      </c>
      <c r="Q104" s="16" t="n"/>
      <c r="R104" s="16" t="n"/>
    </row>
    <row r="105">
      <c r="A105" s="10" t="inlineStr">
        <is>
          <t>RGT-21</t>
        </is>
      </c>
      <c r="B105" s="11" t="inlineStr">
        <is>
          <t>Rights requests</t>
        </is>
      </c>
      <c r="C105" s="11" t="inlineStr">
        <is>
          <t>A grievance about the DPO goes to the administrator, who reviews and decides it</t>
        </is>
      </c>
      <c r="D105" s="11" t="inlineStr">
        <is>
          <t>Portal - grievance about the DPO; Console - 'Grievances about the DPO'</t>
        </is>
      </c>
      <c r="E105" s="11" t="inlineStr">
        <is>
          <t>Data principal; DPO; Administrator (admin@cmp.local)</t>
        </is>
      </c>
      <c r="F105" s="11" t="inlineStr">
        <is>
          <t>High</t>
        </is>
      </c>
      <c r="G105" s="11" t="inlineStr">
        <is>
          <t>Positive</t>
        </is>
      </c>
      <c r="H105" s="11" t="inlineStr">
        <is>
          <t>Core</t>
        </is>
      </c>
      <c r="I105" s="11" t="inlineStr">
        <is>
          <t>- The portal is running at http://localhost:3001 and Anjali Verma (subject@cmp.local / +91 90000 00001) can sign in to it.
- The console is running at http://localhost:3000.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Browser C is available for the administrator.
- RGT-09 has been run (the URL of RR-A is known from the DPO's browser).</t>
        </is>
      </c>
      <c r="J105" s="11" t="inlineStr">
        <is>
          <t>- What are you asking for: Complaint (grievance) (s.13)
- Your request: The DPO refused my request without explaining why. I want somebody else to review it.
- Tick: This complaint is about the Data Protection Officer's own decisions.
- Reviewer: System Admin · admin@cmp.local
- Remedy: The refusal is withdrawn and the request will be answered in full.
- Note the reference (RR-D).</t>
        </is>
      </c>
      <c r="K105" s="11" t="inlineStr">
        <is>
          <t>1. In Browser A click 'Make a request', choose 'Complaint (grievance) (s.13)', type the text, tick 'This complaint is about the Data Protection Officer's own decisions.' and click 'Send the request'.
2. In Browser B (DPO) open 'Rights requests'.
3. Open RR-D and read 'Reviewer' and '4 · Linked, and about whom?'.
4. Click 'Confirm classification', then look at 'What happens next'.
5. In Browser C open http://localhost:3000. Type admin@cmp.local in 'Email or username' and SeedPassw0rd!2026 in 'Password' and click 'Sign in'. If the 'Verify it is you' page appears, ask the coordinator for the code, type it in '6-digit code' and click 'Verify and continue'.
6. Click 'Grievances about the DPO'.
7. Paste the URL of RR-A into Browser C.
8. Open RR-D. In the classification card choose 'System Admin · admin@cmp.local' in 'Reviewer' and click 'Assign'.
9. In 'What happens next' click 'In progress'.
10. In Browser B (DPO) reload RR-D, choose 'Not upheld', type a finding and click 'Decide and close'.
11. In Browser C keep 'Upheld', type a finding in 'What was found, and why' and the remedy in 'Remedy', and click 'Decide and close'.
12. In Browser A reload 'My requests' and look at RR-D.</t>
        </is>
      </c>
      <c r="L105" s="11" t="inlineStr">
        <is>
          <t>1. There is no 'About' field for a grievance. 'Recorded as RR-...' appears. Note RR-D.
2. RR-D is listed with the small label 'about the DPO' under the reference.
3. 'Reviewer' reads 'Not yet assigned - an administrator names one'. The card says 'Yes - escalated to an independent reviewer... No reviewer assigned yet.' There is no 'This is about me - escalate' button.
4. 'Classified' appears. 'Move to in progress' is blocked by 'The complaint concerns the DPO - a reviewer independent of the DPO must be assigned'.
5. The Dashboard opens, signed in as System Admin. The sidebar shows 'Grievances about the DPO' instead of 'Rights requests'.
6. The page 'Grievances about the DPO' reads 'Grievances about the DPO, escalated to you as the independent reviewer. Accountability cannot review itself.' There is no 'Log a request received by email' button. RR-D is listed; RR-A, RR-E and RR-G are not.
7. The page shows 'Could not load this request' - the administrator cannot open requests that are not escalated to them.
8. 'Reviewer assigned' appears; the card reads '... Reviewer: System Admin.' and the 'Reviewer' detail shows System Admin.
9. 'Moved to In progress' appears; a card '6 · Is it upheld?' appears.
10. The message 'Not decided' with 'A complaint about the DPO is decided by the independent reviewer' appears. RR-D stays 'In progress'.
11. 'Upheld' appears and the header badge reads 'Upheld'.
12. RR-D shows 'Upheld', 'Our response' with the finding and a line 'Remedy: &lt;remedy&gt;'.</t>
        </is>
      </c>
      <c r="M105" s="11" t="inlineStr">
        <is>
          <t>A grievance marked as about the DPO cannot start until the administrator names an independent reviewer; only that reviewer can decide it, and the administrator sees only such grievances.</t>
        </is>
      </c>
      <c r="N105" s="16" t="n"/>
      <c r="O105" s="17" t="n"/>
      <c r="P105" s="16" t="inlineStr">
        <is>
          <t>Not run</t>
        </is>
      </c>
      <c r="Q105" s="16" t="n"/>
      <c r="R105" s="16" t="n"/>
    </row>
    <row r="106">
      <c r="A106" s="10" t="inlineStr">
        <is>
          <t>RGT-22</t>
        </is>
      </c>
      <c r="B106" s="11" t="inlineStr">
        <is>
          <t>Rights requests</t>
        </is>
      </c>
      <c r="C106" s="11" t="inlineStr">
        <is>
          <t>Principal names a nominee, who accepts with a code</t>
        </is>
      </c>
      <c r="D106" s="11" t="inlineStr">
        <is>
          <t>Portal - My nominations - 'Somebody to act for you'; nomination acceptance link</t>
        </is>
      </c>
      <c r="E106" s="11" t="inlineStr">
        <is>
          <t>Data principal; nominee</t>
        </is>
      </c>
      <c r="F106" s="11" t="inlineStr">
        <is>
          <t>High</t>
        </is>
      </c>
      <c r="G106" s="11" t="inlineStr">
        <is>
          <t>Positive</t>
        </is>
      </c>
      <c r="H106" s="11" t="inlineStr">
        <is>
          <t>Core</t>
        </is>
      </c>
      <c r="I106" s="11" t="inlineStr">
        <is>
          <t>- The portal is running at http://localhost:3001 and Anjali Verma (subject@cmp.local / +91 90000 00001) can sign in to it.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Anjali has no nomination in place (the card shows the nomination form).
- A separate browser or private window (Browser D) is available for the nominee.</t>
        </is>
      </c>
      <c r="J106" s="11" t="inlineStr">
        <is>
          <t>- Their name: Rahul Verma
- Their mobile: +91 90000 00077
- Their email: rahul.nominee@example.org
- Rights: keep 'Access (s.11)' and 'Erasure (s.12(3))' ticked; untick 'Correction (s.12)' and 'Complaint (grievance) (s.13)'
- Wrong code: 000000</t>
        </is>
      </c>
      <c r="K106" s="11" t="inlineStr">
        <is>
          <t>1. In Browser A click 'My nominations' in the sidebar and find the card 'Somebody to act for you'.
2. Fill in the test data, untick 'Correction (s.12)' and 'Complaint (grievance) (s.13)', and click 'Nominate'.
3. Look at the card.
4. Ask the coordinator for the acceptance link sent to Rahul Verma and open it in Browser D (not signed in).
5. Choose 'Mobile' and click 'Send me a code'.
6. Type 000000 and click 'Accept the nomination'.
7. Ask the coordinator for the code sent to +91 90000 00077, type it and click 'Accept the nomination'.
8. Click 'Copy'.
9. In Browser A reload 'My nominations'.
10. In Browser D open the acceptance link again.</t>
        </is>
      </c>
      <c r="L106" s="11" t="inlineStr">
        <is>
          <t>1. The card explains 'Section 14. A person you name, while you are well, to exercise these rights if you die or cannot act. Nothing is in effect until they accept...' and shows 'Their name', 'Their mobile', 'Their email', 'Which of your rights they may exercise' (four boxes, all ticked) and 'Nominate'.
2. 'Nomination recorded' with 'We have asked Rahul Verma to accept. It is not usable until they do.' appears.
3. It shows Rahul Verma with his mobile and email, the badge 'Waiting for the nominee to accept', 'May ask for: access, erasure.', a warning 'Not yet usable. We have sent Rahul Verma a link to accept - it expires on &lt;date&gt;. A nomination they have not accepted cannot be acted on.' and 'Revoke this nomination'.
4. The page 'A nomination for you' opens with a card 'Anjali Verma has nominated you' listing only 'Access (s.11)' and 'Erasure (s.12(3))', a note that nothing happens now, 'This link expires on &lt;date&gt;.', a section 'First, prove it is you' with radio buttons 'Mobile' and 'Email' (masked), 'Send me a code', and greyed-out 'Accept the nomination' and 'Decline'.
5. A line confirms a code was sent and a 'Six-digit code' box appears.
6. An error appears under the code box; the page stays on the nomination and nothing is accepted.
7. A box 'Accepted' reads 'You are now Anjali Verma's nominee. Nothing happens until the event she named - death or incapacity... Your nomination reference is &lt;reference&gt;...'. A card 'Keep your nomination reference' shows the reference, 'Copy', a 'Sign in' link and 'Act on their behalf'.
8. The button briefly reads 'Copied'. Keep the reference for RGT-23.
9. The card shows the badge 'In place' and 'In place. If the time comes, Rahul Verma will identify themselves with the contact you recorded, evidence the event, and the request will run as normal.' with 'Their nomination reference: &lt;same reference&gt;'.
10. The page shows 'This link is not valid' - 'It may have expired, been used already, or been revoked. Nothing has been recorded.'</t>
        </is>
      </c>
      <c r="M106" s="11" t="inlineStr">
        <is>
          <t>The nomination is pending until the nominee proves a recorded contact with a code and accepts; the principal then sees it 'In place' with the chosen rights; the link works once only.</t>
        </is>
      </c>
      <c r="N106" s="16" t="n"/>
      <c r="O106" s="17" t="n"/>
      <c r="P106" s="16" t="inlineStr">
        <is>
          <t>Not run</t>
        </is>
      </c>
      <c r="Q106" s="16" t="n"/>
      <c r="R106" s="16" t="n"/>
    </row>
    <row r="107">
      <c r="A107" s="10" t="inlineStr">
        <is>
          <t>RGT-23</t>
        </is>
      </c>
      <c r="B107" s="11" t="inlineStr">
        <is>
          <t>Rights requests</t>
        </is>
      </c>
      <c r="C107" s="11" t="inlineStr">
        <is>
          <t>Nominee acts on the principal's incapacity; the DPO evidences the event before the request runs</t>
        </is>
      </c>
      <c r="D107" s="11" t="inlineStr">
        <is>
          <t>Portal - /rights/nominee; Console - 'Is the triggering event evidenced?'</t>
        </is>
      </c>
      <c r="E107" s="11" t="inlineStr">
        <is>
          <t>Nominee; DPO; data principal</t>
        </is>
      </c>
      <c r="F107" s="11" t="inlineStr">
        <is>
          <t>High</t>
        </is>
      </c>
      <c r="G107" s="11" t="inlineStr">
        <is>
          <t>Positive</t>
        </is>
      </c>
      <c r="H107" s="11" t="inlineStr">
        <is>
          <t>Core</t>
        </is>
      </c>
      <c r="I107" s="11" t="inlineStr">
        <is>
          <t>- The portal is running at http://localhost:3001 and Anjali Verma (subject@cmp.local / +91 90000 00001) can sign in to it.
- The console is running at http://localhost:3000.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RGT-22 has been run; the nomination is 'In place' and its reference is known.
- Choose 'They are unable to act' only. Do NOT choose 'They have died' - that closes Anjali's account and breaks later testing.</t>
        </is>
      </c>
      <c r="J107" s="11" t="inlineStr">
        <is>
          <t>- Your email or mobile: +91 90000 00077
- What you are asking for on their behalf: Access (s.11)
- The request: Everything you hold about her, please.
- What has happened: They are unable to act
- Evidence: medical-letter.pdf (any small PDF)
- Note the reference (RR-N).</t>
        </is>
      </c>
      <c r="K107" s="11" t="inlineStr">
        <is>
          <t>1. In Browser D click 'Act on their behalf' (or open http://localhost:3001/rights/nominee?nomination=&lt;reference&gt;).
2. Type +91 90000 00077 in 'Your email or mobile' and click 'Send me a code'.
3. Enter the code the coordinator relays in 'The code we sent'. Fill in the request as per the test data and choose the evidence file under 'Evidence'.
4. Click 'Record the request'.
5. In Browser B (DPO) open RR-N from 'Rights requests'.
6. Click the 'evidence' link.
7. Click 'Confirm classification', then look at 'What happens next' and the classification card.
8. Click 'Evidenced to our standard'.
9. Click 'In progress'.
10. In Browser A (Anjali) open 'My nominations'.
11. In Browser D sign in at http://localhost:3001/sign-in with 'Mobile' and +91 90000 00077 (code from the coordinator), then open 'My nominations'.
12. Click 'Show the request'.</t>
        </is>
      </c>
      <c r="L107" s="11" t="inlineStr">
        <is>
          <t>1. The page 'Acting for someone who nominated you' opens with '1. Who you are'; 'The nomination reference' is already filled in.
2. A blue note reads 'If that nomination is in place and the contact matches the one recorded, a verification code has been sent to it.' The fields lock and a card '2. The request' appears.
3. 'What has happened' offers 'They have died' and 'They are unable to act'; the evidence hint reads 'A certificate or a medical letter. PDF or image, up to 25 MB.' 'Record the request' becomes available once the code and at least 10 characters are entered.
4. A green box 'Recorded as RR-...' reads '... The Privacy Office will first decide whether the event is evidenced, then handle the request as normal and respond to you.' Note RR-N.
5. The line under the heading reads 'Access · s.11 · Nominee'. A 'Nominee' detail shows 'Rahul Verma (&lt;contact&gt;) · reports the principal cannot act' with an 'evidence' link.
6. The medical letter downloads.
7. 'Move to in progress' is blocked by 'The triggering event is not evidenced'. The card shows 'Is the triggering event evidenced?' with 'Rahul Verma says the principal cannot act...' and buttons 'Evidenced to our standard' and 'Not evidenced - refuse'.
8. 'Event evidenced' appears; the card reads 'Event evidenced on &lt;date&gt;.'; the Nominee detail adds 'Evidenced &lt;date&gt; · the principal keeps their account and can follow this request'.
9. 'Moved to In progress' appears.
10. The nomination card shows 'Rahul Verma acted for you on &lt;date&gt;' with 'They reported that you cannot act for yourself. You keep this account and can follow the request they made. Their request is RR-N, under My requests. The Privacy Office found the event evidenced on &lt;date&gt;.'
11. A card 'Somebody has named you to act for them' shows Anjali Verma, 'In place' and 'You acted on &lt;date&gt;', with a 'Show the request' button.
12. RR-N is shown with its status 'In progress', clock and path. There is no 'Dispute this response' button for the nominee.</t>
        </is>
      </c>
      <c r="M107" s="11" t="inlineStr">
        <is>
          <t>The nominee is verified against the recorded contact, the request cannot start until the DPO evidences the event, and both the principal (incapacity) and the nominee can follow it.</t>
        </is>
      </c>
      <c r="N107" s="16" t="n"/>
      <c r="O107" s="17" t="n"/>
      <c r="P107" s="16" t="inlineStr">
        <is>
          <t>Not run</t>
        </is>
      </c>
      <c r="Q107" s="16" t="n"/>
      <c r="R107" s="16" t="n"/>
    </row>
    <row r="108">
      <c r="A108" s="10" t="inlineStr">
        <is>
          <t>RGT-24</t>
        </is>
      </c>
      <c r="B108" s="11" t="inlineStr">
        <is>
          <t>Rights requests</t>
        </is>
      </c>
      <c r="C108" s="11" t="inlineStr">
        <is>
          <t>Nomination refuses unknown references, wrong codes, rights not granted, self-nomination and a revoked nominee</t>
        </is>
      </c>
      <c r="D108" s="11" t="inlineStr">
        <is>
          <t>Portal - nominee page and nomination card - negative cases</t>
        </is>
      </c>
      <c r="E108" s="11" t="inlineStr">
        <is>
          <t>Nominee; data principal</t>
        </is>
      </c>
      <c r="F108" s="11" t="inlineStr">
        <is>
          <t>Medium</t>
        </is>
      </c>
      <c r="G108" s="11" t="inlineStr">
        <is>
          <t>Negative</t>
        </is>
      </c>
      <c r="H108" s="11" t="inlineStr">
        <is>
          <t>Core</t>
        </is>
      </c>
      <c r="I108" s="11" t="inlineStr">
        <is>
          <t>- The portal is running at http://localhost:3001 and Anjali Verma (subject@cmp.local / +91 90000 00001) can sign in to it.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RGT-23 has been run; the nomination is 'In place' and its reference is known.</t>
        </is>
      </c>
      <c r="J108" s="11" t="inlineStr">
        <is>
          <t>- Made-up reference: 3f2b8c1e-0000-4000-8000-000000000000
- Nominee contact: +91 90000 00077
- Wrong code: 000000
- Right not granted: Correction (s.12)
- Self-nomination: name Anjali Verma, mobile +91 90000 00001</t>
        </is>
      </c>
      <c r="K108" s="11" t="inlineStr">
        <is>
          <t>1. In Browser D (signed out) open http://localhost:3001/rights/nominee, type the made-up reference and +91 90000 00077 and click 'Send me a code'.
2. Open http://localhost:3001/rights/nominee?nomination=&lt;real reference&gt;, type +91 90000 00077 and click 'Send me a code'. Type 000000 in 'The code we sent', choose 'Access (s.11)', type a request of 10+ characters, choose 'They are unable to act' and click 'Record the request'.
3. Reload the page, send a new code, enter the correct relayed code, choose 'Correction (s.12)' and click 'Record the request'.
4. In Browser A on 'My nominations' click 'Revoke this nomination'.
5. In the form type Anjali Verma in 'Their name' and +91 90000 00001 in 'Their mobile', leave the rights ticked and click 'Nominate'.
6. In Browser D open the nominee page with the revoked reference, type +91 90000 00077 and click 'Send me a code'.
7. In Browser D (signed in as the nominee) reload 'My nominations'.</t>
        </is>
      </c>
      <c r="L108" s="11" t="inlineStr">
        <is>
          <t>1. The same neutral note as for a real nomination: 'If that nomination is in place and the contact matches the one recorded, a verification code has been sent to it.' The coordinator finds no new code in the outbox.
2. A red box reads 'Invalid or expired code'. No reference is shown.
3. A red box reads 'That right was not included in the nomination'. Nothing is recorded.
4. 'Nomination revoked' with 'Rahul Verma can no longer act for you.' appears. The nomination form is shown again, and 'Earlier nominations' lists Rahul Verma as 'Revoked'.
5. The error 'A nominee has to be somebody other than you' appears; no nomination is recorded.
6. The neutral note appears, but the coordinator finds no code sent - the nomination is no longer in place.
7. The 'Somebody has named you to act for them' card warns 'This nomination is no longer in effect, so you cannot make another request under it. The one you already made stays here until it is answered.' The badge does not say 'In place'. RR-N can still be opened with 'Show the request'.</t>
        </is>
      </c>
      <c r="M108" s="11" t="inlineStr">
        <is>
          <t>Unknown references get a neutral answer with no code; wrong codes, rights not granted and self-nomination are refused; after revocation the nominee cannot act again but can still follow the request already made.</t>
        </is>
      </c>
      <c r="N108" s="16" t="n"/>
      <c r="O108" s="17" t="n"/>
      <c r="P108" s="16" t="inlineStr">
        <is>
          <t>Not run</t>
        </is>
      </c>
      <c r="Q108" s="16" t="n"/>
      <c r="R108" s="16" t="n"/>
    </row>
    <row r="109">
      <c r="A109" s="10" t="inlineStr">
        <is>
          <t>RGT-25</t>
        </is>
      </c>
      <c r="B109" s="11" t="inlineStr">
        <is>
          <t>Rights requests</t>
        </is>
      </c>
      <c r="C109" s="11" t="inlineStr">
        <is>
          <t>With several requests, the portal narrows them by Open / Closed and by search</t>
        </is>
      </c>
      <c r="D109" s="11" t="inlineStr">
        <is>
          <t>Portal - My requests - All / Open / Closed and search</t>
        </is>
      </c>
      <c r="E109" s="11" t="inlineStr">
        <is>
          <t>Data principal (Anjali Verma) on portal</t>
        </is>
      </c>
      <c r="F109" s="11" t="inlineStr">
        <is>
          <t>Low</t>
        </is>
      </c>
      <c r="G109" s="11" t="inlineStr">
        <is>
          <t>Positive</t>
        </is>
      </c>
      <c r="H109" s="11" t="inlineStr">
        <is>
          <t>Core</t>
        </is>
      </c>
      <c r="I109" s="11" t="inlineStr">
        <is>
          <t>- RGT-01 to RGT-24 have been run, so Anjali Verma has at least six requests, some closed (for example RR-A, answered in RGT-09) and some open.
- The test coordinator can read the test outbox (backend/api/var/outbox.log) and relays codes, links and emails on request.</t>
        </is>
      </c>
      <c r="J109" s="11" t="inlineStr">
        <is>
          <t>- Account: subject@cmp.local (Anjali Verma)
- Reference to find: RR-A (from RGT-01)</t>
        </is>
      </c>
      <c r="K109" s="11" t="inlineStr">
        <is>
          <t>1. In Browser A open http://localhost:3001/sign-in. Under 'Sign in with' choose 'Email', type subject@cmp.local in 'Email address' and click 'Send me a code'. Ask the coordinator for the code, type it in 'Six-digit code' and click 'Verify'.
2. In the sidebar click 'My requests'.
3. Click 'Closed'.
4. Click 'Open'.
5. Click 'All', then type the number part of RR-A's reference (for example 000123) in the search box.
6. Click 'Show all requests'. Type 'grievance' in the search box, so that only grievances remain, and on RR-G (RGT-20) click 'See RR-A in full'.</t>
        </is>
      </c>
      <c r="L109" s="11" t="inlineStr">
        <is>
          <t>1. A 'Check your messages' box appears after the first click. After 'Verify' you are signed in and the 'My consents' page opens; the sidebar shows 'My consents' and 'My requests'.
2. Above the list are three choices, 'All', 'Open' and 'Closed', each with a count (All = Open + Closed), and a search box 'Reference, kind or words'. 'All' is selected.
3. Only answered or closed requests remain, for example RR-A with the badge 'Complete'. No 'Received' or 'In progress' request is listed.
4. Only requests still being worked on remain. The count beside 'Open' equals the number of cards shown.
5. Only RR-A remains. Typing 'grievance' instead shows only grievances; typing 'zzz' shows 'No requests match' with a 'Show all requests' button.
6. RR-A was hidden by the search, so the search is cleared and 'All' selected; the page scrolls to RR-A and briefly highlights it.</t>
        </is>
      </c>
      <c r="M109" s="11" t="inlineStr">
        <is>
          <t>A principal with several requests can show only open or only closed ones and find one by reference, kind or words; nothing is lost - 'Show all requests' and links between requests always bring the right card into view.</t>
        </is>
      </c>
      <c r="N109" s="16" t="n"/>
      <c r="O109" s="17" t="n"/>
      <c r="P109" s="16" t="inlineStr">
        <is>
          <t>Not run</t>
        </is>
      </c>
      <c r="Q109" s="16" t="n"/>
      <c r="R109" s="16" t="n"/>
    </row>
    <row r="110">
      <c r="A110" s="10" t="inlineStr">
        <is>
          <t>OVS-01</t>
        </is>
      </c>
      <c r="B110" s="11" t="inlineStr">
        <is>
          <t>Oversight and audit</t>
        </is>
      </c>
      <c r="C110" s="11" t="inlineStr">
        <is>
          <t>DPO dashboard lists only work the DPO can act on</t>
        </is>
      </c>
      <c r="D110" s="11" t="inlineStr">
        <is>
          <t>Dashboard - 'Needs attention', queues, recent activity</t>
        </is>
      </c>
      <c r="E110" s="11" t="inlineStr">
        <is>
          <t>DPO on console</t>
        </is>
      </c>
      <c r="F110" s="11" t="inlineStr">
        <is>
          <t>High</t>
        </is>
      </c>
      <c r="G110" s="11" t="inlineStr">
        <is>
          <t>Positive</t>
        </is>
      </c>
      <c r="H110" s="11" t="inlineStr">
        <is>
          <t>Core</t>
        </is>
      </c>
      <c r="I110"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
- Seed data is loaded (projects, notices, consents and rights requests exist).</t>
        </is>
      </c>
      <c r="J110" s="11" t="inlineStr">
        <is>
          <t>- Email or username: dpo@cmp.local (Priya Menon)
- Password: SeedPassw0rd!2026</t>
        </is>
      </c>
      <c r="K110" s="11" t="inlineStr">
        <is>
          <t>1. Open http://localhost:3000. Type dpo@cmp.local in 'Email or username' and SeedPassw0rd!2026 in 'Password', click 'Sign in'. On the 'Verify it is you' page type the six-digit code the test coordinator relays into '6-digit code' and click 'Verify and continue'.
2. Read the line under the heading.
3. Look at the first card, 'Needs attention'.
4. Check the card for rows that belong to other roles.
5. Click one of the rows in 'Needs attention' (for example 'Projects pending approval' or 'Rights requests due within 7 days').
6. Scroll down past 'Needs attention' to the queue cards.
7. Scroll further to the cards 'Projects by stage' and 'Consent position'.
8. Look at the 'Recent activity' card at the bottom.
9. Click 'Full audit trail'.</t>
        </is>
      </c>
      <c r="L110" s="11" t="inlineStr">
        <is>
          <t>1. You land on the Dashboard with the heading 'Good day, Priya'. The top right of the header shows the person's name with the role badge 'DPO'.
2. It reads 'Notices awaiting publication, projects awaiting your review, and the consent position across the platform.'
3. Each row shows a number, a label and an arrow; the card's heading carries no overall count. Every label is one of: 'Breach duties overdue', 'Breach duties outstanding', 'Tickets past their date', 'Rights requests overdue', 'Rights requests due within 7 days', 'Requests awaiting verification', 'Teams have written on their tickets', 'Grievances about the DPO to escalate', 'Retention floors passed, erasure due', 'Tickets addressed to you', 'Notice text awaiting approval', 'Projects pending approval', 'New collectors awaiting your decision'. If nothing is waiting the card says 'Nothing needs your attention. The queues below are clear or waiting on somebody else.'
4. There is no row about lockouts, sign-ins, access denials, 'Staff invitations not yet accepted', 'Sites awaiting a data source', 'Sources without an owner' or 'Imports that did not reconcile'.
5. The list behind that number opens already filtered (e.g. the Projects page showing only projects pending approval, or the Rights requests page). The number of rows matches the count on the dashboard. Use the browser Back button to return.
6. Queues with work appear as cards, in this order: 'Tickets past their date', 'Rights requests, soonest due first', 'Teams have written on their tickets', 'Retention floors passed - erasure due', 'Pending Approval', 'New collectors awaiting your decision', 'Drafts whose purposes are not activated'. Each card shows a count badge; a queue at its 25-row limit shows '25+' and a 'See all' link. Empty queues are listed together in one grey line that starts 'Clear:'. People's names in queue rows are readable.
7. 'Projects by stage' shows bars labelled 'In draft', 'Pending approval' and 'Approved' with numbers; 'Consent position' shows one bar split into 'Agreed to all purposes', 'Agreed to some', 'Declined' and 'Withdrawn' with the caption 'Every record counted once, at its current state.'
8. Up to 8 entries, newest first, each with an event name, a time, who did it (name and role badge) and the record it concerns. No sign-in events (titles starting 'Auth ...') are listed. A 'Full audit trail' link is at the card's top right.
9. The 'Audit trail' page opens.</t>
        </is>
      </c>
      <c r="M110" s="11" t="inlineStr">
        <is>
          <t>'Needs attention' contains only DPO-actionable rows from the listed set, each row opens a filtered list that matches its count, queues and position cards render, and Recent activity shows no sign-in events and links to the full audit trail.</t>
        </is>
      </c>
      <c r="N110" s="16" t="n"/>
      <c r="O110" s="17" t="n"/>
      <c r="P110" s="16" t="inlineStr">
        <is>
          <t>Not run</t>
        </is>
      </c>
      <c r="Q110" s="16" t="n"/>
      <c r="R110" s="16" t="n"/>
    </row>
    <row r="111">
      <c r="A111" s="10" t="inlineStr">
        <is>
          <t>OVS-02</t>
        </is>
      </c>
      <c r="B111" s="11" t="inlineStr">
        <is>
          <t>Oversight and audit</t>
        </is>
      </c>
      <c r="C111" s="11" t="inlineStr">
        <is>
          <t>Administrator dashboard - lockouts are information, not tasks</t>
        </is>
      </c>
      <c r="D111" s="11" t="inlineStr">
        <is>
          <t>Dashboard - 'Needs attention', queues, recent activity</t>
        </is>
      </c>
      <c r="E111" s="11" t="inlineStr">
        <is>
          <t>Administrator on console</t>
        </is>
      </c>
      <c r="F111" s="11" t="inlineStr">
        <is>
          <t>High</t>
        </is>
      </c>
      <c r="G111" s="11" t="inlineStr">
        <is>
          <t>Positive</t>
        </is>
      </c>
      <c r="H111" s="11" t="inlineStr">
        <is>
          <t>Core</t>
        </is>
      </c>
      <c r="I111"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
- Ideally a staff account was locked out in the last 24 hours (see OVS-10 preconditions) so the 'Lockouts (24h)' queue has a row.</t>
        </is>
      </c>
      <c r="J111" s="11" t="inlineStr">
        <is>
          <t>- Email or username: admin@cmp.local (System Admin)
- Password: SeedPassw0rd!2026</t>
        </is>
      </c>
      <c r="K111" s="11" t="inlineStr">
        <is>
          <t>1. Open http://localhost:3000. Type admin@cmp.local in 'Email or username' and SeedPassw0rd!2026 in 'Password', click 'Sign in'. On the 'Verify it is you' page type the six-digit code the test coordinator relays into '6-digit code' and click 'Verify and continue'.
2. Read the line under the heading.
3. Look at 'Needs attention'.
4. Check 'Needs attention' for rows the administrator cannot act on.
5. If 'Staff invitations not yet accepted' is shown, click it.
6. Scroll to the queue cards and the 'Clear:' line.
7. Look for the cards 'Projects by stage' and 'Consent position'.
8. Look at 'Recent activity'.</t>
        </is>
      </c>
      <c r="L111" s="11" t="inlineStr">
        <is>
          <t>1. You land on the Dashboard with the heading 'Good day, System'. The top right of the header shows the person's name with the role badge 'Administrator'.
2. It reads 'Invitations waiting, access problems, grievances about the DPO, and the processor and source registry.'
3. Only these labels can appear (each only when its count is above zero): 'Staff invitations not yet accepted', 'Grievances about the DPO to review', 'Tickets addressed to you'. Otherwise the card says 'Nothing needs your attention. The queues below are clear or waiting on somebody else.'
4. There is no row about lockouts, access denials, consent withdrawals, projects, notices, or rights requests overdue.
5. The 'Users' page opens filtered to pending accounts; it lists staff whose invitation is not yet accepted and no data principals. Use Back to return. (If the row is absent, note 'no pending invitations' and continue.)
6. The queues are 'Grievances about the DPO - yours to review', 'Lockouts (24h)' and 'Suspended sources and processors' (as cards, or named in the 'Clear:' line when empty). A lockout from the last 24 hours appears as a row in 'Lockouts (24h)' with the person's readable name - here, and not in 'Needs attention'.
7. Neither card is shown to the administrator.
8. Entries are refused requests - title 'Auth access denied' with the sentence 'A request was refused by the permission matrix.' - each with who and when. A 'Full audit trail' link is at the card's top right.</t>
        </is>
      </c>
      <c r="M111" s="11" t="inlineStr">
        <is>
          <t>Administrator 'Needs attention' holds only invitations, grievances about the DPO and own tickets; lockouts appear only in the 'Lockouts (24h)' queue; no project or consent charts; Recent activity shows access denials with a 'Full audit trail' link.</t>
        </is>
      </c>
      <c r="N111" s="16" t="n"/>
      <c r="O111" s="17" t="n"/>
      <c r="P111" s="16" t="inlineStr">
        <is>
          <t>Not run</t>
        </is>
      </c>
      <c r="Q111" s="16" t="n"/>
      <c r="R111" s="16" t="n"/>
    </row>
    <row r="112">
      <c r="A112" s="10" t="inlineStr">
        <is>
          <t>OVS-03</t>
        </is>
      </c>
      <c r="B112" s="11" t="inlineStr">
        <is>
          <t>Oversight and audit</t>
        </is>
      </c>
      <c r="C112" s="11" t="inlineStr">
        <is>
          <t>DCO and RCO dashboards show their collection work and no audit link</t>
        </is>
      </c>
      <c r="D112" s="11" t="inlineStr">
        <is>
          <t>Dashboard - 'Needs attention', queues, recent activity</t>
        </is>
      </c>
      <c r="E112" s="11" t="inlineStr">
        <is>
          <t>DCO and RCO on console</t>
        </is>
      </c>
      <c r="F112" s="11" t="inlineStr">
        <is>
          <t>High</t>
        </is>
      </c>
      <c r="G112" s="11" t="inlineStr">
        <is>
          <t>Positive</t>
        </is>
      </c>
      <c r="H112" s="11" t="inlineStr">
        <is>
          <t>Core</t>
        </is>
      </c>
      <c r="I112"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t>
        </is>
      </c>
      <c r="J112" s="11" t="inlineStr">
        <is>
          <t>- dco@cmp.local (Arun Shetty)
- rco@cmp.local (Meera Iyer)
- Password: SeedPassw0rd!2026</t>
        </is>
      </c>
      <c r="K112" s="11" t="inlineStr">
        <is>
          <t>1. Open http://localhost:3000. Type dco@cmp.local in 'Email or username' and SeedPassw0rd!2026 in 'Password', click 'Sign in'. On the 'Verify it is you' page type the six-digit code the test coordinator relays into '6-digit code' and click 'Verify and continue'.
2. Read the line under the heading, then look at 'Needs attention'.
3. Check 'Needs attention' for rows belonging to other roles.
4. Find the 'Import exceptions' queue (a card, or named in the 'Clear:' line). If it is a card, click its first row.
5. Look at the 'Recent activity' card.
6. Click 'Sign out' at the bottom of the sidebar. Then sign in again as rco@cmp.local (password SeedPassw0rd!2026, code from the coordinator, 'Verify and continue').
7. Read the line under the heading and 'Needs attention'.
8. Look at the 'Recent activity' card.</t>
        </is>
      </c>
      <c r="L112" s="11" t="inlineStr">
        <is>
          <t>1. You land on the Dashboard with the heading 'Good day, Arun'. The top right of the header shows the person's name with the role badge 'Data Collection Owner'.
2. The line reads 'Your approved projects, the links collecting against them, and anything that failed to reconcile on import.' 'Needs attention' holds only rows from: 'Tickets past their date', 'Tickets addressed to you', 'Imports that did not reconcile', 'Assets with unmapped subjects' - or the sentence 'Nothing needs your attention. ...'.
3. No 'Projects pending approval', 'Rights requests overdue', 'Notice text awaiting approval', 'Staff invitations not yet accepted', lockout or 'Sites awaiting a data source' row appears.
4. The queues are 'Import exceptions' and 'Approved projects ready to collect' (as cards, or named in the 'Clear:' line). An 'Import exceptions' row names a collection and a project and says '&lt;n&gt; declared, &lt;m&gt; mapped — &lt;k&gt; unaccounted for'. Clicking it opens that collection's page (not 'Not part of your account'). Use Back to return.
5. It lists events on Arun's own projects or done by him, with no sign-in ('Auth ...') events. There is NO 'Full audit trail' link on the card, because a DCO has no audit page.
6. The Dashboard opens with the heading 'Good day, Meera' and the role badge 'R&amp;D Collection Owner'.
7. The line reads 'The collection your team runs itself — your approved projects, the links collecting against them, and anything that failed to reconcile on import.' 'Needs attention' uses the same four DCO labels only.
8. Events on Meera's projects only, no sign-in events, and no 'Full audit trail' link.</t>
        </is>
      </c>
      <c r="M112" s="11" t="inlineStr">
        <is>
          <t>Both collection owners see only their four kinds of actionable row, their own import exceptions, and a Recent activity feed without a 'Full audit trail' link.</t>
        </is>
      </c>
      <c r="N112" s="16" t="n"/>
      <c r="O112" s="17" t="n"/>
      <c r="P112" s="16" t="inlineStr">
        <is>
          <t>Not run</t>
        </is>
      </c>
      <c r="Q112" s="16" t="n"/>
      <c r="R112" s="16" t="n"/>
    </row>
    <row r="113">
      <c r="A113" s="10" t="inlineStr">
        <is>
          <t>OVS-04</t>
        </is>
      </c>
      <c r="B113" s="11" t="inlineStr">
        <is>
          <t>Oversight and audit</t>
        </is>
      </c>
      <c r="C113" s="11" t="inlineStr">
        <is>
          <t>DCO Admin and R&amp;D User dashboards show only their own queues</t>
        </is>
      </c>
      <c r="D113" s="11" t="inlineStr">
        <is>
          <t>Dashboard - 'Needs attention', queues, recent activity</t>
        </is>
      </c>
      <c r="E113" s="11" t="inlineStr">
        <is>
          <t>DCO Admin and R&amp;D User on console</t>
        </is>
      </c>
      <c r="F113" s="11" t="inlineStr">
        <is>
          <t>Medium</t>
        </is>
      </c>
      <c r="G113" s="11" t="inlineStr">
        <is>
          <t>Positive</t>
        </is>
      </c>
      <c r="H113" s="11" t="inlineStr">
        <is>
          <t>Core</t>
        </is>
      </c>
      <c r="I113"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t>
        </is>
      </c>
      <c r="J113" s="11" t="inlineStr">
        <is>
          <t>- dcoadmin@cmp.local (Nikhil Bose)
- rnd@cmp.local (Kavya Rao)
- Password: SeedPassw0rd!2026</t>
        </is>
      </c>
      <c r="K113" s="11" t="inlineStr">
        <is>
          <t>1. Open http://localhost:3000. Type dcoadmin@cmp.local in 'Email or username' and SeedPassw0rd!2026 in 'Password', click 'Sign in'. On the 'Verify it is you' page type the six-digit code the test coordinator relays into '6-digit code' and click 'Verify and continue'.
2. Read the line under the heading and look at 'Needs attention'.
3. If 'Sites awaiting a data source' is listed, click it.
4. If 'Sources without an owner' is listed, click it.
5. Look at 'Recent activity'.
6. Click 'Sign out' at the bottom of the sidebar. Then sign in again as rnd@cmp.local (password SeedPassw0rd!2026, code from the coordinator, 'Verify and continue').
7. Read the line under the heading and look at 'Needs attention'.
8. If 'Projects needing something from you' is listed, click it, then click the first row of the queue it jumps to.
9. Scroll to the bottom of the dashboard.</t>
        </is>
      </c>
      <c r="L113" s="11" t="inlineStr">
        <is>
          <t>1. You land on the Dashboard with the heading 'Good day, Nikhil'. The top right of the header shows the person's name with the role badge 'DCO Admin'.
2. The line reads 'Projects collected by a third party: which sites are still waiting for a data source, and who picks them up when you attach one.' Rows come only from: 'Tickets past their date', 'Sites awaiting a data source', 'Sources without an owner', 'Processors with no collection set up', 'Tickets addressed to you'.
3. The page scrolls down to the 'Sites awaiting a data source' queue card on the same dashboard; each row names a project and says 'Attach the data source that will collect here'.
4. The 'Data sources' page opens (not 'Not part of your account'). Use Back to return.
5. No sign-in events and no 'Full audit trail' link.
6. The Dashboard opens with the heading 'Good day, Kavya' and the role badge 'R&amp;D User'.
7. The line reads 'Your projects and what each one needs from you before it can move forward.' Rows come only from 'Projects needing something from you' and 'Tickets addressed to you'.
8. The page scrolls to the 'Needs your action' queue; rows name Kavya's draft projects with 'Upload a security approval with its proof file'. Clicking a row opens that project's page.
9. A 'Waiting for DPO review' queue lists Kavya's projects pending approval (or is named in the 'Clear:' line). 'Projects by stage' is shown (counting only Kavya's projects); there is no 'Consent position' card; 'Recent activity' has no 'Full audit trail' link.</t>
        </is>
      </c>
      <c r="M113" s="11" t="inlineStr">
        <is>
          <t>Each role sees only its own attention rows and queues, links open pages the role can use, and neither role is offered the full audit trail.</t>
        </is>
      </c>
      <c r="N113" s="16" t="n"/>
      <c r="O113" s="17" t="n"/>
      <c r="P113" s="16" t="inlineStr">
        <is>
          <t>Not run</t>
        </is>
      </c>
      <c r="Q113" s="16" t="n"/>
      <c r="R113" s="16" t="n"/>
    </row>
    <row r="114">
      <c r="A114" s="10" t="inlineStr">
        <is>
          <t>OVS-05</t>
        </is>
      </c>
      <c r="B114" s="11" t="inlineStr">
        <is>
          <t>Oversight and audit</t>
        </is>
      </c>
      <c r="C114" s="11" t="inlineStr">
        <is>
          <t>Sidebar for the DPO and the Administrator</t>
        </is>
      </c>
      <c r="D114" s="11" t="inlineStr">
        <is>
          <t>Role-based navigation</t>
        </is>
      </c>
      <c r="E114" s="11" t="inlineStr">
        <is>
          <t>DPO and Administrator on console</t>
        </is>
      </c>
      <c r="F114" s="11" t="inlineStr">
        <is>
          <t>High</t>
        </is>
      </c>
      <c r="G114" s="11" t="inlineStr">
        <is>
          <t>Positive</t>
        </is>
      </c>
      <c r="H114" s="11" t="inlineStr">
        <is>
          <t>Core</t>
        </is>
      </c>
      <c r="I114"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t>
        </is>
      </c>
      <c r="J114" s="11" t="inlineStr">
        <is>
          <t>- dpo@cmp.local (Priya Menon)
- admin@cmp.local (System Admin)
- Password: SeedPassw0rd!2026</t>
        </is>
      </c>
      <c r="K114" s="11" t="inlineStr">
        <is>
          <t>1. Open http://localhost:3000. Type dpo@cmp.local in 'Email or username' and SeedPassw0rd!2026 in 'Password', click 'Sign in'. On the 'Verify it is you' page type the six-digit code the test coordinator relays into '6-digit code' and click 'Verify and continue'.
2. Read the whole left-hand sidebar from top to bottom (section headings are shown in small capitals).
3. Click each sidebar link in turn.
4. Click 'Sign out' at the bottom of the sidebar. Then sign in again as admin@cmp.local (password SeedPassw0rd!2026, code from the coordinator, 'Verify and continue').
5. Read the whole sidebar.
6. Check what is absent for the administrator.
7. Click 'Grievances about the DPO'.
8. Click each remaining administrator link in turn.</t>
        </is>
      </c>
      <c r="L114" s="11" t="inlineStr">
        <is>
          <t>1. You land on the Dashboard with the heading 'Good day, Priya'. The top right of the header shows the person's name with the role badge 'DPO'.
2. In this order: YOUR WORK - Dashboard, Rights requests, Breaches, My tasks, Projects, Notices; GOVERNANCE - Approval documents, Purposes; CONSENT - Consents, Consent links, Collection sites; REGISTRY - Processors, Data sources; DATA MOVEMENT - Collections, Exports, Imports; OVERSIGHT - Audit trail, Users, Delegations, Message templates. There is no 'My profile' or 'Notifications' entry: 'My profile' is in the account menu (click your name at the top right) and notifications open from the bell in the header. A 'Sign out' button sits at the bottom.
3. Every link opens a page with its own heading. None shows 'We can't find that page' or 'Not part of your account'. The link for the open page is highlighted.
4. The Dashboard opens with the heading 'Good day, System' and the role badge 'Administrator'.
5. YOUR WORK - Dashboard, Users, Grievances about the DPO, Message templates, Processors, Data sources, Audit trail; OVERSIGHT - Delegations; YOU - My tasks.
6. There are no GOVERNANCE, CONSENT, REGISTRY or DATA MOVEMENT headings and no links to Projects, Approval documents, Notices, Purposes, Consents, Consent links, Collection sites, Collections, Exports or Imports. There is no 'Rights requests' link - that slot reads 'Grievances about the DPO'.
7. A page headed 'Grievances about the DPO' opens.
8. Every link opens a page with its own heading; none shows 'We can't find that page' or 'Not part of your account'.</t>
        </is>
      </c>
      <c r="M114" s="11" t="inlineStr">
        <is>
          <t>The DPO sees the 20 links listed, starting with the 'Your work' group; the Administrator sees exactly the 9 links listed, with the rights link relabelled 'Grievances about the DPO', and every link opens.</t>
        </is>
      </c>
      <c r="N114" s="16" t="n"/>
      <c r="O114" s="17" t="n"/>
      <c r="P114" s="16" t="inlineStr">
        <is>
          <t>Not run</t>
        </is>
      </c>
      <c r="Q114" s="16" t="n"/>
      <c r="R114" s="16" t="n"/>
    </row>
    <row r="115">
      <c r="A115" s="10" t="inlineStr">
        <is>
          <t>OVS-06</t>
        </is>
      </c>
      <c r="B115" s="11" t="inlineStr">
        <is>
          <t>Oversight and audit</t>
        </is>
      </c>
      <c r="C115" s="11" t="inlineStr">
        <is>
          <t>Sidebar for DCO, DCO Admin and RCO has no Audit trail</t>
        </is>
      </c>
      <c r="D115" s="11" t="inlineStr">
        <is>
          <t>Role-based navigation</t>
        </is>
      </c>
      <c r="E115" s="11" t="inlineStr">
        <is>
          <t>DCO, DCO Admin and RCO on console</t>
        </is>
      </c>
      <c r="F115" s="11" t="inlineStr">
        <is>
          <t>High</t>
        </is>
      </c>
      <c r="G115" s="11" t="inlineStr">
        <is>
          <t>Negative</t>
        </is>
      </c>
      <c r="H115" s="11" t="inlineStr">
        <is>
          <t>Core</t>
        </is>
      </c>
      <c r="I115"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t>
        </is>
      </c>
      <c r="J115" s="11" t="inlineStr">
        <is>
          <t>- dco@cmp.local (Arun Shetty)
- dcoadmin@cmp.local (Nikhil Bose)
- rco@cmp.local (Meera Iyer)
- Password: SeedPassw0rd!2026</t>
        </is>
      </c>
      <c r="K115" s="11" t="inlineStr">
        <is>
          <t>1. Open http://localhost:3000. Type dco@cmp.local in 'Email or username' and SeedPassw0rd!2026 in 'Password', click 'Sign in'. On the 'Verify it is you' page type the six-digit code the test coordinator relays into '6-digit code' and click 'Verify and continue'.
2. Read the whole sidebar.
3. Look under OVERSIGHT and the rest of the sidebar for oversight and governance links.
4. Click each sidebar link in turn.
5. Click 'Sign out' at the bottom of the sidebar. Then sign in again as dcoadmin@cmp.local (password SeedPassw0rd!2026, code from the coordinator, 'Verify and continue').
6. Read the whole sidebar and repeat the check for absent links.
7. Click 'Sign out' at the bottom of the sidebar. Then sign in again as rco@cmp.local (password SeedPassw0rd!2026, code from the coordinator, 'Verify and continue').
8. Read the whole sidebar and repeat the check for absent links.</t>
        </is>
      </c>
      <c r="L115" s="11" t="inlineStr">
        <is>
          <t>1. You land on the Dashboard with the heading 'Good day, Arun'. The top right of the header shows the person's name with the role badge 'Data Collection Owner'.
2. YOUR WORK - Dashboard, My projects, Collection sites, Consent links, My tasks, Collections; CONSENT - Consents; REGISTRY - Data sources; DATA MOVEMENT - Exports, Imports; OVERSIGHT - Delegations. 'My profile' is in the account menu and notifications open from the bell in the header.
3. OVERSIGHT holds only 'Delegations'. There is no 'Audit trail', 'Users', 'Rights requests' or 'Message templates', and no 'Approval documents', 'Notices', 'Purposes' or 'Processors' anywhere in the sidebar.
4. Every link opens a page with its own heading; none shows 'We can't find that page' or 'Not part of your account'.
5. The Dashboard opens with the heading 'Good day, Nikhil' and the role badge 'DCO Admin'.
6. YOUR WORK - Dashboard, Collection sites, Data sources, My tasks, Consent links, Projects; CONSENT - Consents; DATA MOVEMENT - Collections, Exports, Imports; OVERSIGHT - Delegations. These are the DCO's pages in a different order, and the projects link reads 'Projects' (not 'My projects'). No 'Audit trail', 'Users', 'Rights requests', 'Message templates', 'Approval documents', 'Notices', 'Purposes' or 'Processors'.
7. The Dashboard opens with the heading 'Good day, Meera' and the role badge 'R&amp;D Collection Owner'.
8. Exactly the same links, in the same order, as the DCO (including 'My projects'); no 'Audit trail' and none of the other absent links.</t>
        </is>
      </c>
      <c r="M115" s="11" t="inlineStr">
        <is>
          <t>All three collection roles see the same 11 pages, starting with their own 'Your work' group; OVERSIGHT contains only 'Delegations', and no audit, user, rights, message-template, approval, notice, purpose or processor link is offered.</t>
        </is>
      </c>
      <c r="N115" s="16" t="n"/>
      <c r="O115" s="17" t="n"/>
      <c r="P115" s="16" t="inlineStr">
        <is>
          <t>Not run</t>
        </is>
      </c>
      <c r="Q115" s="16" t="n"/>
      <c r="R115" s="16" t="n"/>
    </row>
    <row r="116">
      <c r="A116" s="10" t="inlineStr">
        <is>
          <t>OVS-07</t>
        </is>
      </c>
      <c r="B116" s="11" t="inlineStr">
        <is>
          <t>Oversight and audit</t>
        </is>
      </c>
      <c r="C116" s="11" t="inlineStr">
        <is>
          <t>Sidebar for the R&amp;D User</t>
        </is>
      </c>
      <c r="D116" s="11" t="inlineStr">
        <is>
          <t>Role-based navigation</t>
        </is>
      </c>
      <c r="E116" s="11" t="inlineStr">
        <is>
          <t>R&amp;D User on console</t>
        </is>
      </c>
      <c r="F116" s="11" t="inlineStr">
        <is>
          <t>High</t>
        </is>
      </c>
      <c r="G116" s="11" t="inlineStr">
        <is>
          <t>Positive</t>
        </is>
      </c>
      <c r="H116" s="11" t="inlineStr">
        <is>
          <t>Core</t>
        </is>
      </c>
      <c r="I116"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t>
        </is>
      </c>
      <c r="J116" s="11" t="inlineStr">
        <is>
          <t>- rnd@cmp.local (Kavya Rao)
- Password: SeedPassw0rd!2026</t>
        </is>
      </c>
      <c r="K116" s="11" t="inlineStr">
        <is>
          <t>1. Open http://localhost:3000. Type rnd@cmp.local in 'Email or username' and SeedPassw0rd!2026 in 'Password', click 'Sign in'. On the 'Verify it is you' page type the six-digit code the test coordinator relays into '6-digit code' and click 'Verify and continue'.
2. Read the whole sidebar.
3. Check what is absent.
4. Click 'Notices'.
5. Click each remaining sidebar link in turn.</t>
        </is>
      </c>
      <c r="L116" s="11" t="inlineStr">
        <is>
          <t>1. You land on the Dashboard with the heading 'Good day, Kavya'. The top right of the header shows the person's name with the role badge 'R&amp;D User'.
2. YOUR WORK - Dashboard, My projects, Approval documents, My tasks, Notices; REGISTRY - Processors; DATA MOVEMENT - Collections, Imports. 'My profile' is in the account menu and notifications open from the bell in the header.
3. There is no CONSENT heading and no OVERSIGHT heading. There are no links to Purposes, Consents, Consent links, Collection sites, Data sources, Exports, Rights requests, Audit trail, Users, Delegations or Message templates.
4. A page headed 'Notices' opens (the R&amp;D User authors notices).
5. Every link opens a page with its own heading; none shows 'We can't find that page' or 'Not part of your account'.</t>
        </is>
      </c>
      <c r="M116" s="11" t="inlineStr">
        <is>
          <t>The R&amp;D User sees exactly the 8 links listed, no Consent or Oversight section, and every link opens.</t>
        </is>
      </c>
      <c r="N116" s="16" t="n"/>
      <c r="O116" s="17" t="n"/>
      <c r="P116" s="16" t="inlineStr">
        <is>
          <t>Not run</t>
        </is>
      </c>
      <c r="Q116" s="16" t="n"/>
      <c r="R116" s="16" t="n"/>
    </row>
    <row r="117">
      <c r="A117" s="10" t="inlineStr">
        <is>
          <t>OVS-08</t>
        </is>
      </c>
      <c r="B117" s="11" t="inlineStr">
        <is>
          <t>Oversight and audit</t>
        </is>
      </c>
      <c r="C117" s="11" t="inlineStr">
        <is>
          <t>Following a link to another role's section shows 'Not part of your account'</t>
        </is>
      </c>
      <c r="D117" s="11" t="inlineStr">
        <is>
          <t>Section guard on the console</t>
        </is>
      </c>
      <c r="E117" s="11" t="inlineStr">
        <is>
          <t>DCO, R&amp;D User, Administrator and RCO on console</t>
        </is>
      </c>
      <c r="F117" s="11" t="inlineStr">
        <is>
          <t>High</t>
        </is>
      </c>
      <c r="G117" s="11" t="inlineStr">
        <is>
          <t>Negative</t>
        </is>
      </c>
      <c r="H117" s="11" t="inlineStr">
        <is>
          <t>Core</t>
        </is>
      </c>
      <c r="I117"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
- Optional: a DPO has copied an audit link from a record page (OVS-17 step 2) to paste in step 4.</t>
        </is>
      </c>
      <c r="J117" s="11" t="inlineStr">
        <is>
          <t>- dco@cmp.local
- rnd@cmp.local
- admin@cmp.local
- rco@cmp.local
- Password: SeedPassw0rd!2026
- Addresses to type: http://localhost:3000/audit, /users, /notices, /consents, /exports, /projects, /approvals</t>
        </is>
      </c>
      <c r="K117" s="11" t="inlineStr">
        <is>
          <t>1. Open http://localhost:3000. Type dco@cmp.local in 'Email or username' and SeedPassw0rd!2026 in 'Password', click 'Sign in'. On the 'Verify it is you' page type the six-digit code the test coordinator relays into '6-digit code' and click 'Verify and continue'.
2. In the browser address bar type http://localhost:3000/audit and press Enter.
3. Type http://localhost:3000/users and press Enter, then http://localhost:3000/notices.
4. Type http://localhost:3000/audit?event_group=consent (or paste the audit link a DPO copied from a record page) and press Enter.
5. Click 'Back to your dashboard'.
6. Click 'Sign out' at the bottom of the sidebar. Then sign in again as rnd@cmp.local (password SeedPassw0rd!2026, code from the coordinator, 'Verify and continue').
7. Type http://localhost:3000/consents, then http://localhost:3000/exports, then http://localhost:3000/audit.
8. Click 'Sign out' at the bottom of the sidebar. Then sign in again as admin@cmp.local (password SeedPassw0rd!2026, code from the coordinator, 'Verify and continue').
9. Type http://localhost:3000/projects, then http://localhost:3000/consents.
10. Sign out, sign in as rco@cmp.local, and type http://localhost:3000/approvals. Then type http://localhost:3000/sites.</t>
        </is>
      </c>
      <c r="L117" s="11" t="inlineStr">
        <is>
          <t>1. You land on the Dashboard with the heading 'Good day, Arun'. The top right of the header shows the person's name with the role badge 'Data Collection Owner'.
2. The sidebar and header are still shown, but the main area shows only an information box titled 'Not part of your account' with the text 'This section belongs to a different role, so there is nothing here for you. Nothing has gone wrong — the link you followed pointed at a staff console.' and a 'Back to your dashboard' button. No part of the other role's screen (no table, filters, buttons or data) is shown. There is no 'Export CSV' button, no filters and no audit entries.
3. Both show the same 'Not part of your account' box instead of the account register or the notices list.
4. The same 'Not part of your account' box; no pre-filtered entries or chips are shown.
5. Arun's Dashboard opens normally.
6. The Dashboard opens with the heading 'Good day, Kavya' and the role badge 'R&amp;D User'.
7. Each shows the 'Not part of your account' box; no consent register, export list or audit trail is shown.
8. The Dashboard opens with the heading 'Good day, System' and the role badge 'Administrator'.
9. Each shows the 'Not part of your account' box.
10. /approvals shows the 'Not part of your account' box. /sites (which IS in Meera's sidebar as 'Collection sites') opens normally - the guard only blocks sections the role does not have.</t>
        </is>
      </c>
      <c r="M117" s="11" t="inlineStr">
        <is>
          <t>Every address outside the role's sidebar shows only the 'Not part of your account' box with 'Back to your dashboard', never another role's screen or data; allowed sections still open.</t>
        </is>
      </c>
      <c r="N117" s="16" t="n"/>
      <c r="O117" s="17" t="n"/>
      <c r="P117" s="16" t="inlineStr">
        <is>
          <t>Not run</t>
        </is>
      </c>
      <c r="Q117" s="16" t="n"/>
      <c r="R117" s="16" t="n"/>
    </row>
    <row r="118">
      <c r="A118" s="10" t="inlineStr">
        <is>
          <t>OVS-09</t>
        </is>
      </c>
      <c r="B118" s="11" t="inlineStr">
        <is>
          <t>Oversight and audit</t>
        </is>
      </c>
      <c r="C118" s="11" t="inlineStr">
        <is>
          <t>DPO notifications include withdrawals and lockouts and every link opens</t>
        </is>
      </c>
      <c r="D118" s="11" t="inlineStr">
        <is>
          <t>Notifications (staff)</t>
        </is>
      </c>
      <c r="E118" s="11" t="inlineStr">
        <is>
          <t>DPO on console</t>
        </is>
      </c>
      <c r="F118" s="11" t="inlineStr">
        <is>
          <t>High</t>
        </is>
      </c>
      <c r="G118" s="11" t="inlineStr">
        <is>
          <t>Positive</t>
        </is>
      </c>
      <c r="H118" s="11" t="inlineStr">
        <is>
          <t>Core</t>
        </is>
      </c>
      <c r="I118"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
- Within the last 24 hours a staff account was locked out: the coordinator enters a wrong password five times on the console for an account nobody needs for the next 30 minutes (for example rco@cmp.local after the RCO cases are finished). The lock lifts by itself after 30 minutes.
- At least one consent withdrawal exists (as the DPO, 'Consents' with 'Status' set to 'Withdrawn' shows at least one row).</t>
        </is>
      </c>
      <c r="J118" s="11" t="inlineStr">
        <is>
          <t>- dpo@cmp.local (Priya Menon)
- Password: SeedPassw0rd!2026</t>
        </is>
      </c>
      <c r="K118" s="11" t="inlineStr">
        <is>
          <t>1. Open http://localhost:3000. Type dpo@cmp.local in 'Email or username' and SeedPassw0rd!2026 in 'Password', click 'Sign in'. On the 'Verify it is you' page type the six-digit code the test coordinator relays into '6-digit code' and click 'Verify and continue'.
2. Click the bell icon at the top right of the header (its label is 'Notifications').
3. Find an entry titled 'Consent withdrawn'.
4. Find an entry titled 'Auth login locked out' (from the precondition).
5. Click the body of the 'Consent withdrawn' entry (not the link).
6. Click 'Open consent record'.
7. Go back to 'Notifications' and click the 'Account: ...' link on the lockout entry.
8. Go back and click the record link on one entry of each other kind shown (e.g. 'Project transitioned', 'Notice published', 'Import rejected', 'Export generated', ticket events).</t>
        </is>
      </c>
      <c r="L118" s="11" t="inlineStr">
        <is>
          <t>1. You land on the Dashboard with the heading 'Good day, Priya'. The top right of the header shows the person's name with the role badge 'DPO'.
2. A page headed 'Notifications' opens with the text 'What has happened that concerns you, taken from the audit trail itself.' Entries are listed newest first; each shows an event name, how long ago, a one-line explanation, the record it concerns as a link, and 'by &lt;name&gt;'.
3. Its explanation reads 'Consent was withdrawn. The earlier record still stands as evidence of what was agreed at the time.' Its record link reads 'Consent record: &lt;person's name&gt; — &lt;project&gt;' with the name readable.
4. Its explanation reads 'An account was locked after repeated failed sign-ins.' and its record link reads 'Account: &lt;name of the locked account&gt;'.
5. A dialog titled 'Consent withdrawn' opens showing 'What', 'When', 'Who', 'About', 'Event' (consent.withdrawn) and 'Record', the note 'This entry is append-only and part of a hash chain. ...', and the buttons 'Open consent record' and 'Close'.
6. The consent record page opens, headed with the person's name and an 'All consents' back link - not 'Not part of your account' and not 'We can't find that page'.
7. The 'Users' page opens.
8. Each link opens a page the DPO can use; none shows 'Not part of your account' or 'We can't find that page'.</t>
        </is>
      </c>
      <c r="M118" s="11" t="inlineStr">
        <is>
          <t>The DPO's feed contains both consent withdrawals and lockouts, each entry opens a detail dialog, and every link opens a working page.</t>
        </is>
      </c>
      <c r="N118" s="16" t="n"/>
      <c r="O118" s="17" t="n"/>
      <c r="P118" s="16" t="inlineStr">
        <is>
          <t>Not run</t>
        </is>
      </c>
      <c r="Q118" s="16" t="n"/>
      <c r="R118" s="16" t="n"/>
    </row>
    <row r="119">
      <c r="A119" s="10" t="inlineStr">
        <is>
          <t>OVS-10</t>
        </is>
      </c>
      <c r="B119" s="11" t="inlineStr">
        <is>
          <t>Oversight and audit</t>
        </is>
      </c>
      <c r="C119" s="11" t="inlineStr">
        <is>
          <t>Administrator notifications show lockouts but not consent withdrawals</t>
        </is>
      </c>
      <c r="D119" s="11" t="inlineStr">
        <is>
          <t>Notifications (staff)</t>
        </is>
      </c>
      <c r="E119" s="11" t="inlineStr">
        <is>
          <t>Administrator on console</t>
        </is>
      </c>
      <c r="F119" s="11" t="inlineStr">
        <is>
          <t>High</t>
        </is>
      </c>
      <c r="G119" s="11" t="inlineStr">
        <is>
          <t>Negative</t>
        </is>
      </c>
      <c r="H119" s="11" t="inlineStr">
        <is>
          <t>Core</t>
        </is>
      </c>
      <c r="I119"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
- Within the last 24 hours a staff account was locked out: the coordinator enters a wrong password five times on the console for an account nobody needs for the next 30 minutes (for example rco@cmp.local after the RCO cases are finished). The lock lifts by itself after 30 minutes.
- At least one consent withdrawal exists (as the DPO, 'Consents' with 'Status' set to 'Withdrawn' shows at least one row).
- OVS-09 has confirmed that the DPO's feed shows a 'Consent withdrawn' entry.</t>
        </is>
      </c>
      <c r="J119" s="11" t="inlineStr">
        <is>
          <t>- admin@cmp.local (System Admin)
- Password: SeedPassw0rd!2026</t>
        </is>
      </c>
      <c r="K119" s="11" t="inlineStr">
        <is>
          <t>1. Open http://localhost:3000. Type admin@cmp.local in 'Email or username' and SeedPassw0rd!2026 in 'Password', click 'Sign in'. On the 'Verify it is you' page type the six-digit code the test coordinator relays into '6-digit code' and click 'Verify and continue'.
2. Click the bell icon at the top right of the header.
3. Find the 'Auth login locked out' entry for the account locked in the precondition.
4. Scroll the whole list looking for 'Consent withdrawn'.
5. Scroll the list looking for project events.
6. Click the 'Account: &lt;name&gt;' link on the lockout entry.
7. Go back, click the body of the lockout entry, then 'Close'.</t>
        </is>
      </c>
      <c r="L119" s="11" t="inlineStr">
        <is>
          <t>1. You land on the Dashboard with the heading 'Good day, System'. The top right of the header shows the person's name with the role badge 'Administrator'.
2. The 'Notifications' page opens.
3. It is listed with 'An account was locked after repeated failed sign-ins.' and the link 'Account: &lt;name&gt;'.
4. There is no 'Consent withdrawn' entry at all, even though the DPO sees one.
5. There are no 'Project transitioned', 'Notice published', 'Import rejected' or 'Export generated' entries - the administrator cannot open projects. Only lockouts and events on tickets addressed to the administrator appear (or 'Nothing to report' if none).
6. The 'Users' page opens (a page the administrator can use).
7. A dialog titled 'Auth login locked out' shows 'What', 'When', 'Who', 'Event' (auth.login_locked_out) and 'Record'; 'Close' dismisses it.</t>
        </is>
      </c>
      <c r="M119" s="11" t="inlineStr">
        <is>
          <t>The administrator sees lockouts and never consent withdrawals or project events, and the lockout link opens the Users page.</t>
        </is>
      </c>
      <c r="N119" s="16" t="n"/>
      <c r="O119" s="17" t="n"/>
      <c r="P119" s="16" t="inlineStr">
        <is>
          <t>Not run</t>
        </is>
      </c>
      <c r="Q119" s="16" t="n"/>
      <c r="R119" s="16" t="n"/>
    </row>
    <row r="120">
      <c r="A120" s="10" t="inlineStr">
        <is>
          <t>OVS-11</t>
        </is>
      </c>
      <c r="B120" s="11" t="inlineStr">
        <is>
          <t>Oversight and audit</t>
        </is>
      </c>
      <c r="C120" s="11" t="inlineStr">
        <is>
          <t>DCO and R&amp;D User notifications cover only projects they can see</t>
        </is>
      </c>
      <c r="D120" s="11" t="inlineStr">
        <is>
          <t>Notifications (staff)</t>
        </is>
      </c>
      <c r="E120" s="11" t="inlineStr">
        <is>
          <t>DCO and R&amp;D User on console</t>
        </is>
      </c>
      <c r="F120" s="11" t="inlineStr">
        <is>
          <t>High</t>
        </is>
      </c>
      <c r="G120" s="11" t="inlineStr">
        <is>
          <t>Negative</t>
        </is>
      </c>
      <c r="H120" s="11" t="inlineStr">
        <is>
          <t>Core</t>
        </is>
      </c>
      <c r="I120"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
- Within the last 24 hours a staff account was locked out: the coordinator enters a wrong password five times on the console for an account nobody needs for the next 30 minutes (for example rco@cmp.local after the RCO cases are finished). The lock lifts by itself after 30 minutes.
- At least one consent withdrawal exists (as the DPO, 'Consents' with 'Status' set to 'Withdrawn' shows at least one row).</t>
        </is>
      </c>
      <c r="J120" s="11" t="inlineStr">
        <is>
          <t>- dco@cmp.local (Arun Shetty)
- rnd@cmp.local (Kavya Rao)
- Password: SeedPassw0rd!2026</t>
        </is>
      </c>
      <c r="K120" s="11" t="inlineStr">
        <is>
          <t>1. Open http://localhost:3000. Type dco@cmp.local in 'Email or username' and SeedPassw0rd!2026 in 'Password', click 'Sign in'. On the 'Verify it is you' page type the six-digit code the test coordinator relays into '6-digit code' and click 'Verify and continue'.
2. Click the bell icon in the header to open 'Notifications', and read the list.
3. Look for 'Consent withdrawn' and 'Auth login locked out' entries.
4. Note the project named on two entries, then click 'My projects' in the sidebar.
5. Back on 'Notifications', click a 'Project: &lt;name&gt;' link, then an 'Export' link on an 'Export generated' entry (if present).
6. If a 'Notice published' entry is present, click its 'Notice: ...' link (or 'Open notice' in its dialog).
7. Click 'Sign out' at the bottom of the sidebar. Then sign in again as rnd@cmp.local (password SeedPassw0rd!2026, code from the coordinator, 'Verify and continue').
8. Click the bell icon in the header and read the 'Notifications' list.
9. Click the record link on each entry shown, including any 'Export generated' entry's 'Export' link.</t>
        </is>
      </c>
      <c r="L120" s="11" t="inlineStr">
        <is>
          <t>1. You land on the Dashboard with the heading 'Good day, Arun'. The top right of the header shows the person's name with the role badge 'Data Collection Owner'.
2. Entries are only of these kinds: 'Project transitioned', 'Notice published', 'Import rejected', 'Export generated', plus events on tickets addressed to Arun. Each names a project (or a notice, import or export on one).
3. Neither appears, although the DPO's feed shows both.
4. Both projects are in Arun's projects list - no entry concerns a project he cannot see.
5. The project page and the 'Exports' page open normally.
6. A page Arun can use opens. It must NOT show 'Not part of your account' (the rule is that no notification link leads to a page the reader cannot open). If it does, record a defect.
7. The Dashboard opens with the heading 'Good day, Kavya' and the role badge 'R&amp;D User'.
8. Only events on projects Kavya created (and her tickets); no 'Consent withdrawn' and no 'Auth login locked out'.
9. Each opens a page Kavya can use. None may show 'Not part of your account' (R&amp;D Users have no Exports section, so an export link that lands there is a defect).</t>
        </is>
      </c>
      <c r="M120" s="11" t="inlineStr">
        <is>
          <t>Scoped roles see only events on projects in their own register, never withdrawals or lockouts, and no notification link lands on 'Not part of your account'.</t>
        </is>
      </c>
      <c r="N120" s="16" t="n"/>
      <c r="O120" s="17" t="n"/>
      <c r="P120" s="16" t="inlineStr">
        <is>
          <t>Not run</t>
        </is>
      </c>
      <c r="Q120" s="16" t="n"/>
      <c r="R120" s="16" t="n"/>
    </row>
    <row r="121">
      <c r="A121" s="10" t="inlineStr">
        <is>
          <t>OVS-12</t>
        </is>
      </c>
      <c r="B121" s="11" t="inlineStr">
        <is>
          <t>Oversight and audit</t>
        </is>
      </c>
      <c r="C121" s="11" t="inlineStr">
        <is>
          <t>Filter the audit trail by area, event, actor role, record type and period</t>
        </is>
      </c>
      <c r="D121" s="11" t="inlineStr">
        <is>
          <t>Audit trail - filters and chips</t>
        </is>
      </c>
      <c r="E121" s="11" t="inlineStr">
        <is>
          <t>DPO on console</t>
        </is>
      </c>
      <c r="F121" s="11" t="inlineStr">
        <is>
          <t>High</t>
        </is>
      </c>
      <c r="G121" s="11" t="inlineStr">
        <is>
          <t>Positive</t>
        </is>
      </c>
      <c r="H121" s="11" t="inlineStr">
        <is>
          <t>Core</t>
        </is>
      </c>
      <c r="I121"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t>
        </is>
      </c>
      <c r="J121" s="11" t="inlineStr">
        <is>
          <t>- dpo@cmp.local (Priya Menon)
- Password: SeedPassw0rd!2026
- Area: Sign-in and access; Event: Access denied; Actor role: Admin; Record type: Project; From/To: today's date</t>
        </is>
      </c>
      <c r="K121" s="11" t="inlineStr">
        <is>
          <t>1. Open http://localhost:3000. Type dpo@cmp.local in 'Email or username' and SeedPassw0rd!2026 in 'Password', click 'Sign in'. On the 'Verify it is you' page type the six-digit code the test coordinator relays into '6-digit code' and click 'Verify and continue'.
2. Click 'Audit trail' under OVERSIGHT in the sidebar.
3. In 'Area' choose 'Sign-in and access'.
4. Open 'Event'.
5. Choose 'Access denied'.
6. Click the small x on the 'Event' chip. Then in 'Actor role' choose 'Admin'.
7. In 'Record type' choose 'Project'.
8. Click 'Clear all'. Then set 'From' and 'To' to today's date.
9. Copy the address from the address bar, open a new tab, paste it and press Enter.
10. Remove the 'From' chip only, using its x.</t>
        </is>
      </c>
      <c r="L121" s="11" t="inlineStr">
        <is>
          <t>1. You land on the Dashboard with the heading 'Good day, Priya'. The top right of the header shows the person's name with the role badge 'DPO'.
2. The page headed 'Audit trail' opens with the text 'Append-only and hash-chained. Nothing here can be edited or deleted by anyone, including the Privacy Office. Ask it a question: about a person, a record, an area, a period.' Buttons 'Export CSV' and 'Verify chain' are at the top right. The filter panel has 'Search', 'About', 'Name, email or mobile', 'Area', 'Event', 'Record type', 'Actor role', 'From' and 'To'. The table has the columns 'When', 'Event', 'Actor', 'About', 'Record'. There is no edit or delete control anywhere.
3. A 'Filtered by' strip appears with the chip 'Area Sign-in and access'. Every row's Event starts with 'Auth' (e.g. 'Auth login succeeded'). The address bar now contains event_group=auth.
4. The first option reads 'Every event in this area' and the list holds only sign-in and access events (e.g. 'Access denied', 'Login failed', 'Login locked out').
5. The chip changes to 'Event Access denied' (the Area chip is replaced). Every row is 'Auth access denied' with the line 'A request was refused by the permission matrix.'
6. The Event filter is removed. A chip 'Actor role Admin' appears and every row's Actor carries the badge 'Administrator'.
7. A second chip 'Record type Project' appears next to 'Actor role Admin', and a 'Clear all' button appears. Every row's Record reads 'Project: &lt;name&gt;' (or 'Nothing matches these filters' if the administrator never touched a project).
8. All earlier chips disappear. Chips 'From &lt;date&gt;' and 'To &lt;date&gt;' appear and every row's 'When' falls on today.
9. The new tab shows the same filters, the same chips and the same rows - the question can be bookmarked or shared.
10. Only the From filter is removed; the 'To' chip stays. Under the table, 'Showing &lt;n&gt; of &lt;total&gt;' and 'Previous' / 'Next' buttons page through results.</t>
        </is>
      </c>
      <c r="M121" s="11" t="inlineStr">
        <is>
          <t>Each filter narrows the rows as described, shows as a removable chip, combines with others, clears individually or all at once, and survives being shared as a URL.</t>
        </is>
      </c>
      <c r="N121" s="16" t="n"/>
      <c r="O121" s="17" t="n"/>
      <c r="P121" s="16" t="inlineStr">
        <is>
          <t>Not run</t>
        </is>
      </c>
      <c r="Q121" s="16" t="n"/>
      <c r="R121" s="16" t="n"/>
    </row>
    <row r="122">
      <c r="A122" s="10" t="inlineStr">
        <is>
          <t>OVS-13</t>
        </is>
      </c>
      <c r="B122" s="11" t="inlineStr">
        <is>
          <t>Oversight and audit</t>
        </is>
      </c>
      <c r="C122" s="11" t="inlineStr">
        <is>
          <t>About picker finds a person by part of a name or a whole email</t>
        </is>
      </c>
      <c r="D122" s="11" t="inlineStr">
        <is>
          <t>Audit trail - About picker</t>
        </is>
      </c>
      <c r="E122" s="11" t="inlineStr">
        <is>
          <t>DPO on console</t>
        </is>
      </c>
      <c r="F122" s="11" t="inlineStr">
        <is>
          <t>High</t>
        </is>
      </c>
      <c r="G122" s="11" t="inlineStr">
        <is>
          <t>Positive</t>
        </is>
      </c>
      <c r="H122" s="11" t="inlineStr">
        <is>
          <t>Core</t>
        </is>
      </c>
      <c r="I122"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
- The seeded data principal Anjali Verma (subject@cmp.local) exists and has consent events.</t>
        </is>
      </c>
      <c r="J122" s="11" t="inlineStr">
        <is>
          <t>- dpo@cmp.local (Priya Menon)
- Password: SeedPassw0rd!2026
- Search terms: 'Anj', 'Verm', 'subject@cmp.local', 'Priya', 'dco@cmp.local', part of a project name</t>
        </is>
      </c>
      <c r="K122" s="11" t="inlineStr">
        <is>
          <t>1. Open http://localhost:3000. Type dpo@cmp.local in 'Email or username' and SeedPassw0rd!2026 in 'Password', click 'Sign in'. On the 'Verify it is you' page type the six-digit code the test coordinator relays into '6-digit code' and click 'Verify and continue'.
2. Click 'Audit trail'. Open the 'About' dropdown.
3. With 'Data principal' selected, type Anj (three letters) in 'Name, email or mobile'.
4. Click 'Anjali Verma'.
5. Remove the chip. Type the middle of her surname, Verm, and pick 'Anjali Verma' again.
6. Remove the chip. Type her whole email subject@cmp.local.
7. Change 'About' to 'Member of staff' and type Priya, then pick 'Priya Menon'.
8. Still on 'Member of staff', type the whole address dco@cmp.local and pick the answer.
9. Change 'About' to 'Project'.</t>
        </is>
      </c>
      <c r="L122" s="11" t="inlineStr">
        <is>
          <t>1. You land on the Dashboard with the heading 'Good day, Priya'. The top right of the header shows the person's name with the role badge 'DPO'.
2. It offers 'Data principal', 'Member of staff', 'Consent record', 'Processor', 'Data source', 'Project', 'Notice', 'Collection site', 'Rights request'. 'Data principal' is selected and the box beside it is labelled 'Name, email or mobile' with the grey hint 'The whole address or number'.
3. A list opens under the box ('Looking…' briefly) and offers 'Anjali Verma' with 'subject@cmp.local' beneath it, both readable. Other people whose names contain those letters may also be offered.
4. The box clears. A chip 'Data principal Anjali Verma' appears under 'Filtered by', every row's 'About' column reads 'Anjali Verma', and the summary numbers change to her events only.
5. She is offered and the same chip returns - part of a name anywhere in it works.
6. 'Anjali Verma' is offered; picking her gives the same chip.
7. 'Priya Menon' is offered with the hint 'dpo'. After picking, the Data principal chip is replaced by 'Actor Priya Menon' (the two are not stacked) and every row's Actor reads 'Priya Menon' with the 'DPO' badge.
8. 'Arun Shetty' (hint 'dco') is offered; the chip becomes 'Actor Arun Shetty'.
9. The box label changes to 'Name' with the hint 'Type a few letters'. Typing part of a known project name offers matching projects with their status beneath; picking one gives a chip 'Project &lt;name&gt;'.</t>
        </is>
      </c>
      <c r="M122" s="11" t="inlineStr">
        <is>
          <t>Three letters or more of a name, or a whole email, find the person; picking sets exactly one About chip and filters the rows; names are always readable.</t>
        </is>
      </c>
      <c r="N122" s="16" t="n"/>
      <c r="O122" s="17" t="n"/>
      <c r="P122" s="16" t="inlineStr">
        <is>
          <t>Not run</t>
        </is>
      </c>
      <c r="Q122" s="16" t="n"/>
      <c r="R122" s="16" t="n"/>
    </row>
    <row r="123">
      <c r="A123" s="10" t="inlineStr">
        <is>
          <t>OVS-14</t>
        </is>
      </c>
      <c r="B123" s="11" t="inlineStr">
        <is>
          <t>Oversight and audit</t>
        </is>
      </c>
      <c r="C123" s="11" t="inlineStr">
        <is>
          <t>About picker does not match two letters or part of an email</t>
        </is>
      </c>
      <c r="D123" s="11" t="inlineStr">
        <is>
          <t>Audit trail - About picker</t>
        </is>
      </c>
      <c r="E123" s="11" t="inlineStr">
        <is>
          <t>DPO on console</t>
        </is>
      </c>
      <c r="F123" s="11" t="inlineStr">
        <is>
          <t>Medium</t>
        </is>
      </c>
      <c r="G123" s="11" t="inlineStr">
        <is>
          <t>Negative</t>
        </is>
      </c>
      <c r="H123" s="11" t="inlineStr">
        <is>
          <t>Core</t>
        </is>
      </c>
      <c r="I123"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t>
        </is>
      </c>
      <c r="J123" s="11" t="inlineStr">
        <is>
          <t>- dpo@cmp.local
- Password: SeedPassw0rd!2026
- Terms: 'An', 'subject@cmp', 'Pr', 'Anjali' (in Search)</t>
        </is>
      </c>
      <c r="K123" s="11" t="inlineStr">
        <is>
          <t>1. Open http://localhost:3000. Type dpo@cmp.local in 'Email or username' and SeedPassw0rd!2026 in 'Password', click 'Sign in'. On the 'Verify it is you' page type the six-digit code the test coordinator relays into '6-digit code' and click 'Verify and continue'.
2. Click 'Audit trail'. With 'About' set to 'Data principal', type An (two letters) in 'Name, email or mobile'.
3. Add one letter so the box reads Anj.
4. Clear the box and type part of her email: subject@cmp
5. Change 'About' to 'Member of staff' and type Pr.
6. Clear the About box. Set 'From' to 21 September 2026, type Anjali in 'Search' and click 'Search'.</t>
        </is>
      </c>
      <c r="L123" s="11" t="inlineStr">
        <is>
          <t>1. You land on the Dashboard with the heading 'Good day, Priya'. The top right of the header shows the person's name with the role badge 'DPO'.
2. The list under the box says 'Nothing by that name.' No one is offered and no filter or chip is applied. (Two letters are too few; a name needs three or more. Note: the screen does not currently say 'type more letters' - record the wording you see.)
3. 'Anjali Verma' is now offered - the control case works.
4. 'Nothing by that name.' - an email or mobile must be typed whole.
5. 'Nothing by that name.'
6. No entry is found by her name through 'Search' ('Nothing matches these filters' / 'Widen the question: remove a filter, or extend the dates.'), because Search reads event names and recorded details, which carry no names. Use About to find a person.</t>
        </is>
      </c>
      <c r="M123" s="11" t="inlineStr">
        <is>
          <t>Two-letter and partial-contact searches offer nobody and apply no filter; the free-text Search never matches a person's name.</t>
        </is>
      </c>
      <c r="N123" s="16" t="n"/>
      <c r="O123" s="17" t="n"/>
      <c r="P123" s="16" t="inlineStr">
        <is>
          <t>Not run</t>
        </is>
      </c>
      <c r="Q123" s="16" t="n"/>
      <c r="R123" s="16" t="n"/>
    </row>
    <row r="124">
      <c r="A124" s="10" t="inlineStr">
        <is>
          <t>OVS-15</t>
        </is>
      </c>
      <c r="B124" s="11" t="inlineStr">
        <is>
          <t>Oversight and audit</t>
        </is>
      </c>
      <c r="C124" s="11" t="inlineStr">
        <is>
          <t>Summary strip, opening an entry and verifying the chain</t>
        </is>
      </c>
      <c r="D124" s="11" t="inlineStr">
        <is>
          <t>Audit trail - summary, entry detail, Verify chain</t>
        </is>
      </c>
      <c r="E124" s="11" t="inlineStr">
        <is>
          <t>DPO on console</t>
        </is>
      </c>
      <c r="F124" s="11" t="inlineStr">
        <is>
          <t>Medium</t>
        </is>
      </c>
      <c r="G124" s="11" t="inlineStr">
        <is>
          <t>Positive</t>
        </is>
      </c>
      <c r="H124" s="11" t="inlineStr">
        <is>
          <t>Core</t>
        </is>
      </c>
      <c r="I124"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t>
        </is>
      </c>
      <c r="J124" s="11" t="inlineStr">
        <is>
          <t>- dpo@cmp.local
- Password: SeedPassw0rd!2026
- Area: Consent</t>
        </is>
      </c>
      <c r="K124" s="11" t="inlineStr">
        <is>
          <t>1. Open http://localhost:3000. Type dpo@cmp.local in 'Email or username' and SeedPassw0rd!2026 in 'Password', click 'Sign in'. On the 'Verify it is you' page type the six-digit code the test coordinator relays into '6-digit code' and click 'Verify and continue'.
2. Click 'Audit trail' and look at the summary card above the table (no filters set).
3. Compare 'Entries' with the line under the table.
4. In 'Area' choose 'Consent'.
5. Click any row in the table.
6. Click 'Show raw JSON', then 'Show as a list'.
7. Click 'Open consent record' in the dialog.
8. Click 'Verify chain' at the top right.</t>
        </is>
      </c>
      <c r="L124" s="11" t="inlineStr">
        <is>
          <t>1. You land on the Dashboard with the heading 'Good day, Priya'. The top right of the header shows the person's name with the role badge 'DPO'.
2. It shows 'Entries' (a number), 'Span' ('&lt;date&gt; to &lt;date&gt;'), 'Most common event' ('&lt;Area&gt;: &lt;Event&gt; (&lt;count&gt;)') and 'Areas touched' (a number), and four panels: 'By area', 'Top events', 'By actor role' and 'Last 30 days · &lt;n&gt; entries', each with bars and numbers.
3. 'Showing 50 of &lt;total&gt;' - the total equals 'Entries'.
4. The summary recalculates: 'Areas touched' is 1, 'By area' lists only 'Consent', and 'Entries' again equals the '&lt;total&gt;' under the table.
5. A dialog opens titled with the event name (e.g. 'Consent given') and shows 'What', 'When', 'Who' (a name with role badge, or 'the system — no signed-in user'), 'About' (when a person is concerned), 'Event' (a code such as consent.given) and 'Record' (a long id); a 'Recorded details' list; the note 'This entry is append-only and part of a hash chain. Nobody — including the Privacy Office — can edit or delete it; the database refuses the statement.' There is no Edit or Delete button.
6. The details switch to raw JSON text and back to the labelled list.
7. The consent record page opens. Use Back to return to the filtered audit trail.
8. A green box titled 'Chain intact' appears reading 'Chain intact across &lt;n&gt; rows.' (A red 'Chain broken' box is a defect to report immediately.)</t>
        </is>
      </c>
      <c r="M124" s="11" t="inlineStr">
        <is>
          <t>Summary figures match the list for the same filters, an entry opens read-only with a working record link, and Verify chain reports the chain intact.</t>
        </is>
      </c>
      <c r="N124" s="16" t="n"/>
      <c r="O124" s="17" t="n"/>
      <c r="P124" s="16" t="inlineStr">
        <is>
          <t>Not run</t>
        </is>
      </c>
      <c r="Q124" s="16" t="n"/>
      <c r="R124" s="16" t="n"/>
    </row>
    <row r="125">
      <c r="A125" s="10" t="inlineStr">
        <is>
          <t>OVS-16</t>
        </is>
      </c>
      <c r="B125" s="11" t="inlineStr">
        <is>
          <t>Oversight and audit</t>
        </is>
      </c>
      <c r="C125" s="11" t="inlineStr">
        <is>
          <t>Export CSV downloads the filtered rows and the export is itself recorded</t>
        </is>
      </c>
      <c r="D125" s="11" t="inlineStr">
        <is>
          <t>Audit trail - Export CSV</t>
        </is>
      </c>
      <c r="E125" s="11" t="inlineStr">
        <is>
          <t>DPO on console</t>
        </is>
      </c>
      <c r="F125" s="11" t="inlineStr">
        <is>
          <t>High</t>
        </is>
      </c>
      <c r="G125" s="11" t="inlineStr">
        <is>
          <t>Positive</t>
        </is>
      </c>
      <c r="H125" s="11" t="inlineStr">
        <is>
          <t>Core</t>
        </is>
      </c>
      <c r="I125"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
- A spreadsheet program or text editor is available to open the downloaded file.</t>
        </is>
      </c>
      <c r="J125" s="11" t="inlineStr">
        <is>
          <t>- dpo@cmp.local
- Password: SeedPassw0rd!2026
- Area: Consent</t>
        </is>
      </c>
      <c r="K125" s="11" t="inlineStr">
        <is>
          <t>1. Open http://localhost:3000. Type dpo@cmp.local in 'Email or username' and SeedPassw0rd!2026 in 'Password', click 'Sign in'. On the 'Verify it is you' page type the six-digit code the test coordinator relays into '6-digit code' and click 'Verify and continue'.
2. Click 'Audit trail', choose 'Consent' in 'Area' and note the 'Entries' number in the summary.
3. Click 'Export CSV'.
4. Open the file.
5. Search the file for '@', for a mobile number and for '127.0.0.1'.
6. Look at the actor_name and subject_name columns.
7. Back in the console click 'Clear all' (or remove the chip), then choose Area 'Audit trail' and Event 'Exported'.
8. Click that row.</t>
        </is>
      </c>
      <c r="L125" s="11" t="inlineStr">
        <is>
          <t>1. You land on the Dashboard with the heading 'Good day, Priya'. The top right of the header shows the person's name with the role badge 'DPO'.
2. Chip 'Area Consent'; the rows are consent events only.
3. A message 'Audit trail exported' appears with '&lt;audit-trail-YYYYMMDD-HHMM.csv&gt; - the download is itself recorded in the trail.' A file with that name is saved to the browser's downloads.
4. The first row holds the column names occurred_at, event_type, actor_name, actor_role, subject_name, entity_type, entity_id, entity_label, detail, log_uuid. Rows are newest first, every event_type starts 'consent.', and the number of data rows equals the 'Entries' number (up to 10,000).
5. No email address, mobile number or IP address appears anywhere in the file.
6. Names are readable (e.g. 'Anjali Verma') or blank; no cell starts with 'SE::'. If scrambled 'SE::...' text appears, record a defect quoting one cell.
7. The newest row is 'Audit exported' by 'Priya Menon' with the 'DPO' badge, timed at the moment of the download.
8. The dialog 'Audit exported' shows 'Who' Priya Menon and, under 'Recorded details', 'Rows' equal to the file's data rows and 'Filters' showing the filter used (event_group consent). 'What' shows 'audit_log#0' with the words 'no longer exists' - the export is recorded against the trail itself, which has no page of its own (note this wording as an observation, not a failure).</t>
        </is>
      </c>
      <c r="M125" s="11" t="inlineStr">
        <is>
          <t>The CSV contains exactly the filtered rows with no contacts or IP addresses, and an 'Audit exported' entry records who exported, when, how many rows and with which filters.</t>
        </is>
      </c>
      <c r="N125" s="16" t="n"/>
      <c r="O125" s="17" t="n"/>
      <c r="P125" s="16" t="inlineStr">
        <is>
          <t>Not run</t>
        </is>
      </c>
      <c r="Q125" s="16" t="n"/>
      <c r="R125" s="16" t="n"/>
    </row>
    <row r="126">
      <c r="A126" s="10" t="inlineStr">
        <is>
          <t>OVS-17</t>
        </is>
      </c>
      <c r="B126" s="11" t="inlineStr">
        <is>
          <t>Oversight and audit</t>
        </is>
      </c>
      <c r="C126" s="11" t="inlineStr">
        <is>
          <t>'Audit trail' button on a record page opens the trail pre-filtered; absent for other roles</t>
        </is>
      </c>
      <c r="D126" s="11" t="inlineStr">
        <is>
          <t>Audit trail - record-page button</t>
        </is>
      </c>
      <c r="E126" s="11" t="inlineStr">
        <is>
          <t>DPO, then DCO and R&amp;D User on console</t>
        </is>
      </c>
      <c r="F126" s="11" t="inlineStr">
        <is>
          <t>High</t>
        </is>
      </c>
      <c r="G126" s="11" t="inlineStr">
        <is>
          <t>Positive</t>
        </is>
      </c>
      <c r="H126" s="11" t="inlineStr">
        <is>
          <t>Core</t>
        </is>
      </c>
      <c r="I126"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
- At least one consent record, project, notice and rights request exist.</t>
        </is>
      </c>
      <c r="J126" s="11" t="inlineStr">
        <is>
          <t>- dpo@cmp.local
- dco@cmp.local
- rnd@cmp.local
- Password: SeedPassw0rd!2026</t>
        </is>
      </c>
      <c r="K126" s="11" t="inlineStr">
        <is>
          <t>1. Open http://localhost:3000. Type dpo@cmp.local in 'Email or username' and SeedPassw0rd!2026 in 'Password', click 'Sign in'. On the 'Verify it is you' page type the six-digit code the test coordinator relays into '6-digit code' and click 'Verify and continue'.
2. Click 'Consents' and click a person's name in the 'Data subject' column (e.g. Anjali Verma).
3. Click 'Audit trail'. Copy the address bar for OVS-08.
4. Click 'Projects', open any project and click its 'Audit trail' button (next to the status badge).
5. Click 'Notices', open a notice and click 'Audit trail'.
6. Click 'Rights requests', open a request by its 'Reference' and click 'Audit trail'.
7. Click 'Sign out' at the bottom of the sidebar. Then sign in again as dco@cmp.local (password SeedPassw0rd!2026, code from the coordinator, 'Verify and continue').
8. Click 'Consents', open a record, then open a project from 'My projects'.
9. Sign out, sign in as rnd@cmp.local and open one of Kavya's projects.</t>
        </is>
      </c>
      <c r="L126" s="11" t="inlineStr">
        <is>
          <t>1. You land on the Dashboard with the heading 'Good day, Priya'. The top right of the header shows the person's name with the role badge 'DPO'.
2. The consent record opens, headed with the person's readable name, '&lt;project&gt; · &lt;site&gt;' underneath, a status badge and an 'Audit trail' button at the top right.
3. The Audit trail page opens with the chip 'Consent record &lt;name&gt; — &lt;project&gt;'. The rows are only events on that record (e.g. 'Consent given'); each Record cell reads 'Consent record: &lt;name&gt; — &lt;project&gt;'; the summary counts only them.
4. The trail opens with the chip 'Project &lt;project name&gt;' and events such as 'Project created' or 'Project transitioned'.
5. The trail opens with the chip 'Notice &lt;code&gt; v&lt;version&gt;'.
6. The trail opens with the chip 'Rights request &lt;reference&gt;'.
7. The Dashboard opens with the heading 'Good day, Arun' and the role badge 'Data Collection Owner'.
8. Both pages open, but neither shows an 'Audit trail' button (a DCO has no audit section).
9. The project page has no 'Audit trail' button.</t>
        </is>
      </c>
      <c r="M126" s="11" t="inlineStr">
        <is>
          <t>On consent, project, notice and rights-request pages the DPO's 'Audit trail' button opens the trail filtered to that record; DCO and R&amp;D User pages show no such button.</t>
        </is>
      </c>
      <c r="N126" s="16" t="n"/>
      <c r="O126" s="17" t="n"/>
      <c r="P126" s="16" t="inlineStr">
        <is>
          <t>Not run</t>
        </is>
      </c>
      <c r="Q126" s="16" t="n"/>
      <c r="R126" s="16" t="n"/>
    </row>
    <row r="127">
      <c r="A127" s="10" t="inlineStr">
        <is>
          <t>OVS-18</t>
        </is>
      </c>
      <c r="B127" s="11" t="inlineStr">
        <is>
          <t>Oversight and audit</t>
        </is>
      </c>
      <c r="C127" s="11" t="inlineStr">
        <is>
          <t>The audit trail carries no personal words - reasons flagged, addresses hashed</t>
        </is>
      </c>
      <c r="D127" s="11" t="inlineStr">
        <is>
          <t>Audit trail - no erasable data (ADR 0015)</t>
        </is>
      </c>
      <c r="E127" s="11" t="inlineStr">
        <is>
          <t>DPO on console</t>
        </is>
      </c>
      <c r="F127" s="11" t="inlineStr">
        <is>
          <t>High</t>
        </is>
      </c>
      <c r="G127" s="11" t="inlineStr">
        <is>
          <t>Negative</t>
        </is>
      </c>
      <c r="H127" s="11" t="inlineStr">
        <is>
          <t>Core</t>
        </is>
      </c>
      <c r="I127"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
- Since 21 September 2026 at least one project has changed stage, one staff invitation was sent and, ideally, one cover (delegation) was granted. Rows before that date may still hold raw addresses by design, so always filter from 21 September 2026.</t>
        </is>
      </c>
      <c r="J127" s="11" t="inlineStr">
        <is>
          <t>- dpo@cmp.local
- Password: SeedPassw0rd!2026
- From: 21 September 2026
- Search terms: 127.0.0.1, subject@cmp.local, @cmp.local</t>
        </is>
      </c>
      <c r="K127" s="11" t="inlineStr">
        <is>
          <t>1. Open http://localhost:3000. Type dpo@cmp.local in 'Email or username' and SeedPassw0rd!2026 in 'Password', click 'Sign in'. On the 'Verify it is you' page type the six-digit code the test coordinator relays into '6-digit code' and click 'Verify and continue'.
2. Click 'Audit trail' and set 'From' to 21 September 2026. Look at the table columns.
3. Choose Area 'Projects', Event 'Transitioned', and click the newest row.
4. Click 'Show raw JSON' and read it.
5. Change to Area 'Accounts', Event 'Invited', and open the newest row; click 'Show raw JSON'.
6. Clear the Area and Event filters (keep From). Type 127.0.0.1 in 'Search' and click 'Search'.
7. Search for subject@cmp.local, then for @cmp.local.
8. If entries exist, choose Area 'Delegation', Event 'Granted', open the newest row and click 'Open cover arrangement'.</t>
        </is>
      </c>
      <c r="L127" s="11" t="inlineStr">
        <is>
          <t>1. You land on the Dashboard with the heading 'Good day, Priya'. The top right of the header shows the person's name with the role badge 'DPO'.
2. The columns are 'When', 'Event', 'Actor', 'About', 'Record' - there is no IP address column.
3. 'Recorded details' lists 'From', 'To', 'Reason given' (a 'yes' or 'no' badge) and 'Published notice'. The words of any reason are not shown anywhere in the dialog.
4. It shows "reason_given": true or false - no free-text reason. If an "ip" line is present its value is a long string of letters and digits (a keyed hash), never an address like 127.0.0.1 or 192.168.x.x. Close the dialog.
5. No email address appears in the details; the person is identified only through 'Who' / 'About' and the record link.
6. 'Nothing matches these filters'.
7. 'Nothing matches these filters' both times - no contact is written into the trail.
8. The details show 'Reason given' yes/no and no reason text. The button opens the 'Delegations' page. If it shows 'We can't find that page', record a defect.</t>
        </is>
      </c>
      <c r="M127" s="11" t="inlineStr">
        <is>
          <t>Entries from 21 September 2026 carry no reason text, no email or mobile, and no readable IP address; reasons appear only as 'Reason given' yes/no.</t>
        </is>
      </c>
      <c r="N127" s="16" t="n"/>
      <c r="O127" s="17" t="n"/>
      <c r="P127" s="16" t="inlineStr">
        <is>
          <t>Not run</t>
        </is>
      </c>
      <c r="Q127" s="16" t="n"/>
      <c r="R127" s="16" t="n"/>
    </row>
    <row r="128">
      <c r="A128" s="10" t="inlineStr">
        <is>
          <t>OVS-19</t>
        </is>
      </c>
      <c r="B128" s="11" t="inlineStr">
        <is>
          <t>Oversight and audit</t>
        </is>
      </c>
      <c r="C128" s="11" t="inlineStr">
        <is>
          <t>Personal data is never shown as scrambled 'SE::' text on staff screens</t>
        </is>
      </c>
      <c r="D128" s="11" t="inlineStr">
        <is>
          <t>Data protection on screen (sealed values opened for display)</t>
        </is>
      </c>
      <c r="E128" s="11" t="inlineStr">
        <is>
          <t>DPO, Administrator and DCO on console</t>
        </is>
      </c>
      <c r="F128" s="11" t="inlineStr">
        <is>
          <t>High</t>
        </is>
      </c>
      <c r="G128" s="11" t="inlineStr">
        <is>
          <t>Negative</t>
        </is>
      </c>
      <c r="H128" s="11" t="inlineStr">
        <is>
          <t>Core</t>
        </is>
      </c>
      <c r="I128"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t>
        </is>
      </c>
      <c r="J128" s="11" t="inlineStr">
        <is>
          <t>- dpo@cmp.local
- admin@cmp.local
- dco@cmp.local
- Password: SeedPassw0rd!2026</t>
        </is>
      </c>
      <c r="K128" s="11" t="inlineStr">
        <is>
          <t>1. Open http://localhost:3000. Type dpo@cmp.local in 'Email or username' and SeedPassw0rd!2026 in 'Password', click 'Sign in'. On the 'Verify it is you' page type the six-digit code the test coordinator relays into '6-digit code' and click 'Verify and continue'.
2. Click 'Users' and read the 'Name' column (wait for the table to finish loading).
3. Click 'Consents' and read the 'Data subject' column, including the email shown under each name.
4. Click 'Rights requests' and read the 'Who' column; open one request.
5. Click 'Audit trail'; read the 'Actor', 'About' and 'Record' columns; type Anj in the About box and read the offered names; open one entry.
6. Click 'Dashboard' and read the queue rows and 'Recent activity'.
7. Click 'Sign out' at the bottom of the sidebar. Then sign in again as admin@cmp.local (password SeedPassw0rd!2026, code from the coordinator, 'Verify and continue').
8. Click 'Users', click 'Edit' on any row, read 'Full name', 'Email' and 'Mobile', then close the dialog without saving.
9. Sign out, sign in as dco@cmp.local, click 'Consents' and open one record.</t>
        </is>
      </c>
      <c r="L128" s="11" t="inlineStr">
        <is>
          <t>1. You land on the Dashboard with the heading 'Good day, Priya'. The top right of the header shows the person's name with the role badge 'DPO'.
2. Every name is readable (e.g. 'Priya Menon', 'Anjali Verma'); no text starting 'SE::' appears anywhere on the page.
3. Names and emails are readable; no 'SE::' text.
4. Names and the request's details are readable; no 'SE::' text.
5. All names, emails and record labels are readable in the table, the About list and the dialog; no 'SE::' text.
6. People's names are readable; no 'SE::' text.
7. The Dashboard opens with the heading 'Good day, System' and the role badge 'Administrator'.
8. The 'Edit account' form is filled with the readable name and a readable email and/or mobile; no field contains 'SE::'.
9. The register and the record's heading show the person's readable name; no 'SE::' text.</t>
        </is>
      </c>
      <c r="M128" s="11" t="inlineStr">
        <is>
          <t>On every screen visited, names, emails and mobiles display as readable text; the string 'SE::' never appears.</t>
        </is>
      </c>
      <c r="N128" s="16" t="n"/>
      <c r="O128" s="17" t="n"/>
      <c r="P128" s="16" t="inlineStr">
        <is>
          <t>Not run</t>
        </is>
      </c>
      <c r="Q128" s="16" t="n"/>
      <c r="R128" s="16" t="n"/>
    </row>
    <row r="129">
      <c r="A129" s="10" t="inlineStr">
        <is>
          <t>OVS-20</t>
        </is>
      </c>
      <c r="B129" s="11" t="inlineStr">
        <is>
          <t>Oversight and audit</t>
        </is>
      </c>
      <c r="C129" s="11" t="inlineStr">
        <is>
          <t>Data principal's portal notifications show only her own events and open her own pages</t>
        </is>
      </c>
      <c r="D129" s="11" t="inlineStr">
        <is>
          <t>Updates - notifications (data principal portal)</t>
        </is>
      </c>
      <c r="E129" s="11" t="inlineStr">
        <is>
          <t>Data principal on portal</t>
        </is>
      </c>
      <c r="F129" s="11" t="inlineStr">
        <is>
          <t>High</t>
        </is>
      </c>
      <c r="G129" s="11" t="inlineStr">
        <is>
          <t>Positive</t>
        </is>
      </c>
      <c r="H129" s="11" t="inlineStr">
        <is>
          <t>Core</t>
        </is>
      </c>
      <c r="I129" s="11" t="inlineStr">
        <is>
          <t>- Use a fresh private/incognito browser window in which nobody is signed in to the console or the portal (both sites share one sign-in on this machine).
- The test coordinator can read the test outbox and relay the six-digit sign-in code.
- The portal is running at http://localhost:3001.
- Anjali Verma (subject@cmp.local) has at least one consent and ideally a rights request.</t>
        </is>
      </c>
      <c r="J129" s="11" t="inlineStr">
        <is>
          <t>- Email address: subject@cmp.local (Anjali Verma)</t>
        </is>
      </c>
      <c r="K129" s="11" t="inlineStr">
        <is>
          <t>1. Open http://localhost:3001/sign-in. Under 'Sign in with' choose 'Email', type subject@cmp.local in 'Email address' and click 'Send me a code'.
2. Type the code the test coordinator relays and click 'Verify'.
3. Click 'Updates'.
4. Check the list for events that are not hers to see.
5. Click the body of a 'Consent given' entry.
6. Click 'Open consent record'.
7. Back on 'Updates', click the record link on a rights request entry (if present) and on a 'Subject registered' entry ('Account: Anjali Verma' / 'Open account').
8. Type http://localhost:3001/users in the address bar, then http://localhost:3001/audit.</t>
        </is>
      </c>
      <c r="L129" s="11" t="inlineStr">
        <is>
          <t>1. A 'Check your messages' notice appears and a 'Six-digit code' box is shown.
2. The 'My consents' page opens. The sidebar shows YOUR DATA - 'My consents', 'My requests', 'My nominations' and 'Updates', and nothing else; 'My profile' is in the account menu under her name at the top right.
3. The page 'Updates' opens with 'What has happened that concerns you, taken from the audit trail itself.' Entries are about Anjali only, e.g. 'Consent given', 'Consent withdrawn', 'Notice served', 'Subject registered', 'Rights request received'. If there are none it says 'Nothing to report'.
4. No sign-in events ('Auth ...'), no 'Project transitioned', no office working on her request (e.g. 'Rights ticket issued', 'Rights holders derived') and no events about other people.
5. A dialog shows 'What' ('Consent record: Anjali Verma — &lt;project&gt;'), 'When', 'Who', 'Event' (consent.given) and 'Record', with an 'Open consent record' button. All names are readable; no 'SE::' text.
6. The 'My consents' page on the portal opens - not a staff page and not 'Not part of your account'.
7. The request link opens 'My requests'. The account link opens her own account page ('My profile'). If either shows 'We can't find that page', record a defect.
8. Both show the portal's 404 page, headed 'We can't find that page', with the buttons 'Go to My consents' and 'Your rights' - no staff screen exists on the portal.</t>
        </is>
      </c>
      <c r="M129" s="11" t="inlineStr">
        <is>
          <t>The data principal's feed contains only her own permitted events, entries open with readable details, every link lands on her own portal pages, and staff URLs do not exist on the portal.</t>
        </is>
      </c>
      <c r="N129" s="16" t="n"/>
      <c r="O129" s="17" t="n"/>
      <c r="P129" s="16" t="inlineStr">
        <is>
          <t>Not run</t>
        </is>
      </c>
      <c r="Q129" s="16" t="n"/>
      <c r="R129" s="16" t="n"/>
    </row>
    <row r="130">
      <c r="A130" s="10" t="inlineStr">
        <is>
          <t>OVS-21</t>
        </is>
      </c>
      <c r="B130" s="11" t="inlineStr">
        <is>
          <t>Oversight and audit</t>
        </is>
      </c>
      <c r="C130" s="11" t="inlineStr">
        <is>
          <t>Find your way: the command palette, breadcrumb, account menu, foldable sidebar and folding cards</t>
        </is>
      </c>
      <c r="D130" s="11" t="inlineStr">
        <is>
          <t>Console navigation (command palette, header, sidebar)</t>
        </is>
      </c>
      <c r="E130" s="11" t="inlineStr">
        <is>
          <t>DPO on console</t>
        </is>
      </c>
      <c r="F130" s="11" t="inlineStr">
        <is>
          <t>Medium</t>
        </is>
      </c>
      <c r="G130" s="11" t="inlineStr">
        <is>
          <t>Positive</t>
        </is>
      </c>
      <c r="H130" s="11" t="inlineStr">
        <is>
          <t>Core</t>
        </is>
      </c>
      <c r="I130"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t>
        </is>
      </c>
      <c r="J130" s="11" t="inlineStr">
        <is>
          <t>- Account: dpo@cmp.local (Priya Menon)</t>
        </is>
      </c>
      <c r="K130" s="11" t="inlineStr">
        <is>
          <t>1. Open http://localhost:3000. Type dpo@cmp.local in 'Email or username' and SeedPassw0rd!2026 in 'Password', click 'Sign in'. On the 'Verify it is you' page type the six-digit code the test coordinator relays into '6-digit code' and click 'Verify and continue'.
2. Click 'Projects' in the sidebar and look to the right of the logo in the header.
3. Press Ctrl+K (⌘K on a Mac), or click 'Jump to page…'. Type 'aud'.
4. Press Enter.
5. Open the box again (Ctrl+K / ⌘K) without typing.
6. Click Priya's name at the top right of the header.
7. In the sidebar click the heading 'GOVERNANCE', then click it again.
8. Click 'Collapse sidebar' at the bottom of the sidebar, then reload the page.
9. Open 'Rights requests', open any request, and click the card 'Clock and path'.</t>
        </is>
      </c>
      <c r="L130" s="11" t="inlineStr">
        <is>
          <t>1. You land on the Dashboard with the heading 'Good day, Priya'. The top right of the header shows the person's name with the role badge 'DPO'.
2. A breadcrumb reads 'Governance › Projects'. In the header are a box 'Jump to page…' showing ⌘K (on a Mac) or Ctrl K, a help (?) button, a bell, and Priya's name with the 'DPO' badge and her initials.
3. A search box opens over the page ('Search pages and actions…'). Typing narrows the list to 'Audit trail' under the heading 'Oversight'. The footer reads '↑ ↓ to move', '↵ to open', 'Esc to close'.
4. The 'Audit trail' page opens and the box closes. The breadcrumb reads 'Oversight › Audit trail'.
5. A 'Recent' group lists the pages just visited (for example 'Projects'), but not the page you are on. An 'Actions' group offers 'Open the help manual', 'Switch to dark theme' and 'Sign out'. Type 'zzz': it says 'Nothing matches “zzz”'. Press Esc to close it.
6. An account menu opens showing 'Priya Menon' and 'DPO', then 'My profile', 'Help manual', 'Switch to dark theme' and 'Sign out'. Press Esc: it closes and nothing else changes.
7. The first click folds away 'Approval documents' and 'Purposes'; the second brings them back. The group holding the page you are on cannot be folded away.
8. The sidebar becomes a narrow strip of icons (hovering an icon shows its name) and stays that way after the reload. Click 'Expand sidebar' to restore it.
9. The card folds to its heading, so the working cards below move up. Clicking it again unfolds it. On a project page, the 'History' card folds the same way and shows its number of entries.</t>
        </is>
      </c>
      <c r="M130" s="11" t="inlineStr">
        <is>
          <t>Pages can be reached from the keyboard through the command palette; the breadcrumb shows where you are; the account menu offers profile, help, theme and sign-out; sidebar groups and the long reference cards fold away and are remembered.</t>
        </is>
      </c>
      <c r="N130" s="16" t="n"/>
      <c r="O130" s="17" t="n"/>
      <c r="P130" s="16" t="inlineStr">
        <is>
          <t>Not run</t>
        </is>
      </c>
      <c r="Q130" s="16" t="n"/>
      <c r="R130" s="16" t="n"/>
    </row>
    <row r="131">
      <c r="A131" s="10" t="inlineStr">
        <is>
          <t>OVS-22</t>
        </is>
      </c>
      <c r="B131" s="11" t="inlineStr">
        <is>
          <t>Oversight and audit</t>
        </is>
      </c>
      <c r="C131" s="11" t="inlineStr">
        <is>
          <t>The help manual opens from the sign-in page, the header and the command palette, and follows your role</t>
        </is>
      </c>
      <c r="D131" s="11" t="inlineStr">
        <is>
          <t>Help manual (console and portal)</t>
        </is>
      </c>
      <c r="E131" s="11" t="inlineStr">
        <is>
          <t>Anyone on console and portal; DCO on console</t>
        </is>
      </c>
      <c r="F131" s="11" t="inlineStr">
        <is>
          <t>Medium</t>
        </is>
      </c>
      <c r="G131" s="11" t="inlineStr">
        <is>
          <t>Positive</t>
        </is>
      </c>
      <c r="H131" s="11" t="inlineStr">
        <is>
          <t>Core</t>
        </is>
      </c>
      <c r="I131" s="11" t="inlineStr">
        <is>
          <t>- Use a fresh private/incognito browser window in which nobody is signed in to the console or the portal (both sites share one sign-in on this machine).
- The test coordinator can read the test outbox and relay the six-digit sign-in code.</t>
        </is>
      </c>
      <c r="J131" s="11" t="inlineStr">
        <is>
          <t>- Account: dco@cmp.local (Arun Shetty)
- Search word: export</t>
        </is>
      </c>
      <c r="K131" s="11" t="inlineStr">
        <is>
          <t>1. Open http://localhost:3000/sign-in and click 'Read the help manual' under the form ('New here, or stuck?').
2. In the table of contents click '16 Rights requests'.
3. Type 'export' in 'Search the manual'.
4. Scroll to the end of the manual.
5. Sign in to the console as dco@cmp.local (SeedPassw0rd!2026 and the relayed code). Click the help (?) button in the header.
6. Choose 'Every role' in the role box. Then click 'Back to where you were', press Ctrl+K (⌘K) and choose 'Open the help manual'.
7. Open http://localhost:3001/sign-in and click 'Help manual' next to 'Your rights and how to exercise them'.
8. Narrow the browser window to phone width (or use a phone) and look at the portal manual.</t>
        </is>
      </c>
      <c r="L131" s="11" t="inlineStr">
        <is>
          <t>1. The page 'COMPASS CMP Manual' opens without signing in, with a search box, an 'Every role' choice, '24 sections', a numbered 'Table of contents' and a 'Sign in' button at the top right.
2. The page scrolls to section 16 'Rights requests', whose badges read 'DPO' and 'Administrator'. Its numbered steps show the screen's own words in grey label boxes, for example 'Confirm classification'.
3. Only sections that mention exports remain, and the line under the box reads '8 of 24 sections mentioning “export”' (Exports, Purposes, Processors, the audit trail and others). Clicking the × clears it.
4. A panel 'Have any questions? Contact us' shows the Privacy Office's email address and response time, and says to ask your administrator about sign-in or role problems.
5. The manual opens already set to 'For the DCO', reading '15 of 24 sections for the DCO'. Section numbers keep their places (for example 8, 12, 13, 14). The top-right button now reads 'Back to where you were'.
6. 'Every role' shows all 24 sections. The command palette opens the manual again.
7. The page 'Consent Portal Manual' opens without signing in, with 15 sections written for data principals (creating an account, giving consent through a link, withdrawing, requests, nominations) and no role choice.
8. The table of contents folds into a 'Table of contents · 15' bar above the sections; opening it lists them. Nothing is cut off at the side.</t>
        </is>
      </c>
      <c r="M131" s="11" t="inlineStr">
        <is>
          <t>Both manuals open without signing in and from the places that link to them; the console manual follows the reader's role and can show every section; search narrows the sections; the manual ends with the Privacy Office's contact.</t>
        </is>
      </c>
      <c r="N131" s="16" t="n"/>
      <c r="O131" s="17" t="n"/>
      <c r="P131" s="16" t="inlineStr">
        <is>
          <t>Not run</t>
        </is>
      </c>
      <c r="Q131" s="16" t="n"/>
      <c r="R131" s="16" t="n"/>
    </row>
  </sheetData>
  <autoFilter ref="A1:R131"/>
  <conditionalFormatting sqref="P2:P131">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P2:P131" showDropDown="0" showInputMessage="0" showErrorMessage="0" allowBlank="1" errorTitle="Not a status" error="Choose one of: Not run, Pass, Fail, Blocked" type="list">
      <formula1>"Not run,Pass,Fail,Blocked"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013"/>
  <sheetViews>
    <sheetView zoomScale="100" workbookViewId="0">
      <pane xSplit="3" ySplit="1" topLeftCell="D2" activePane="bottomRight" state="frozen"/>
      <selection pane="topRight"/>
      <selection pane="bottomLeft"/>
      <selection pane="bottomRight" activeCell="A1" sqref="A1"/>
    </sheetView>
  </sheetViews>
  <sheetFormatPr baseColWidth="8" defaultRowHeight="15"/>
  <cols>
    <col width="9" customWidth="1" min="1" max="1"/>
    <col width="34" customWidth="1" min="2" max="2"/>
    <col width="6" customWidth="1" min="3" max="3"/>
    <col width="62" customWidth="1" min="4" max="4"/>
    <col width="62" customWidth="1" min="5" max="5"/>
    <col width="11" customWidth="1" min="6" max="6"/>
    <col width="40" customWidth="1" min="7" max="7"/>
  </cols>
  <sheetData>
    <row r="1">
      <c r="A1" s="9" t="inlineStr">
        <is>
          <t>Case ID</t>
        </is>
      </c>
      <c r="B1" s="9" t="inlineStr">
        <is>
          <t>Case title</t>
        </is>
      </c>
      <c r="C1" s="9" t="inlineStr">
        <is>
          <t>Step</t>
        </is>
      </c>
      <c r="D1" s="9" t="inlineStr">
        <is>
          <t>Action</t>
        </is>
      </c>
      <c r="E1" s="9" t="inlineStr">
        <is>
          <t>Expected result</t>
        </is>
      </c>
      <c r="F1" s="9" t="inlineStr">
        <is>
          <t>Step result</t>
        </is>
      </c>
      <c r="G1" s="9" t="inlineStr">
        <is>
          <t>Actual / notes</t>
        </is>
      </c>
    </row>
    <row r="2">
      <c r="A2" s="10" t="inlineStr">
        <is>
          <t>ACC-01</t>
        </is>
      </c>
      <c r="B2" s="11" t="inlineStr">
        <is>
          <t>Sign in to the console with password and email code</t>
        </is>
      </c>
      <c r="C2" s="11" t="n">
        <v>1</v>
      </c>
      <c r="D2" s="11" t="inlineStr">
        <is>
          <t>Open http://localhost:3000 in the browser.</t>
        </is>
      </c>
      <c r="E2" s="11" t="inlineStr">
        <is>
          <t>You are taken to the page headed 'Sign in' with the text 'Sign in with your password, then the code sent to your email.' It shows the fields 'Email or username' and 'Password', a 'Sign in' button, a 'Forgotten your password?' link and, at the bottom, a 'Go to the consent portal' link.</t>
        </is>
      </c>
      <c r="F2" s="16" t="n"/>
      <c r="G2" s="16" t="n"/>
    </row>
    <row r="3">
      <c r="A3" s="10" t="inlineStr">
        <is>
          <t>ACC-01</t>
        </is>
      </c>
      <c r="B3" s="11" t="inlineStr">
        <is>
          <t>Sign in to the console with password and email code</t>
        </is>
      </c>
      <c r="C3" s="11" t="n">
        <v>2</v>
      </c>
      <c r="D3" s="11" t="inlineStr">
        <is>
          <t>Type dpo@cmp.local in 'Email or username' and SeedPassw0rd!2026 in 'Password', then click 'Sign in'.</t>
        </is>
      </c>
      <c r="E3" s="11" t="inlineStr">
        <is>
          <t>The page changes to 'Verify it is you' with the text 'Your role requires a second factor. We have sent a 6-digit code to your registered email.' There is a '6-digit code' box, a 'Verify and continue' button, a 'Send a new code' link and a 'Start over' link.</t>
        </is>
      </c>
      <c r="F3" s="16" t="n"/>
      <c r="G3" s="16" t="n"/>
    </row>
    <row r="4">
      <c r="A4" s="10" t="inlineStr">
        <is>
          <t>ACC-01</t>
        </is>
      </c>
      <c r="B4" s="11" t="inlineStr">
        <is>
          <t>Sign in to the console with password and email code</t>
        </is>
      </c>
      <c r="C4" s="11" t="n">
        <v>3</v>
      </c>
      <c r="D4" s="11" t="inlineStr">
        <is>
          <t>Without typing a code, look at the 'Verify and continue' button. Then type only 3 digits into '6-digit code'.</t>
        </is>
      </c>
      <c r="E4" s="11" t="inlineStr">
        <is>
          <t>'Verify and continue' stays greyed out (disabled) until exactly six digits are entered. Letters typed into the box are ignored.</t>
        </is>
      </c>
      <c r="F4" s="16" t="n"/>
      <c r="G4" s="16" t="n"/>
    </row>
    <row r="5">
      <c r="A5" s="10" t="inlineStr">
        <is>
          <t>ACC-01</t>
        </is>
      </c>
      <c r="B5" s="11" t="inlineStr">
        <is>
          <t>Sign in to the console with password and email code</t>
        </is>
      </c>
      <c r="C5" s="11" t="n">
        <v>4</v>
      </c>
      <c r="D5" s="11" t="inlineStr">
        <is>
          <t>Ask the test coordinator for the code sent to dpo@cmp.local (from the test outbox). Clear the box, type the six-digit code into '6-digit code' and click 'Verify and continue'. Do this within 5 minutes of step 2.</t>
        </is>
      </c>
      <c r="E5" s="11" t="inlineStr">
        <is>
          <t>You are signed in and land on the Dashboard. The page heading reads 'Good day, Priya'.</t>
        </is>
      </c>
      <c r="F5" s="16" t="n"/>
      <c r="G5" s="16" t="n"/>
    </row>
    <row r="6">
      <c r="A6" s="10" t="inlineStr">
        <is>
          <t>ACC-01</t>
        </is>
      </c>
      <c r="B6" s="11" t="inlineStr">
        <is>
          <t>Sign in to the console with password and email code</t>
        </is>
      </c>
      <c r="C6" s="11" t="n">
        <v>5</v>
      </c>
      <c r="D6" s="11" t="inlineStr">
        <is>
          <t>Look at the top right of the header.</t>
        </is>
      </c>
      <c r="E6" s="11" t="inlineStr">
        <is>
          <t>The header shows the name 'Priya Menon' with a 'DPO' role badge and the initials 'PM'.</t>
        </is>
      </c>
      <c r="F6" s="16" t="n"/>
      <c r="G6" s="16" t="n"/>
    </row>
    <row r="7">
      <c r="A7" s="10" t="inlineStr">
        <is>
          <t>ACC-01</t>
        </is>
      </c>
      <c r="B7" s="11" t="inlineStr">
        <is>
          <t>Sign in to the console with password and email code</t>
        </is>
      </c>
      <c r="C7" s="11" t="n">
        <v>6</v>
      </c>
      <c r="D7" s="11" t="inlineStr">
        <is>
          <t>Look at the left-hand sidebar.</t>
        </is>
      </c>
      <c r="E7" s="11" t="inlineStr">
        <is>
          <t>The sidebar starts with the group 'Your work' - 'Dashboard', 'Rights requests', 'Breaches', 'My tasks', 'Projects', 'Notices' - followed by the groups Governance, Consent, Registry, Data movement and Oversight. Under Oversight there are 'Audit trail', 'Users', 'Delegations' and 'Message templates'. 'My profile' is not in the sidebar (it is in the account menu under your name at the top right), and notifications open from the bell in the header. A 'Sign out' button is at the bottom of the sidebar.</t>
        </is>
      </c>
      <c r="F7" s="16" t="n"/>
      <c r="G7" s="16" t="n"/>
    </row>
    <row r="8">
      <c r="A8" s="10" t="inlineStr">
        <is>
          <t>ACC-02</t>
        </is>
      </c>
      <c r="B8" s="11" t="inlineStr">
        <is>
          <t>Check each staff role lands on its own dashboard and menu</t>
        </is>
      </c>
      <c r="C8" s="11" t="n">
        <v>1</v>
      </c>
      <c r="D8" s="11" t="inlineStr">
        <is>
          <t>Open http://localhost:3000/sign-in. Type dco@cmp.local in 'Email or username' and SeedPassw0rd!2026 in 'Password' and click 'Sign in'.</t>
        </is>
      </c>
      <c r="E8" s="11" t="inlineStr">
        <is>
          <t>The 'Verify it is you' page appears: the DCO also needs the second factor.</t>
        </is>
      </c>
      <c r="F8" s="16" t="n"/>
      <c r="G8" s="16" t="n"/>
    </row>
    <row r="9">
      <c r="A9" s="10" t="inlineStr">
        <is>
          <t>ACC-02</t>
        </is>
      </c>
      <c r="B9" s="11" t="inlineStr">
        <is>
          <t>Check each staff role lands on its own dashboard and menu</t>
        </is>
      </c>
      <c r="C9" s="11" t="n">
        <v>2</v>
      </c>
      <c r="D9" s="11" t="inlineStr">
        <is>
          <t>Ask the test coordinator for the code sent to dco@cmp.local (from the test outbox), type it into '6-digit code' and click 'Verify and continue'.</t>
        </is>
      </c>
      <c r="E9" s="11" t="inlineStr">
        <is>
          <t>The Dashboard opens with the heading 'Good day, Arun'. The header shows 'Arun Shetty' with the role badge 'Data Collection Owner'.</t>
        </is>
      </c>
      <c r="F9" s="16" t="n"/>
      <c r="G9" s="16" t="n"/>
    </row>
    <row r="10">
      <c r="A10" s="10" t="inlineStr">
        <is>
          <t>ACC-02</t>
        </is>
      </c>
      <c r="B10" s="11" t="inlineStr">
        <is>
          <t>Check each staff role lands on its own dashboard and menu</t>
        </is>
      </c>
      <c r="C10" s="11" t="n">
        <v>3</v>
      </c>
      <c r="D10" s="11" t="inlineStr">
        <is>
          <t>Read the sidebar menu from top to bottom.</t>
        </is>
      </c>
      <c r="E10" s="11" t="inlineStr">
        <is>
          <t>The menu shows exactly: Your work - Dashboard, My projects, Collection sites, Consent links, My tasks, Collections; Consent - Consents; Registry - Data sources; Data movement - Exports, Imports; Oversight - Delegations. There is no 'Approval documents', 'Notices', 'Purposes', 'Audit trail', 'Users' or 'Message templates'.</t>
        </is>
      </c>
      <c r="F10" s="16" t="n"/>
      <c r="G10" s="16" t="n"/>
    </row>
    <row r="11">
      <c r="A11" s="10" t="inlineStr">
        <is>
          <t>ACC-02</t>
        </is>
      </c>
      <c r="B11" s="11" t="inlineStr">
        <is>
          <t>Check each staff role lands on its own dashboard and menu</t>
        </is>
      </c>
      <c r="C11" s="11" t="n">
        <v>4</v>
      </c>
      <c r="D11" s="11" t="inlineStr">
        <is>
          <t>In the address bar, open http://localhost:3000/users.</t>
        </is>
      </c>
      <c r="E11" s="11" t="inlineStr">
        <is>
          <t>The users register is not shown. The sidebar stays, and the page shows a notice titled 'Not part of your account' reading 'This section belongs to a different role, so there is nothing here for you.' with a 'Back to your dashboard' button.</t>
        </is>
      </c>
      <c r="F11" s="16" t="n"/>
      <c r="G11" s="16" t="n"/>
    </row>
    <row r="12">
      <c r="A12" s="10" t="inlineStr">
        <is>
          <t>ACC-02</t>
        </is>
      </c>
      <c r="B12" s="11" t="inlineStr">
        <is>
          <t>Check each staff role lands on its own dashboard and menu</t>
        </is>
      </c>
      <c r="C12" s="11" t="n">
        <v>5</v>
      </c>
      <c r="D12" s="11" t="inlineStr">
        <is>
          <t>Click 'Sign out' at the bottom of the sidebar.</t>
        </is>
      </c>
      <c r="E12" s="11" t="inlineStr">
        <is>
          <t>You are returned to the 'Sign in' page.</t>
        </is>
      </c>
      <c r="F12" s="16" t="n"/>
      <c r="G12" s="16" t="n"/>
    </row>
    <row r="13">
      <c r="A13" s="10" t="inlineStr">
        <is>
          <t>ACC-02</t>
        </is>
      </c>
      <c r="B13" s="11" t="inlineStr">
        <is>
          <t>Check each staff role lands on its own dashboard and menu</t>
        </is>
      </c>
      <c r="C13" s="11" t="n">
        <v>6</v>
      </c>
      <c r="D13" s="11" t="inlineStr">
        <is>
          <t>Sign in as admin@cmp.local with SeedPassw0rd!2026, then enter the code the test coordinator gives you for admin@cmp.local (from the test outbox) and click 'Verify and continue'.</t>
        </is>
      </c>
      <c r="E13" s="11" t="inlineStr">
        <is>
          <t>The Dashboard opens with the heading 'Good day, System'. The header shows 'System Admin' with the role badge 'Administrator'.</t>
        </is>
      </c>
      <c r="F13" s="16" t="n"/>
      <c r="G13" s="16" t="n"/>
    </row>
    <row r="14">
      <c r="A14" s="10" t="inlineStr">
        <is>
          <t>ACC-02</t>
        </is>
      </c>
      <c r="B14" s="11" t="inlineStr">
        <is>
          <t>Check each staff role lands on its own dashboard and menu</t>
        </is>
      </c>
      <c r="C14" s="11" t="n">
        <v>7</v>
      </c>
      <c r="D14" s="11" t="inlineStr">
        <is>
          <t>Read the sidebar menu.</t>
        </is>
      </c>
      <c r="E14" s="11" t="inlineStr">
        <is>
          <t>The menu shows: Your work - Dashboard, Users, Grievances about the DPO, Message templates, Processors, Data sources, Audit trail; Oversight - Delegations; You - My tasks. There is no 'Projects', 'Consents' or 'Consent links'. The rights item is labelled 'Grievances about the DPO', not 'Rights requests'.</t>
        </is>
      </c>
      <c r="F14" s="16" t="n"/>
      <c r="G14" s="16" t="n"/>
    </row>
    <row r="15">
      <c r="A15" s="10" t="inlineStr">
        <is>
          <t>ACC-02</t>
        </is>
      </c>
      <c r="B15" s="11" t="inlineStr">
        <is>
          <t>Check each staff role lands on its own dashboard and menu</t>
        </is>
      </c>
      <c r="C15" s="11" t="n">
        <v>8</v>
      </c>
      <c r="D15" s="11" t="inlineStr">
        <is>
          <t>Click 'Sign out'.</t>
        </is>
      </c>
      <c r="E15" s="11" t="inlineStr">
        <is>
          <t>You are returned to the 'Sign in' page.</t>
        </is>
      </c>
      <c r="F15" s="16" t="n"/>
      <c r="G15" s="16" t="n"/>
    </row>
    <row r="16">
      <c r="A16" s="10" t="inlineStr">
        <is>
          <t>ACC-03</t>
        </is>
      </c>
      <c r="B16" s="11" t="inlineStr">
        <is>
          <t>Refuse a wrong password without saying which part was wrong</t>
        </is>
      </c>
      <c r="C16" s="11" t="n">
        <v>1</v>
      </c>
      <c r="D16" s="11" t="inlineStr">
        <is>
          <t>Open http://localhost:3000/sign-in and click 'Sign in' without typing anything.</t>
        </is>
      </c>
      <c r="E16" s="11" t="inlineStr">
        <is>
          <t>The form is not sent. Under 'Email or username' the message 'Enter your email address or username' appears, and under 'Password' the message 'Enter your password' appears.</t>
        </is>
      </c>
      <c r="F16" s="16" t="n"/>
      <c r="G16" s="16" t="n"/>
    </row>
    <row r="17">
      <c r="A17" s="10" t="inlineStr">
        <is>
          <t>ACC-03</t>
        </is>
      </c>
      <c r="B17" s="11" t="inlineStr">
        <is>
          <t>Refuse a wrong password without saying which part was wrong</t>
        </is>
      </c>
      <c r="C17" s="11" t="n">
        <v>2</v>
      </c>
      <c r="D17" s="11" t="inlineStr">
        <is>
          <t>Type dpo@cmp.local in 'Email or username' and WrongPassword!1 in 'Password'. Click 'Sign in'.</t>
        </is>
      </c>
      <c r="E17" s="11" t="inlineStr">
        <is>
          <t>You stay on the 'Sign in' page. A red banner above the fields reads 'Those credentials are not valid'. No code page is shown.</t>
        </is>
      </c>
      <c r="F17" s="16" t="n"/>
      <c r="G17" s="16" t="n"/>
    </row>
    <row r="18">
      <c r="A18" s="10" t="inlineStr">
        <is>
          <t>ACC-03</t>
        </is>
      </c>
      <c r="B18" s="11" t="inlineStr">
        <is>
          <t>Refuse a wrong password without saying which part was wrong</t>
        </is>
      </c>
      <c r="C18" s="11" t="n">
        <v>3</v>
      </c>
      <c r="D18" s="11" t="inlineStr">
        <is>
          <t>Change 'Email or username' to nobody-here@cmp.local, type SeedPassw0rd!2026 in 'Password' and click 'Sign in'.</t>
        </is>
      </c>
      <c r="E18" s="11" t="inlineStr">
        <is>
          <t>The same red banner 'Those credentials are not valid' appears. The message does not say that the account does not exist.</t>
        </is>
      </c>
      <c r="F18" s="16" t="n"/>
      <c r="G18" s="16" t="n"/>
    </row>
    <row r="19">
      <c r="A19" s="10" t="inlineStr">
        <is>
          <t>ACC-03</t>
        </is>
      </c>
      <c r="B19" s="11" t="inlineStr">
        <is>
          <t>Refuse a wrong password without saying which part was wrong</t>
        </is>
      </c>
      <c r="C19" s="11" t="n">
        <v>4</v>
      </c>
      <c r="D19" s="11" t="inlineStr">
        <is>
          <t>Change 'Email or username' to subject@cmp.local, type SeedPassw0rd!2026 in 'Password' and click 'Sign in'.</t>
        </is>
      </c>
      <c r="E19" s="11" t="inlineStr">
        <is>
          <t>The same red banner 'Those credentials are not valid' appears. A data principal cannot sign in to the console.</t>
        </is>
      </c>
      <c r="F19" s="16" t="n"/>
      <c r="G19" s="16" t="n"/>
    </row>
    <row r="20">
      <c r="A20" s="10" t="inlineStr">
        <is>
          <t>ACC-03</t>
        </is>
      </c>
      <c r="B20" s="11" t="inlineStr">
        <is>
          <t>Refuse a wrong password without saying which part was wrong</t>
        </is>
      </c>
      <c r="C20" s="11" t="n">
        <v>5</v>
      </c>
      <c r="D20" s="11" t="inlineStr">
        <is>
          <t>Now type dpo@cmp.local with the correct password SeedPassw0rd!2026 and click 'Sign in'.</t>
        </is>
      </c>
      <c r="E20" s="11" t="inlineStr">
        <is>
          <t>The 'Verify it is you' code page appears, showing that the earlier failures did not block a correct sign-in. (You can click 'Start over' to stop here.)</t>
        </is>
      </c>
      <c r="F20" s="16" t="n"/>
      <c r="G20" s="16" t="n"/>
    </row>
    <row r="21">
      <c r="A21" s="10" t="inlineStr">
        <is>
          <t>ACC-04</t>
        </is>
      </c>
      <c r="B21" s="11" t="inlineStr">
        <is>
          <t>Refuse a wrong or replaced sign-in code on the console</t>
        </is>
      </c>
      <c r="C21" s="11" t="n">
        <v>1</v>
      </c>
      <c r="D21" s="11" t="inlineStr">
        <is>
          <t>Open http://localhost:3000/sign-in, sign in with dpo@cmp.local and SeedPassw0rd!2026 and click 'Sign in'.</t>
        </is>
      </c>
      <c r="E21" s="11" t="inlineStr">
        <is>
          <t>The 'Verify it is you' page appears.</t>
        </is>
      </c>
      <c r="F21" s="16" t="n"/>
      <c r="G21" s="16" t="n"/>
    </row>
    <row r="22">
      <c r="A22" s="10" t="inlineStr">
        <is>
          <t>ACC-04</t>
        </is>
      </c>
      <c r="B22" s="11" t="inlineStr">
        <is>
          <t>Refuse a wrong or replaced sign-in code on the console</t>
        </is>
      </c>
      <c r="C22" s="11" t="n">
        <v>2</v>
      </c>
      <c r="D22" s="11" t="inlineStr">
        <is>
          <t>Type 000000 into '6-digit code' and click 'Verify and continue'.</t>
        </is>
      </c>
      <c r="E22" s="11" t="inlineStr">
        <is>
          <t>You stay on the code page. A red banner reads 'Invalid or expired code'.</t>
        </is>
      </c>
      <c r="F22" s="16" t="n"/>
      <c r="G22" s="16" t="n"/>
    </row>
    <row r="23">
      <c r="A23" s="10" t="inlineStr">
        <is>
          <t>ACC-04</t>
        </is>
      </c>
      <c r="B23" s="11" t="inlineStr">
        <is>
          <t>Refuse a wrong or replaced sign-in code on the console</t>
        </is>
      </c>
      <c r="C23" s="11" t="n">
        <v>3</v>
      </c>
      <c r="D23" s="11" t="inlineStr">
        <is>
          <t>Ask the test coordinator for the code sent to dpo@cmp.local (from the test outbox) and write it down as Code A. Do not enter it yet. Click 'Send a new code'.</t>
        </is>
      </c>
      <c r="E23" s="11" t="inlineStr">
        <is>
          <t>The link briefly reads 'Sending…', then a blue banner reads 'A new code has been sent. The previous one no longer works.' The code box is emptied.</t>
        </is>
      </c>
      <c r="F23" s="16" t="n"/>
      <c r="G23" s="16" t="n"/>
    </row>
    <row r="24">
      <c r="A24" s="10" t="inlineStr">
        <is>
          <t>ACC-04</t>
        </is>
      </c>
      <c r="B24" s="11" t="inlineStr">
        <is>
          <t>Refuse a wrong or replaced sign-in code on the console</t>
        </is>
      </c>
      <c r="C24" s="11" t="n">
        <v>4</v>
      </c>
      <c r="D24" s="11" t="inlineStr">
        <is>
          <t>Type Code A into '6-digit code' and click 'Verify and continue'.</t>
        </is>
      </c>
      <c r="E24" s="11" t="inlineStr">
        <is>
          <t>The old code is refused with the red banner 'Invalid or expired code'.</t>
        </is>
      </c>
      <c r="F24" s="16" t="n"/>
      <c r="G24" s="16" t="n"/>
    </row>
    <row r="25">
      <c r="A25" s="10" t="inlineStr">
        <is>
          <t>ACC-04</t>
        </is>
      </c>
      <c r="B25" s="11" t="inlineStr">
        <is>
          <t>Refuse a wrong or replaced sign-in code on the console</t>
        </is>
      </c>
      <c r="C25" s="11" t="n">
        <v>5</v>
      </c>
      <c r="D25" s="11" t="inlineStr">
        <is>
          <t>Click 'Start over'.</t>
        </is>
      </c>
      <c r="E25" s="11" t="inlineStr">
        <is>
          <t>You are back on the 'Sign in' page with the password form.</t>
        </is>
      </c>
      <c r="F25" s="16" t="n"/>
      <c r="G25" s="16" t="n"/>
    </row>
    <row r="26">
      <c r="A26" s="10" t="inlineStr">
        <is>
          <t>ACC-04</t>
        </is>
      </c>
      <c r="B26" s="11" t="inlineStr">
        <is>
          <t>Refuse a wrong or replaced sign-in code on the console</t>
        </is>
      </c>
      <c r="C26" s="11" t="n">
        <v>6</v>
      </c>
      <c r="D26" s="11" t="inlineStr">
        <is>
          <t>Sign in again with dpo@cmp.local and SeedPassw0rd!2026, ask the test coordinator for the newest code sent to dpo@cmp.local (from the test outbox), type it and click 'Verify and continue'.</t>
        </is>
      </c>
      <c r="E26" s="11" t="inlineStr">
        <is>
          <t>The newest code is accepted and the Dashboard opens with 'Good day, Priya'.</t>
        </is>
      </c>
      <c r="F26" s="16" t="n"/>
      <c r="G26" s="16" t="n"/>
    </row>
    <row r="27">
      <c r="A27" s="10" t="inlineStr">
        <is>
          <t>ACC-05</t>
        </is>
      </c>
      <c r="B27" s="11" t="inlineStr">
        <is>
          <t>Lock a staff account after five wrong passwords</t>
        </is>
      </c>
      <c r="C27" s="11" t="n">
        <v>1</v>
      </c>
      <c r="D27" s="11" t="inlineStr">
        <is>
          <t>Open http://localhost:3000/sign-in. Type rnd@cmp.local and NotThePassword!9 and click 'Sign in'.</t>
        </is>
      </c>
      <c r="E27" s="11" t="inlineStr">
        <is>
          <t>Red banner: 'Those credentials are not valid'.</t>
        </is>
      </c>
      <c r="F27" s="16" t="n"/>
      <c r="G27" s="16" t="n"/>
    </row>
    <row r="28">
      <c r="A28" s="10" t="inlineStr">
        <is>
          <t>ACC-05</t>
        </is>
      </c>
      <c r="B28" s="11" t="inlineStr">
        <is>
          <t>Lock a staff account after five wrong passwords</t>
        </is>
      </c>
      <c r="C28" s="11" t="n">
        <v>2</v>
      </c>
      <c r="D28" s="11" t="inlineStr">
        <is>
          <t>Repeat the same wrong attempt three more times (attempts 2, 3 and 4).</t>
        </is>
      </c>
      <c r="E28" s="11" t="inlineStr">
        <is>
          <t>Each time the red banner reads 'Those credentials are not valid'.</t>
        </is>
      </c>
      <c r="F28" s="16" t="n"/>
      <c r="G28" s="16" t="n"/>
    </row>
    <row r="29">
      <c r="A29" s="10" t="inlineStr">
        <is>
          <t>ACC-05</t>
        </is>
      </c>
      <c r="B29" s="11" t="inlineStr">
        <is>
          <t>Lock a staff account after five wrong passwords</t>
        </is>
      </c>
      <c r="C29" s="11" t="n">
        <v>3</v>
      </c>
      <c r="D29" s="11" t="inlineStr">
        <is>
          <t>Make a fifth attempt with the same wrong password.</t>
        </is>
      </c>
      <c r="E29" s="11" t="inlineStr">
        <is>
          <t>The red banner still reads 'Those credentials are not valid' (the lock is set now, but this answer does not reveal it).</t>
        </is>
      </c>
      <c r="F29" s="16" t="n"/>
      <c r="G29" s="16" t="n"/>
    </row>
    <row r="30">
      <c r="A30" s="10" t="inlineStr">
        <is>
          <t>ACC-05</t>
        </is>
      </c>
      <c r="B30" s="11" t="inlineStr">
        <is>
          <t>Lock a staff account after five wrong passwords</t>
        </is>
      </c>
      <c r="C30" s="11" t="n">
        <v>4</v>
      </c>
      <c r="D30" s="11" t="inlineStr">
        <is>
          <t>Now type the correct password SeedPassw0rd!2026 for rnd@cmp.local and click 'Sign in'.</t>
        </is>
      </c>
      <c r="E30" s="11" t="inlineStr">
        <is>
          <t>Sign-in is refused even with the correct password. The red banner reads 'Too many failed attempts. Try again later. Try again in about 30 minutes.' (the number of minutes may be slightly lower). No code page is shown.</t>
        </is>
      </c>
      <c r="F30" s="16" t="n"/>
      <c r="G30" s="16" t="n"/>
    </row>
    <row r="31">
      <c r="A31" s="10" t="inlineStr">
        <is>
          <t>ACC-05</t>
        </is>
      </c>
      <c r="B31" s="11" t="inlineStr">
        <is>
          <t>Lock a staff account after five wrong passwords</t>
        </is>
      </c>
      <c r="C31" s="11" t="n">
        <v>5</v>
      </c>
      <c r="D31" s="11" t="inlineStr">
        <is>
          <t>Wait until the 30-minute lock has passed (or ask the test coordinator to confirm it has expired), then sign in with rnd@cmp.local and SeedPassw0rd!2026.</t>
        </is>
      </c>
      <c r="E31" s="11" t="inlineStr">
        <is>
          <t>The 'Verify it is you' code page appears; the lock has lifted by itself without an administrator.</t>
        </is>
      </c>
      <c r="F31" s="16" t="n"/>
      <c r="G31" s="16" t="n"/>
    </row>
    <row r="32">
      <c r="A32" s="10" t="inlineStr">
        <is>
          <t>ACC-06</t>
        </is>
      </c>
      <c r="B32" s="11" t="inlineStr">
        <is>
          <t>Sign out of the console and confirm the session has ended</t>
        </is>
      </c>
      <c r="C32" s="11" t="n">
        <v>1</v>
      </c>
      <c r="D32" s="11" t="inlineStr">
        <is>
          <t>Check the header after signing in.</t>
        </is>
      </c>
      <c r="E32" s="11" t="inlineStr">
        <is>
          <t>The Dashboard shows 'Good day, Nikhil' and the header shows 'Nikhil Bose' with the role badge 'DCO Admin'.</t>
        </is>
      </c>
      <c r="F32" s="16" t="n"/>
      <c r="G32" s="16" t="n"/>
    </row>
    <row r="33">
      <c r="A33" s="10" t="inlineStr">
        <is>
          <t>ACC-06</t>
        </is>
      </c>
      <c r="B33" s="11" t="inlineStr">
        <is>
          <t>Sign out of the console and confirm the session has ended</t>
        </is>
      </c>
      <c r="C33" s="11" t="n">
        <v>2</v>
      </c>
      <c r="D33" s="11" t="inlineStr">
        <is>
          <t>Click 'Data sources' in the sidebar.</t>
        </is>
      </c>
      <c r="E33" s="11" t="inlineStr">
        <is>
          <t>The Data sources page opens.</t>
        </is>
      </c>
      <c r="F33" s="16" t="n"/>
      <c r="G33" s="16" t="n"/>
    </row>
    <row r="34">
      <c r="A34" s="10" t="inlineStr">
        <is>
          <t>ACC-06</t>
        </is>
      </c>
      <c r="B34" s="11" t="inlineStr">
        <is>
          <t>Sign out of the console and confirm the session has ended</t>
        </is>
      </c>
      <c r="C34" s="11" t="n">
        <v>3</v>
      </c>
      <c r="D34" s="11" t="inlineStr">
        <is>
          <t>Click 'Sign out' at the bottom of the sidebar.</t>
        </is>
      </c>
      <c r="E34" s="11" t="inlineStr">
        <is>
          <t>You are taken to the 'Sign in' page.</t>
        </is>
      </c>
      <c r="F34" s="16" t="n"/>
      <c r="G34" s="16" t="n"/>
    </row>
    <row r="35">
      <c r="A35" s="10" t="inlineStr">
        <is>
          <t>ACC-06</t>
        </is>
      </c>
      <c r="B35" s="11" t="inlineStr">
        <is>
          <t>Sign out of the console and confirm the session has ended</t>
        </is>
      </c>
      <c r="C35" s="11" t="n">
        <v>4</v>
      </c>
      <c r="D35" s="11" t="inlineStr">
        <is>
          <t>Click the browser's Back button.</t>
        </is>
      </c>
      <c r="E35" s="11" t="inlineStr">
        <is>
          <t>The Data sources page is not shown again with data; you end up on the 'Sign in' page.</t>
        </is>
      </c>
      <c r="F35" s="16" t="n"/>
      <c r="G35" s="16" t="n"/>
    </row>
    <row r="36">
      <c r="A36" s="10" t="inlineStr">
        <is>
          <t>ACC-06</t>
        </is>
      </c>
      <c r="B36" s="11" t="inlineStr">
        <is>
          <t>Sign out of the console and confirm the session has ended</t>
        </is>
      </c>
      <c r="C36" s="11" t="n">
        <v>5</v>
      </c>
      <c r="D36" s="11" t="inlineStr">
        <is>
          <t>Type http://localhost:3000/dashboard into the address bar and press Enter.</t>
        </is>
      </c>
      <c r="E36" s="11" t="inlineStr">
        <is>
          <t>You are sent to the 'Sign in' page (the address now contains 'next='), not to the dashboard.</t>
        </is>
      </c>
      <c r="F36" s="16" t="n"/>
      <c r="G36" s="16" t="n"/>
    </row>
    <row r="37">
      <c r="A37" s="10" t="inlineStr">
        <is>
          <t>ACC-07</t>
        </is>
      </c>
      <c r="B37" s="11" t="inlineStr">
        <is>
          <t>Follow a link while signed out and return to it after sign-in</t>
        </is>
      </c>
      <c r="C37" s="11" t="n">
        <v>1</v>
      </c>
      <c r="D37" s="11" t="inlineStr">
        <is>
          <t>Type http://localhost:3000/purposes into the address bar and press Enter.</t>
        </is>
      </c>
      <c r="E37" s="11" t="inlineStr">
        <is>
          <t>No Purposes data is shown. You are taken to the 'Sign in' page and the address contains 'next=' followed by '/purposes' (shown as %2Fpurposes).</t>
        </is>
      </c>
      <c r="F37" s="16" t="n"/>
      <c r="G37" s="16" t="n"/>
    </row>
    <row r="38">
      <c r="A38" s="10" t="inlineStr">
        <is>
          <t>ACC-07</t>
        </is>
      </c>
      <c r="B38" s="11" t="inlineStr">
        <is>
          <t>Follow a link while signed out and return to it after sign-in</t>
        </is>
      </c>
      <c r="C38" s="11" t="n">
        <v>2</v>
      </c>
      <c r="D38" s="11" t="inlineStr">
        <is>
          <t>Sign in with dpo@cmp.local and SeedPassw0rd!2026 and click 'Sign in'.</t>
        </is>
      </c>
      <c r="E38" s="11" t="inlineStr">
        <is>
          <t>The 'Verify it is you' page appears and its address still carries 'next=' for purposes.</t>
        </is>
      </c>
      <c r="F38" s="16" t="n"/>
      <c r="G38" s="16" t="n"/>
    </row>
    <row r="39">
      <c r="A39" s="10" t="inlineStr">
        <is>
          <t>ACC-07</t>
        </is>
      </c>
      <c r="B39" s="11" t="inlineStr">
        <is>
          <t>Follow a link while signed out and return to it after sign-in</t>
        </is>
      </c>
      <c r="C39" s="11" t="n">
        <v>3</v>
      </c>
      <c r="D39" s="11" t="inlineStr">
        <is>
          <t>Enter the code the test coordinator gives you for dpo@cmp.local (from the test outbox) and click 'Verify and continue'.</t>
        </is>
      </c>
      <c r="E39" s="11" t="inlineStr">
        <is>
          <t>You land directly on the page headed 'Purposes', not on the Dashboard.</t>
        </is>
      </c>
      <c r="F39" s="16" t="n"/>
      <c r="G39" s="16" t="n"/>
    </row>
    <row r="40">
      <c r="A40" s="10" t="inlineStr">
        <is>
          <t>ACC-07</t>
        </is>
      </c>
      <c r="B40" s="11" t="inlineStr">
        <is>
          <t>Follow a link while signed out and return to it after sign-in</t>
        </is>
      </c>
      <c r="C40" s="11" t="n">
        <v>4</v>
      </c>
      <c r="D40" s="11" t="inlineStr">
        <is>
          <t>While still signed in, type http://localhost:3000/sign-in into the address bar and press Enter.</t>
        </is>
      </c>
      <c r="E40" s="11" t="inlineStr">
        <is>
          <t>The sign-in form does not stay on screen; you are sent straight to the Dashboard ('Good day, Priya').</t>
        </is>
      </c>
      <c r="F40" s="16" t="n"/>
      <c r="G40" s="16" t="n"/>
    </row>
    <row r="41">
      <c r="A41" s="10" t="inlineStr">
        <is>
          <t>ACC-07</t>
        </is>
      </c>
      <c r="B41" s="11" t="inlineStr">
        <is>
          <t>Follow a link while signed out and return to it after sign-in</t>
        </is>
      </c>
      <c r="C41" s="11" t="n">
        <v>5</v>
      </c>
      <c r="D41" s="11" t="inlineStr">
        <is>
          <t>In the same window, open http://localhost:3001/my-consents (the data principal portal).</t>
        </is>
      </c>
      <c r="E41" s="11" t="inlineStr">
        <is>
          <t>The portal shows a page headed 'This portal is for data principals' with the text 'You are signed in as Priya Menon, a staff account. Your console is a separate site.' and the buttons 'Go to the staff console' and 'Sign out'.</t>
        </is>
      </c>
      <c r="F41" s="16" t="n"/>
      <c r="G41" s="16" t="n"/>
    </row>
    <row r="42">
      <c r="A42" s="10" t="inlineStr">
        <is>
          <t>ACC-07</t>
        </is>
      </c>
      <c r="B42" s="11" t="inlineStr">
        <is>
          <t>Follow a link while signed out and return to it after sign-in</t>
        </is>
      </c>
      <c r="C42" s="11" t="n">
        <v>6</v>
      </c>
      <c r="D42" s="11" t="inlineStr">
        <is>
          <t>Click 'Go to the staff console'.</t>
        </is>
      </c>
      <c r="E42" s="11" t="inlineStr">
        <is>
          <t>The console opens and shows the Dashboard, still signed in.</t>
        </is>
      </c>
      <c r="F42" s="16" t="n"/>
      <c r="G42" s="16" t="n"/>
    </row>
    <row r="43">
      <c r="A43" s="10" t="inlineStr">
        <is>
          <t>ACC-07</t>
        </is>
      </c>
      <c r="B43" s="11" t="inlineStr">
        <is>
          <t>Follow a link while signed out and return to it after sign-in</t>
        </is>
      </c>
      <c r="C43" s="11" t="n">
        <v>7</v>
      </c>
      <c r="D43" s="11" t="inlineStr">
        <is>
          <t>Click 'Sign out' in the sidebar. Then type http://localhost:3000/sign-in/verify into the address bar and press Enter.</t>
        </is>
      </c>
      <c r="E43" s="11" t="inlineStr">
        <is>
          <t>With no sign-in in progress, the code page does not stay on screen; you are taken to the 'Sign in' page.</t>
        </is>
      </c>
      <c r="F43" s="16" t="n"/>
      <c r="G43" s="16" t="n"/>
    </row>
    <row r="44">
      <c r="A44" s="10" t="inlineStr">
        <is>
          <t>ACC-08</t>
        </is>
      </c>
      <c r="B44" s="11" t="inlineStr">
        <is>
          <t>Add a personal email and end another session from My profile</t>
        </is>
      </c>
      <c r="C44" s="11" t="n">
        <v>1</v>
      </c>
      <c r="D44" s="11" t="inlineStr">
        <is>
          <t>In browser 1, sign in to http://localhost:3000 as rnd@cmp.local with the password and code. Click your name at the top right to open the account menu, then click 'My profile'.</t>
        </is>
      </c>
      <c r="E44" s="11" t="inlineStr">
        <is>
          <t>The page 'My profile' opens with three tabs - 'Contacts' (selected), 'Active sessions' with a count, and 'Password' - and the 'Identity' card beside them. Identity shows Name 'Kavya Rao', Role 'R&amp;D User', Status 'Active' and a 'Session expires' time about 8 hours from now.</t>
        </is>
      </c>
      <c r="F44" s="16" t="n"/>
      <c r="G44" s="16" t="n"/>
    </row>
    <row r="45">
      <c r="A45" s="10" t="inlineStr">
        <is>
          <t>ACC-08</t>
        </is>
      </c>
      <c r="B45" s="11" t="inlineStr">
        <is>
          <t>Add a personal email and end another session from My profile</t>
        </is>
      </c>
      <c r="C45" s="11" t="n">
        <v>2</v>
      </c>
      <c r="D45" s="11" t="inlineStr">
        <is>
          <t>On the 'Contacts' tab, look at the 'Work email' row.</t>
        </is>
      </c>
      <c r="E45" s="11" t="inlineStr">
        <is>
          <t>It shows rnd@cmp.local with a 'Confirmed' badge. It has no 'Change', 'Add' or 'Remove' button.</t>
        </is>
      </c>
      <c r="F45" s="16" t="n"/>
      <c r="G45" s="16" t="n"/>
    </row>
    <row r="46">
      <c r="A46" s="10" t="inlineStr">
        <is>
          <t>ACC-08</t>
        </is>
      </c>
      <c r="B46" s="11" t="inlineStr">
        <is>
          <t>Add a personal email and end another session from My profile</t>
        </is>
      </c>
      <c r="C46" s="11" t="n">
        <v>3</v>
      </c>
      <c r="D46" s="11" t="inlineStr">
        <is>
          <t>In the 'Personal email' row, click 'Add' (or 'Change' if one is already there). Type tester01-kavya@example.org in the 'Personal email' box and click 'Save and send a code'.</t>
        </is>
      </c>
      <c r="E46" s="11" t="inlineStr">
        <is>
          <t>A green toast 'Saved' says 'We have sent a code to tester01-kavya@example.org.' The row shows the address with a 'Not confirmed' badge and a 'Six-digit code' box with 'Confirm' and 'Later' buttons.</t>
        </is>
      </c>
      <c r="F46" s="16" t="n"/>
      <c r="G46" s="16" t="n"/>
    </row>
    <row r="47">
      <c r="A47" s="10" t="inlineStr">
        <is>
          <t>ACC-08</t>
        </is>
      </c>
      <c r="B47" s="11" t="inlineStr">
        <is>
          <t>Add a personal email and end another session from My profile</t>
        </is>
      </c>
      <c r="C47" s="11" t="n">
        <v>4</v>
      </c>
      <c r="D47" s="11" t="inlineStr">
        <is>
          <t>Type 000000 into 'Six-digit code' and click 'Confirm'.</t>
        </is>
      </c>
      <c r="E47" s="11" t="inlineStr">
        <is>
          <t>A red message 'Invalid or expired code' appears in the row; the address stays 'Not confirmed'.</t>
        </is>
      </c>
      <c r="F47" s="16" t="n"/>
      <c r="G47" s="16" t="n"/>
    </row>
    <row r="48">
      <c r="A48" s="10" t="inlineStr">
        <is>
          <t>ACC-08</t>
        </is>
      </c>
      <c r="B48" s="11" t="inlineStr">
        <is>
          <t>Add a personal email and end another session from My profile</t>
        </is>
      </c>
      <c r="C48" s="11" t="n">
        <v>5</v>
      </c>
      <c r="D48" s="11" t="inlineStr">
        <is>
          <t>Ask the test coordinator for the code sent to tester01-kavya@example.org (from the test outbox). Replace the digits with it and click 'Confirm'.</t>
        </is>
      </c>
      <c r="E48" s="11" t="inlineStr">
        <is>
          <t>A green toast 'Confirmed' says 'tester01-kavya@example.org can now sign you in.' The row now shows a 'Confirmed' badge.</t>
        </is>
      </c>
      <c r="F48" s="16" t="n"/>
      <c r="G48" s="16" t="n"/>
    </row>
    <row r="49">
      <c r="A49" s="10" t="inlineStr">
        <is>
          <t>ACC-08</t>
        </is>
      </c>
      <c r="B49" s="11" t="inlineStr">
        <is>
          <t>Add a personal email and end another session from My profile</t>
        </is>
      </c>
      <c r="C49" s="11" t="n">
        <v>6</v>
      </c>
      <c r="D49" s="11" t="inlineStr">
        <is>
          <t>In browser 2, sign in to http://localhost:3000 as rnd@cmp.local with the password and a new code. Go back to browser 1 and refresh the 'My profile' page and click the 'Active sessions' tab.</t>
        </is>
      </c>
      <c r="E49" s="11" t="inlineStr">
        <is>
          <t>The tab's count is 2 or more, and a table lists the sessions with 'Device' (for example 'Chrome on Windows'), 'Address', 'Last active' and 'Expires'. The one for browser 1 is marked 'this device' and has no button; the other has an 'End session' button. 'End all other sessions' is shown above the table.</t>
        </is>
      </c>
      <c r="F49" s="16" t="n"/>
      <c r="G49" s="16" t="n"/>
    </row>
    <row r="50">
      <c r="A50" s="10" t="inlineStr">
        <is>
          <t>ACC-08</t>
        </is>
      </c>
      <c r="B50" s="11" t="inlineStr">
        <is>
          <t>Add a personal email and end another session from My profile</t>
        </is>
      </c>
      <c r="C50" s="11" t="n">
        <v>7</v>
      </c>
      <c r="D50" s="11" t="inlineStr">
        <is>
          <t>In browser 1, click 'End session' on the other session.</t>
        </is>
      </c>
      <c r="E50" s="11" t="inlineStr">
        <is>
          <t>A green toast 'Session ended' appears; that row disappears from the table and the tab's count drops to 1.</t>
        </is>
      </c>
      <c r="F50" s="16" t="n"/>
      <c r="G50" s="16" t="n"/>
    </row>
    <row r="51">
      <c r="A51" s="10" t="inlineStr">
        <is>
          <t>ACC-08</t>
        </is>
      </c>
      <c r="B51" s="11" t="inlineStr">
        <is>
          <t>Add a personal email and end another session from My profile</t>
        </is>
      </c>
      <c r="C51" s="11" t="n">
        <v>8</v>
      </c>
      <c r="D51" s="11" t="inlineStr">
        <is>
          <t>In browser 2, click any sidebar item (for example 'My projects').</t>
        </is>
      </c>
      <c r="E51" s="11" t="inlineStr">
        <is>
          <t>Browser 2 is sent to the 'Sign in' page: its session was ended from browser 1.</t>
        </is>
      </c>
      <c r="F51" s="16" t="n"/>
      <c r="G51" s="16" t="n"/>
    </row>
    <row r="52">
      <c r="A52" s="10" t="inlineStr">
        <is>
          <t>ACC-09</t>
        </is>
      </c>
      <c r="B52" s="11" t="inlineStr">
        <is>
          <t>Create a new data principal account with mobile and email</t>
        </is>
      </c>
      <c r="C52" s="11" t="n">
        <v>1</v>
      </c>
      <c r="D52" s="11" t="inlineStr">
        <is>
          <t>Open http://localhost:3001. On the 'Sign in' page, click 'Create an account'.</t>
        </is>
      </c>
      <c r="E52" s="11" t="inlineStr">
        <is>
          <t>The page 'Create your account' opens with the text 'For people whose data is being collected. Staff accounts are issued by your administrator.' It has the fields 'Full name', 'Mobile number', 'Email address' (marked optional in its hint) and 'Date of birth', and a 'Create account' button.</t>
        </is>
      </c>
      <c r="F52" s="16" t="n"/>
      <c r="G52" s="16" t="n"/>
    </row>
    <row r="53">
      <c r="A53" s="10" t="inlineStr">
        <is>
          <t>ACC-09</t>
        </is>
      </c>
      <c r="B53" s="11" t="inlineStr">
        <is>
          <t>Create a new data principal account with mobile and email</t>
        </is>
      </c>
      <c r="C53" s="11" t="n">
        <v>2</v>
      </c>
      <c r="D53" s="11" t="inlineStr">
        <is>
          <t>Read the hint under 'Date of birth'.</t>
        </is>
      </c>
      <c r="E53" s="11" t="inlineStr">
        <is>
          <t>It reads 'The law protects people under 18 differently, so we ask before an account is opened.' It does not mention a parent or guardian.</t>
        </is>
      </c>
      <c r="F53" s="16" t="n"/>
      <c r="G53" s="16" t="n"/>
    </row>
    <row r="54">
      <c r="A54" s="10" t="inlineStr">
        <is>
          <t>ACC-09</t>
        </is>
      </c>
      <c r="B54" s="11" t="inlineStr">
        <is>
          <t>Create a new data principal account with mobile and email</t>
        </is>
      </c>
      <c r="C54" s="11" t="n">
        <v>3</v>
      </c>
      <c r="D54" s="11" t="inlineStr">
        <is>
          <t>Fill in Full name 'Tester One', Mobile number '+91 98111 22301', Email address 'tester01@example.org' and Date of birth 15 August 1990. Click 'Create account'.</t>
        </is>
      </c>
      <c r="E54" s="11" t="inlineStr">
        <is>
          <t>The page 'Confirm your contacts' opens with the text 'If those details are new to us, a code has gone to your mobile and another to your email. Enter both.' It shows 'Code sent to your mobile' (with the mobile number under it), 'Code sent to your email' (with the email under it) and a 'Confirm and sign in' button.</t>
        </is>
      </c>
      <c r="F54" s="16" t="n"/>
      <c r="G54" s="16" t="n"/>
    </row>
    <row r="55">
      <c r="A55" s="10" t="inlineStr">
        <is>
          <t>ACC-09</t>
        </is>
      </c>
      <c r="B55" s="11" t="inlineStr">
        <is>
          <t>Create a new data principal account with mobile and email</t>
        </is>
      </c>
      <c r="C55" s="11" t="n">
        <v>4</v>
      </c>
      <c r="D55" s="11" t="inlineStr">
        <is>
          <t>Type 000000 in both code boxes and click 'Confirm and sign in'.</t>
        </is>
      </c>
      <c r="E55" s="11" t="inlineStr">
        <is>
          <t>You stay on the page. A red banner reads 'Invalid or expired code'.</t>
        </is>
      </c>
      <c r="F55" s="16" t="n"/>
      <c r="G55" s="16" t="n"/>
    </row>
    <row r="56">
      <c r="A56" s="10" t="inlineStr">
        <is>
          <t>ACC-09</t>
        </is>
      </c>
      <c r="B56" s="11" t="inlineStr">
        <is>
          <t>Create a new data principal account with mobile and email</t>
        </is>
      </c>
      <c r="C56" s="11" t="n">
        <v>5</v>
      </c>
      <c r="D56" s="11" t="inlineStr">
        <is>
          <t>Ask the test coordinator for the code sent to +91 98111 22301 and the code sent to tester01@example.org (both from the test outbox). Replace the digits in each box with the matching code and click 'Confirm and sign in'.</t>
        </is>
      </c>
      <c r="E56" s="11" t="inlineStr">
        <is>
          <t>Both codes are accepted even though a wrong pair was tried first. You are signed in and land on the page headed 'My consents'.</t>
        </is>
      </c>
      <c r="F56" s="16" t="n"/>
      <c r="G56" s="16" t="n"/>
    </row>
    <row r="57">
      <c r="A57" s="10" t="inlineStr">
        <is>
          <t>ACC-09</t>
        </is>
      </c>
      <c r="B57" s="11" t="inlineStr">
        <is>
          <t>Create a new data principal account with mobile and email</t>
        </is>
      </c>
      <c r="C57" s="11" t="n">
        <v>6</v>
      </c>
      <c r="D57" s="11" t="inlineStr">
        <is>
          <t>Look at the header and the sidebar.</t>
        </is>
      </c>
      <c r="E57" s="11" t="inlineStr">
        <is>
          <t>The header shows 'Tester One' with the role badge 'Data Subject'. The sidebar shows 'My consents', 'My requests', 'My nominations', 'Updates' and 'Sign out'; 'My profile' is in the account menu under the name. There is no 'We need your date of birth' notice.</t>
        </is>
      </c>
      <c r="F57" s="16" t="n"/>
      <c r="G57" s="16" t="n"/>
    </row>
    <row r="58">
      <c r="A58" s="10" t="inlineStr">
        <is>
          <t>ACC-09</t>
        </is>
      </c>
      <c r="B58" s="11" t="inlineStr">
        <is>
          <t>Create a new data principal account with mobile and email</t>
        </is>
      </c>
      <c r="C58" s="11" t="n">
        <v>7</v>
      </c>
      <c r="D58" s="11" t="inlineStr">
        <is>
          <t>Click your name at the top right to open the account menu, then click 'My profile'.</t>
        </is>
      </c>
      <c r="E58" s="11" t="inlineStr">
        <is>
          <t>'My profile' opens. Identity shows Name 'Tester One', Mobile and Email as entered, Role 'Data Subject', Status 'Active' and Date of birth 15 Aug 1990 (no under-18 badge). In Contacts, the mobile and email both show 'Confirmed'.</t>
        </is>
      </c>
      <c r="F58" s="16" t="n"/>
      <c r="G58" s="16" t="n"/>
    </row>
    <row r="59">
      <c r="A59" s="10" t="inlineStr">
        <is>
          <t>ACC-10</t>
        </is>
      </c>
      <c r="B59" s="11" t="inlineStr">
        <is>
          <t>Refuse sign-up for a person under 18 with no guardian route</t>
        </is>
      </c>
      <c r="C59" s="11" t="n">
        <v>1</v>
      </c>
      <c r="D59" s="11" t="inlineStr">
        <is>
          <t>Open http://localhost:3001/sign-up. Fill in Full name 'Minor Tester', Mobile number '+91 98111 22302', leave Email address empty, and set Date of birth to 10 May 2012. Click 'Create account'.</t>
        </is>
      </c>
      <c r="E59" s="11" t="inlineStr">
        <is>
          <t>No account is created and you stay on 'Create your account'. A red message says the person cannot be registered because they are under eighteen. The expected wording is 'We cannot register or record consent for a person under eighteen. If you think your date of birth is wrong, contact the Privacy Office.'</t>
        </is>
      </c>
      <c r="F59" s="16" t="n"/>
      <c r="G59" s="16" t="n"/>
    </row>
    <row r="60">
      <c r="A60" s="10" t="inlineStr">
        <is>
          <t>ACC-10</t>
        </is>
      </c>
      <c r="B60" s="11" t="inlineStr">
        <is>
          <t>Refuse sign-up for a person under 18 with no guardian route</t>
        </is>
      </c>
      <c r="C60" s="11" t="n">
        <v>2</v>
      </c>
      <c r="D60" s="11" t="inlineStr">
        <is>
          <t>Read the whole page, including the message and the hints.</t>
        </is>
      </c>
      <c r="E60" s="11" t="inlineStr">
        <is>
          <t>Nothing on the page offers a parent, guardian or 'register on behalf of a child' option; the 'Confirm your contacts' step is not shown.</t>
        </is>
      </c>
      <c r="F60" s="16" t="n"/>
      <c r="G60" s="16" t="n"/>
    </row>
    <row r="61">
      <c r="A61" s="10" t="inlineStr">
        <is>
          <t>ACC-10</t>
        </is>
      </c>
      <c r="B61" s="11" t="inlineStr">
        <is>
          <t>Refuse sign-up for a person under 18 with no guardian route</t>
        </is>
      </c>
      <c r="C61" s="11" t="n">
        <v>3</v>
      </c>
      <c r="D61" s="11" t="inlineStr">
        <is>
          <t>Change Date of birth to the boundary date (one day short of 18 years ago) and click 'Create account' again.</t>
        </is>
      </c>
      <c r="E61" s="11" t="inlineStr">
        <is>
          <t>The same refusal is shown: a person one day short of 18 is still refused.</t>
        </is>
      </c>
      <c r="F61" s="16" t="n"/>
      <c r="G61" s="16" t="n"/>
    </row>
    <row r="62">
      <c r="A62" s="10" t="inlineStr">
        <is>
          <t>ACC-10</t>
        </is>
      </c>
      <c r="B62" s="11" t="inlineStr">
        <is>
          <t>Refuse sign-up for a person under 18 with no guardian route</t>
        </is>
      </c>
      <c r="C62" s="11" t="n">
        <v>4</v>
      </c>
      <c r="D62" s="11" t="inlineStr">
        <is>
          <t>Click 'Sign in' at the bottom of the page. On the 'Sign in' page keep 'Mobile' selected, type +91 98111 22302 in 'Mobile number' and click 'Send me a code'.</t>
        </is>
      </c>
      <c r="E62" s="11" t="inlineStr">
        <is>
          <t>The page shows 'Check your messages' and 'If +91 98111 22302 is registered with us, a six-digit code is on its way.' (the same neutral wording as for any number).</t>
        </is>
      </c>
      <c r="F62" s="16" t="n"/>
      <c r="G62" s="16" t="n"/>
    </row>
    <row r="63">
      <c r="A63" s="10" t="inlineStr">
        <is>
          <t>ACC-10</t>
        </is>
      </c>
      <c r="B63" s="11" t="inlineStr">
        <is>
          <t>Refuse sign-up for a person under 18 with no guardian route</t>
        </is>
      </c>
      <c r="C63" s="11" t="n">
        <v>5</v>
      </c>
      <c r="D63" s="11" t="inlineStr">
        <is>
          <t>Ask the test coordinator to check the test outbox for any message to +91 98111 22302.</t>
        </is>
      </c>
      <c r="E63" s="11" t="inlineStr">
        <is>
          <t>The coordinator confirms that no registration code and no sign-in code was sent to that number: no account exists for it.</t>
        </is>
      </c>
      <c r="F63" s="16" t="n"/>
      <c r="G63" s="16" t="n"/>
    </row>
    <row r="64">
      <c r="A64" s="10" t="inlineStr">
        <is>
          <t>ACC-11</t>
        </is>
      </c>
      <c r="B64" s="11" t="inlineStr">
        <is>
          <t>Reject a future date of birth and badly formed details at sign-up</t>
        </is>
      </c>
      <c r="C64" s="11" t="n">
        <v>1</v>
      </c>
      <c r="D64" s="11" t="inlineStr">
        <is>
          <t>Open http://localhost:3001/sign-up and click 'Create account' without filling anything in.</t>
        </is>
      </c>
      <c r="E64" s="11" t="inlineStr">
        <is>
          <t>Nothing is sent. Messages appear under the fields: 'Enter your full name', 'A mobile number is required' and 'Enter your date of birth'. 'Email address' shows no error because it is optional.</t>
        </is>
      </c>
      <c r="F64" s="16" t="n"/>
      <c r="G64" s="16" t="n"/>
    </row>
    <row r="65">
      <c r="A65" s="10" t="inlineStr">
        <is>
          <t>ACC-11</t>
        </is>
      </c>
      <c r="B65" s="11" t="inlineStr">
        <is>
          <t>Reject a future date of birth and badly formed details at sign-up</t>
        </is>
      </c>
      <c r="C65" s="11" t="n">
        <v>2</v>
      </c>
      <c r="D65" s="11" t="inlineStr">
        <is>
          <t>Type 'Tester Two' in 'Full name', '98abc12345' in 'Mobile number' and 'tester01@' in 'Email address'. Click 'Create account'.</t>
        </is>
      </c>
      <c r="E65" s="11" t="inlineStr">
        <is>
          <t>Under 'Mobile number': 'A mobile number may contain digits, spaces, dashes and a leading +'. Under 'Email address': 'That does not look like an email address'.</t>
        </is>
      </c>
      <c r="F65" s="16" t="n"/>
      <c r="G65" s="16" t="n"/>
    </row>
    <row r="66">
      <c r="A66" s="10" t="inlineStr">
        <is>
          <t>ACC-11</t>
        </is>
      </c>
      <c r="B66" s="11" t="inlineStr">
        <is>
          <t>Reject a future date of birth and badly formed details at sign-up</t>
        </is>
      </c>
      <c r="C66" s="11" t="n">
        <v>3</v>
      </c>
      <c r="D66" s="11" t="inlineStr">
        <is>
          <t>Correct the mobile to '+91 98111 22303' and clear 'Email address'. Type 1 January 2030 into 'Date of birth' and click 'Create account'.</t>
        </is>
      </c>
      <c r="E66" s="11" t="inlineStr">
        <is>
          <t>Under 'Date of birth': 'Date of birth must be in the past'. The page stays on 'Create your account'.</t>
        </is>
      </c>
      <c r="F66" s="16" t="n"/>
      <c r="G66" s="16" t="n"/>
    </row>
    <row r="67">
      <c r="A67" s="10" t="inlineStr">
        <is>
          <t>ACC-11</t>
        </is>
      </c>
      <c r="B67" s="11" t="inlineStr">
        <is>
          <t>Reject a future date of birth and badly formed details at sign-up</t>
        </is>
      </c>
      <c r="C67" s="11" t="n">
        <v>4</v>
      </c>
      <c r="D67" s="11" t="inlineStr">
        <is>
          <t>Type today's date into 'Date of birth' and click 'Create account'.</t>
        </is>
      </c>
      <c r="E67" s="11" t="inlineStr">
        <is>
          <t>The same message 'Date of birth must be in the past' appears; today is not accepted.</t>
        </is>
      </c>
      <c r="F67" s="16" t="n"/>
      <c r="G67" s="16" t="n"/>
    </row>
    <row r="68">
      <c r="A68" s="10" t="inlineStr">
        <is>
          <t>ACC-11</t>
        </is>
      </c>
      <c r="B68" s="11" t="inlineStr">
        <is>
          <t>Reject a future date of birth and badly formed details at sign-up</t>
        </is>
      </c>
      <c r="C68" s="11" t="n">
        <v>5</v>
      </c>
      <c r="D68" s="11" t="inlineStr">
        <is>
          <t>Click 'Sign in' at the bottom of the page without submitting further.</t>
        </is>
      </c>
      <c r="E68" s="11" t="inlineStr">
        <is>
          <t>The portal 'Sign in' page opens; no account was created for +91 98111 22303 (the coordinator can confirm no code was written for it in the test outbox).</t>
        </is>
      </c>
      <c r="F68" s="16" t="n"/>
      <c r="G68" s="16" t="n"/>
    </row>
    <row r="69">
      <c r="A69" s="10" t="inlineStr">
        <is>
          <t>ACC-12</t>
        </is>
      </c>
      <c r="B69" s="11" t="inlineStr">
        <is>
          <t>Stop sign-up with a mobile or email that is already registered</t>
        </is>
      </c>
      <c r="C69" s="11" t="n">
        <v>1</v>
      </c>
      <c r="D69" s="11" t="inlineStr">
        <is>
          <t>Open http://localhost:3001/sign-up. Fill in Full name 'Tester Three', Mobile number '+91 90000 00001', leave Email address empty, Date of birth 1 March 1985. Click 'Create account'.</t>
        </is>
      </c>
      <c r="E69" s="11" t="inlineStr">
        <is>
          <t>You stay on 'Create your account'. A yellow notice titled 'That mobile is already registered' says 'If it is yours, sign in with it - there is no password, we send a code. Otherwise change it below.' Under 'Mobile number' the message reads 'An account already exists with this mobile. Sign in with it instead, or use a different mobile.'</t>
        </is>
      </c>
      <c r="F69" s="16" t="n"/>
      <c r="G69" s="16" t="n"/>
    </row>
    <row r="70">
      <c r="A70" s="10" t="inlineStr">
        <is>
          <t>ACC-12</t>
        </is>
      </c>
      <c r="B70" s="11" t="inlineStr">
        <is>
          <t>Stop sign-up with a mobile or email that is already registered</t>
        </is>
      </c>
      <c r="C70" s="11" t="n">
        <v>2</v>
      </c>
      <c r="D70" s="11" t="inlineStr">
        <is>
          <t>Check the notice for a link.</t>
        </is>
      </c>
      <c r="E70" s="11" t="inlineStr">
        <is>
          <t>The notice has a link 'Sign in with this mobile'. The 'Confirm your contacts' step is not shown.</t>
        </is>
      </c>
      <c r="F70" s="16" t="n"/>
      <c r="G70" s="16" t="n"/>
    </row>
    <row r="71">
      <c r="A71" s="10" t="inlineStr">
        <is>
          <t>ACC-12</t>
        </is>
      </c>
      <c r="B71" s="11" t="inlineStr">
        <is>
          <t>Stop sign-up with a mobile or email that is already registered</t>
        </is>
      </c>
      <c r="C71" s="11" t="n">
        <v>3</v>
      </c>
      <c r="D71" s="11" t="inlineStr">
        <is>
          <t>Change Mobile number to '+91 98111 22304', type 'subject@cmp.local' in Email address and click 'Create account'.</t>
        </is>
      </c>
      <c r="E71" s="11" t="inlineStr">
        <is>
          <t>The notice now reads 'That email is already registered' with a link 'Sign in with this email', and the message under 'Email address' reads 'An account already exists with this email. Sign in with it instead, or use a different email.'</t>
        </is>
      </c>
      <c r="F71" s="16" t="n"/>
      <c r="G71" s="16" t="n"/>
    </row>
    <row r="72">
      <c r="A72" s="10" t="inlineStr">
        <is>
          <t>ACC-12</t>
        </is>
      </c>
      <c r="B72" s="11" t="inlineStr">
        <is>
          <t>Stop sign-up with a mobile or email that is already registered</t>
        </is>
      </c>
      <c r="C72" s="11" t="n">
        <v>4</v>
      </c>
      <c r="D72" s="11" t="inlineStr">
        <is>
          <t>Click 'Sign in with this email'.</t>
        </is>
      </c>
      <c r="E72" s="11" t="inlineStr">
        <is>
          <t>The portal 'Sign in' page opens with 'Email' selected under 'Sign in with' and subject@cmp.local already filled in the 'Email address' box. (Do not click 'Send me a code' unless you intend to sign in as Anjali.)</t>
        </is>
      </c>
      <c r="F72" s="16" t="n"/>
      <c r="G72" s="16" t="n"/>
    </row>
    <row r="73">
      <c r="A73" s="10" t="inlineStr">
        <is>
          <t>ACC-13</t>
        </is>
      </c>
      <c r="B73" s="11" t="inlineStr">
        <is>
          <t>Sign in to the portal with a one-time code sent to the mobile</t>
        </is>
      </c>
      <c r="C73" s="11" t="n">
        <v>1</v>
      </c>
      <c r="D73" s="11" t="inlineStr">
        <is>
          <t>Open http://localhost:3001.</t>
        </is>
      </c>
      <c r="E73" s="11" t="inlineStr">
        <is>
          <t>The page headed 'Sign in' opens with the text 'Enter the mobile number or email address you registered with and we will send you a one-time code.' Under 'Sign in with' the 'Mobile' option is selected. At the bottom are 'Create an account', 'Your rights and how to exercise them', 'Act on their behalf here' and 'Sign in to the console'.</t>
        </is>
      </c>
      <c r="F73" s="16" t="n"/>
      <c r="G73" s="16" t="n"/>
    </row>
    <row r="74">
      <c r="A74" s="10" t="inlineStr">
        <is>
          <t>ACC-13</t>
        </is>
      </c>
      <c r="B74" s="11" t="inlineStr">
        <is>
          <t>Sign in to the portal with a one-time code sent to the mobile</t>
        </is>
      </c>
      <c r="C74" s="11" t="n">
        <v>2</v>
      </c>
      <c r="D74" s="11" t="inlineStr">
        <is>
          <t>Type +91 90000 00001 into 'Mobile number' and click 'Send me a code'.</t>
        </is>
      </c>
      <c r="E74" s="11" t="inlineStr">
        <is>
          <t>A blue notice 'Check your messages' reads 'If +91 90000 00001 is registered with us, a six-digit code is on its way. It expires in ten minutes.' Below it are a 'Six-digit code' box, a 'Verify' button (disabled until six digits are typed) and a 'Use a different contact' button.</t>
        </is>
      </c>
      <c r="F74" s="16" t="n"/>
      <c r="G74" s="16" t="n"/>
    </row>
    <row r="75">
      <c r="A75" s="10" t="inlineStr">
        <is>
          <t>ACC-13</t>
        </is>
      </c>
      <c r="B75" s="11" t="inlineStr">
        <is>
          <t>Sign in to the portal with a one-time code sent to the mobile</t>
        </is>
      </c>
      <c r="C75" s="11" t="n">
        <v>3</v>
      </c>
      <c r="D75" s="11" t="inlineStr">
        <is>
          <t>Ask the test coordinator for the code sent to +91 90000 00001 (from the test outbox). Type it into 'Six-digit code' and click 'Verify'.</t>
        </is>
      </c>
      <c r="E75" s="11" t="inlineStr">
        <is>
          <t>You land on the page headed 'My consents'. The header shows 'Anjali Verma' with the role badge 'Data Subject'.</t>
        </is>
      </c>
      <c r="F75" s="16" t="n"/>
      <c r="G75" s="16" t="n"/>
    </row>
    <row r="76">
      <c r="A76" s="10" t="inlineStr">
        <is>
          <t>ACC-13</t>
        </is>
      </c>
      <c r="B76" s="11" t="inlineStr">
        <is>
          <t>Sign in to the portal with a one-time code sent to the mobile</t>
        </is>
      </c>
      <c r="C76" s="11" t="n">
        <v>4</v>
      </c>
      <c r="D76" s="11" t="inlineStr">
        <is>
          <t>Look at the sidebar.</t>
        </is>
      </c>
      <c r="E76" s="11" t="inlineStr">
        <is>
          <t>Under 'Your data' are 'My consents', 'My requests', 'My nominations' and 'Updates'; 'Sign out' is at the bottom. 'My profile' is in the account menu under her name at the top right. There is no staff menu and no staff-account notice.</t>
        </is>
      </c>
      <c r="F76" s="16" t="n"/>
      <c r="G76" s="16" t="n"/>
    </row>
    <row r="77">
      <c r="A77" s="10" t="inlineStr">
        <is>
          <t>ACC-13</t>
        </is>
      </c>
      <c r="B77" s="11" t="inlineStr">
        <is>
          <t>Sign in to the portal with a one-time code sent to the mobile</t>
        </is>
      </c>
      <c r="C77" s="11" t="n">
        <v>5</v>
      </c>
      <c r="D77" s="11" t="inlineStr">
        <is>
          <t>Click 'My requests'.</t>
        </is>
      </c>
      <c r="E77" s="11" t="inlineStr">
        <is>
          <t>The page headed 'My requests' opens.</t>
        </is>
      </c>
      <c r="F77" s="16" t="n"/>
      <c r="G77" s="16" t="n"/>
    </row>
    <row r="78">
      <c r="A78" s="10" t="inlineStr">
        <is>
          <t>ACC-13</t>
        </is>
      </c>
      <c r="B78" s="11" t="inlineStr">
        <is>
          <t>Sign in to the portal with a one-time code sent to the mobile</t>
        </is>
      </c>
      <c r="C78" s="11" t="n">
        <v>6</v>
      </c>
      <c r="D78" s="11" t="inlineStr">
        <is>
          <t>Click 'Sign out' in the sidebar.</t>
        </is>
      </c>
      <c r="E78" s="11" t="inlineStr">
        <is>
          <t>You are taken back to the portal 'Sign in' page.</t>
        </is>
      </c>
      <c r="F78" s="16" t="n"/>
      <c r="G78" s="16" t="n"/>
    </row>
    <row r="79">
      <c r="A79" s="10" t="inlineStr">
        <is>
          <t>ACC-13</t>
        </is>
      </c>
      <c r="B79" s="11" t="inlineStr">
        <is>
          <t>Sign in to the portal with a one-time code sent to the mobile</t>
        </is>
      </c>
      <c r="C79" s="11" t="n">
        <v>7</v>
      </c>
      <c r="D79" s="11" t="inlineStr">
        <is>
          <t>Type http://localhost:3001/my-consents into the address bar and press Enter.</t>
        </is>
      </c>
      <c r="E79" s="11" t="inlineStr">
        <is>
          <t>You are sent to the 'Sign in' page instead of seeing the consents.</t>
        </is>
      </c>
      <c r="F79" s="16" t="n"/>
      <c r="G79" s="16" t="n"/>
    </row>
    <row r="80">
      <c r="A80" s="10" t="inlineStr">
        <is>
          <t>ACC-14</t>
        </is>
      </c>
      <c r="B80" s="11" t="inlineStr">
        <is>
          <t>Refuse a wrong portal code and stay neutral about unknown contacts</t>
        </is>
      </c>
      <c r="C80" s="11" t="n">
        <v>1</v>
      </c>
      <c r="D80" s="11" t="inlineStr">
        <is>
          <t>Open http://localhost:3001/sign-in. Under 'Sign in with' choose 'Email'.</t>
        </is>
      </c>
      <c r="E80" s="11" t="inlineStr">
        <is>
          <t>The field label changes from 'Mobile number' to 'Email address'.</t>
        </is>
      </c>
      <c r="F80" s="16" t="n"/>
      <c r="G80" s="16" t="n"/>
    </row>
    <row r="81">
      <c r="A81" s="10" t="inlineStr">
        <is>
          <t>ACC-14</t>
        </is>
      </c>
      <c r="B81" s="11" t="inlineStr">
        <is>
          <t>Refuse a wrong portal code and stay neutral about unknown contacts</t>
        </is>
      </c>
      <c r="C81" s="11" t="n">
        <v>2</v>
      </c>
      <c r="D81" s="11" t="inlineStr">
        <is>
          <t>Type nobody-registered@example.org and click 'Send me a code'.</t>
        </is>
      </c>
      <c r="E81" s="11" t="inlineStr">
        <is>
          <t>The same 'Check your messages' notice appears: 'If nobody-registered@example.org is registered with us, a six-digit code is on its way.' Nothing says the address is unknown. (The coordinator can confirm no code was written to the test outbox for it.)</t>
        </is>
      </c>
      <c r="F81" s="16" t="n"/>
      <c r="G81" s="16" t="n"/>
    </row>
    <row r="82">
      <c r="A82" s="10" t="inlineStr">
        <is>
          <t>ACC-14</t>
        </is>
      </c>
      <c r="B82" s="11" t="inlineStr">
        <is>
          <t>Refuse a wrong portal code and stay neutral about unknown contacts</t>
        </is>
      </c>
      <c r="C82" s="11" t="n">
        <v>3</v>
      </c>
      <c r="D82" s="11" t="inlineStr">
        <is>
          <t>Click 'Use a different contact'.</t>
        </is>
      </c>
      <c r="E82" s="11" t="inlineStr">
        <is>
          <t>The form returns to the contact step with the 'Send me a code' button.</t>
        </is>
      </c>
      <c r="F82" s="16" t="n"/>
      <c r="G82" s="16" t="n"/>
    </row>
    <row r="83">
      <c r="A83" s="10" t="inlineStr">
        <is>
          <t>ACC-14</t>
        </is>
      </c>
      <c r="B83" s="11" t="inlineStr">
        <is>
          <t>Refuse a wrong portal code and stay neutral about unknown contacts</t>
        </is>
      </c>
      <c r="C83" s="11" t="n">
        <v>4</v>
      </c>
      <c r="D83" s="11" t="inlineStr">
        <is>
          <t>Choose 'Email', type subject@cmp.local and click 'Send me a code'.</t>
        </is>
      </c>
      <c r="E83" s="11" t="inlineStr">
        <is>
          <t>'Check your messages' appears for subject@cmp.local with the 'Six-digit code' box.</t>
        </is>
      </c>
      <c r="F83" s="16" t="n"/>
      <c r="G83" s="16" t="n"/>
    </row>
    <row r="84">
      <c r="A84" s="10" t="inlineStr">
        <is>
          <t>ACC-14</t>
        </is>
      </c>
      <c r="B84" s="11" t="inlineStr">
        <is>
          <t>Refuse a wrong portal code and stay neutral about unknown contacts</t>
        </is>
      </c>
      <c r="C84" s="11" t="n">
        <v>5</v>
      </c>
      <c r="D84" s="11" t="inlineStr">
        <is>
          <t>Type 123456 into 'Six-digit code' and click 'Verify'.</t>
        </is>
      </c>
      <c r="E84" s="11" t="inlineStr">
        <is>
          <t>You stay on the page. A red banner reads 'Invalid or expired code'.</t>
        </is>
      </c>
      <c r="F84" s="16" t="n"/>
      <c r="G84" s="16" t="n"/>
    </row>
    <row r="85">
      <c r="A85" s="10" t="inlineStr">
        <is>
          <t>ACC-14</t>
        </is>
      </c>
      <c r="B85" s="11" t="inlineStr">
        <is>
          <t>Refuse a wrong portal code and stay neutral about unknown contacts</t>
        </is>
      </c>
      <c r="C85" s="11" t="n">
        <v>6</v>
      </c>
      <c r="D85" s="11" t="inlineStr">
        <is>
          <t>Ask the test coordinator for the code sent to subject@cmp.local (from the test outbox). Replace the digits and click 'Verify'.</t>
        </is>
      </c>
      <c r="E85" s="11" t="inlineStr">
        <is>
          <t>The correct code is accepted and you land on 'My consents' as Anjali Verma.</t>
        </is>
      </c>
      <c r="F85" s="16" t="n"/>
      <c r="G85" s="16" t="n"/>
    </row>
    <row r="86">
      <c r="A86" s="10" t="inlineStr">
        <is>
          <t>ACC-14</t>
        </is>
      </c>
      <c r="B86" s="11" t="inlineStr">
        <is>
          <t>Refuse a wrong portal code and stay neutral about unknown contacts</t>
        </is>
      </c>
      <c r="C86" s="11" t="n">
        <v>7</v>
      </c>
      <c r="D86" s="11" t="inlineStr">
        <is>
          <t>Click 'Sign out'.</t>
        </is>
      </c>
      <c r="E86" s="11" t="inlineStr">
        <is>
          <t>You are back on the portal 'Sign in' page.</t>
        </is>
      </c>
      <c r="F86" s="16" t="n"/>
      <c r="G86" s="16" t="n"/>
    </row>
    <row r="87">
      <c r="A87" s="10" t="inlineStr">
        <is>
          <t>ACC-15</t>
        </is>
      </c>
      <c r="B87" s="11" t="inlineStr">
        <is>
          <t>Ask for a missing date of birth at the next portal sign-in</t>
        </is>
      </c>
      <c r="C87" s="11" t="n">
        <v>1</v>
      </c>
      <c r="D87" s="11" t="inlineStr">
        <is>
          <t>Open http://localhost:3001/sign-in, choose 'Email', type rco@cmp.local, click 'Send me a code', then enter the code the test coordinator gives you for rco@cmp.local (from the test outbox) and click 'Verify'.</t>
        </is>
      </c>
      <c r="E87" s="11" t="inlineStr">
        <is>
          <t>You land on 'My consents'. Above the list is a blue notice titled 'We need your date of birth' reading 'You can withdraw a consent or make a request without it, but we need it before you give a new consent.' with an 'Add it now' link.</t>
        </is>
      </c>
      <c r="F87" s="16" t="n"/>
      <c r="G87" s="16" t="n"/>
    </row>
    <row r="88">
      <c r="A88" s="10" t="inlineStr">
        <is>
          <t>ACC-15</t>
        </is>
      </c>
      <c r="B88" s="11" t="inlineStr">
        <is>
          <t>Ask for a missing date of birth at the next portal sign-in</t>
        </is>
      </c>
      <c r="C88" s="11" t="n">
        <v>2</v>
      </c>
      <c r="D88" s="11" t="inlineStr">
        <is>
          <t>Click 'My requests' in the sidebar.</t>
        </is>
      </c>
      <c r="E88" s="11" t="inlineStr">
        <is>
          <t>The page 'My requests' opens normally, with the same 'We need your date of birth' notice above it. Nothing blocks this page.</t>
        </is>
      </c>
      <c r="F88" s="16" t="n"/>
      <c r="G88" s="16" t="n"/>
    </row>
    <row r="89">
      <c r="A89" s="10" t="inlineStr">
        <is>
          <t>ACC-15</t>
        </is>
      </c>
      <c r="B89" s="11" t="inlineStr">
        <is>
          <t>Ask for a missing date of birth at the next portal sign-in</t>
        </is>
      </c>
      <c r="C89" s="11" t="n">
        <v>3</v>
      </c>
      <c r="D89" s="11" t="inlineStr">
        <is>
          <t>Click 'Updates' in the sidebar.</t>
        </is>
      </c>
      <c r="E89" s="11" t="inlineStr">
        <is>
          <t>Instead of the updates, a card headed 'Your date of birth' appears: 'The law protects people under 18 differently, and we do not have your date of birth yet. We need it before you can give a new consent.' It has a 'Date of birth' field, a 'Save and continue' button and links 'withdraw a consent' and 'make a request'.</t>
        </is>
      </c>
      <c r="F89" s="16" t="n"/>
      <c r="G89" s="16" t="n"/>
    </row>
    <row r="90">
      <c r="A90" s="10" t="inlineStr">
        <is>
          <t>ACC-15</t>
        </is>
      </c>
      <c r="B90" s="11" t="inlineStr">
        <is>
          <t>Ask for a missing date of birth at the next portal sign-in</t>
        </is>
      </c>
      <c r="C90" s="11" t="n">
        <v>4</v>
      </c>
      <c r="D90" s="11" t="inlineStr">
        <is>
          <t>Click your name at the top right to open the account menu, then click 'My profile'.</t>
        </is>
      </c>
      <c r="E90" s="11" t="inlineStr">
        <is>
          <t>The same 'Your date of birth' card appears instead of the account page.</t>
        </is>
      </c>
      <c r="F90" s="16" t="n"/>
      <c r="G90" s="16" t="n"/>
    </row>
    <row r="91">
      <c r="A91" s="10" t="inlineStr">
        <is>
          <t>ACC-15</t>
        </is>
      </c>
      <c r="B91" s="11" t="inlineStr">
        <is>
          <t>Ask for a missing date of birth at the next portal sign-in</t>
        </is>
      </c>
      <c r="C91" s="11" t="n">
        <v>5</v>
      </c>
      <c r="D91" s="11" t="inlineStr">
        <is>
          <t>Click the 'make a request' link on the card.</t>
        </is>
      </c>
      <c r="E91" s="11" t="inlineStr">
        <is>
          <t>'My requests' opens without answering the question.</t>
        </is>
      </c>
      <c r="F91" s="16" t="n"/>
      <c r="G91" s="16" t="n"/>
    </row>
    <row r="92">
      <c r="A92" s="10" t="inlineStr">
        <is>
          <t>ACC-15</t>
        </is>
      </c>
      <c r="B92" s="11" t="inlineStr">
        <is>
          <t>Ask for a missing date of birth at the next portal sign-in</t>
        </is>
      </c>
      <c r="C92" s="11" t="n">
        <v>6</v>
      </c>
      <c r="D92" s="11" t="inlineStr">
        <is>
          <t>Go back to 'My consents' and click 'Add it now' in the notice.</t>
        </is>
      </c>
      <c r="E92" s="11" t="inlineStr">
        <is>
          <t>The 'Your date of birth' question is shown so the date can be added. (Record a defect if the link just reloads 'My consents'.)</t>
        </is>
      </c>
      <c r="F92" s="16" t="n"/>
      <c r="G92" s="16" t="n"/>
    </row>
    <row r="93">
      <c r="A93" s="10" t="inlineStr">
        <is>
          <t>ACC-15</t>
        </is>
      </c>
      <c r="B93" s="11" t="inlineStr">
        <is>
          <t>Ask for a missing date of birth at the next portal sign-in</t>
        </is>
      </c>
      <c r="C93" s="11" t="n">
        <v>7</v>
      </c>
      <c r="D93" s="11" t="inlineStr">
        <is>
          <t>Open 'My profile' from the account menu to reach the 'Your date of birth' card. Type 1 January 2030 into 'Date of birth' and click 'Save and continue'.</t>
        </is>
      </c>
      <c r="E93" s="11" t="inlineStr">
        <is>
          <t>The date is refused with 'Date of birth must be in the past' under the field; the card stays.</t>
        </is>
      </c>
      <c r="F93" s="16" t="n"/>
      <c r="G93" s="16" t="n"/>
    </row>
    <row r="94">
      <c r="A94" s="10" t="inlineStr">
        <is>
          <t>ACC-15</t>
        </is>
      </c>
      <c r="B94" s="11" t="inlineStr">
        <is>
          <t>Ask for a missing date of birth at the next portal sign-in</t>
        </is>
      </c>
      <c r="C94" s="11" t="n">
        <v>8</v>
      </c>
      <c r="D94" s="11" t="inlineStr">
        <is>
          <t>Change 'Date of birth' to 21 July 1985 and click 'Save and continue'.</t>
        </is>
      </c>
      <c r="E94" s="11" t="inlineStr">
        <is>
          <t>The card disappears and the 'My profile' page opens. In Identity, 'Date of birth' shows 21 Jul 1985 with no under-18 badge.</t>
        </is>
      </c>
      <c r="F94" s="16" t="n"/>
      <c r="G94" s="16" t="n"/>
    </row>
    <row r="95">
      <c r="A95" s="10" t="inlineStr">
        <is>
          <t>ACC-15</t>
        </is>
      </c>
      <c r="B95" s="11" t="inlineStr">
        <is>
          <t>Ask for a missing date of birth at the next portal sign-in</t>
        </is>
      </c>
      <c r="C95" s="11" t="n">
        <v>9</v>
      </c>
      <c r="D95" s="11" t="inlineStr">
        <is>
          <t>Click 'My consents' and then 'Updates'.</t>
        </is>
      </c>
      <c r="E95" s="11" t="inlineStr">
        <is>
          <t>The 'We need your date of birth' notice no longer appears on 'My consents', and 'Updates' opens normally.</t>
        </is>
      </c>
      <c r="F95" s="16" t="n"/>
      <c r="G95" s="16" t="n"/>
    </row>
    <row r="96">
      <c r="A96" s="10" t="inlineStr">
        <is>
          <t>ACC-15</t>
        </is>
      </c>
      <c r="B96" s="11" t="inlineStr">
        <is>
          <t>Ask for a missing date of birth at the next portal sign-in</t>
        </is>
      </c>
      <c r="C96" s="11" t="n">
        <v>10</v>
      </c>
      <c r="D96" s="11" t="inlineStr">
        <is>
          <t>Click 'Sign out', sign in again with rco@cmp.local and a new code.</t>
        </is>
      </c>
      <c r="E96" s="11" t="inlineStr">
        <is>
          <t>You land on 'My consents' with no date-of-birth notice; the question is not asked again.</t>
        </is>
      </c>
      <c r="F96" s="16" t="n"/>
      <c r="G96" s="16" t="n"/>
    </row>
    <row r="97">
      <c r="A97" s="10" t="inlineStr">
        <is>
          <t>ACC-16</t>
        </is>
      </c>
      <c r="B97" s="11" t="inlineStr">
        <is>
          <t>Sign in to the portal with a staff email and act only as a data principal</t>
        </is>
      </c>
      <c r="C97" s="11" t="n">
        <v>1</v>
      </c>
      <c r="D97" s="11" t="inlineStr">
        <is>
          <t>Open http://localhost:3001/sign-in, choose 'Email', type dpo@cmp.local and click 'Send me a code'.</t>
        </is>
      </c>
      <c r="E97" s="11" t="inlineStr">
        <is>
          <t>'Check your messages' appears with the 'Six-digit code' box. No password is asked for.</t>
        </is>
      </c>
      <c r="F97" s="16" t="n"/>
      <c r="G97" s="16" t="n"/>
    </row>
    <row r="98">
      <c r="A98" s="10" t="inlineStr">
        <is>
          <t>ACC-16</t>
        </is>
      </c>
      <c r="B98" s="11" t="inlineStr">
        <is>
          <t>Sign in to the portal with a staff email and act only as a data principal</t>
        </is>
      </c>
      <c r="C98" s="11" t="n">
        <v>2</v>
      </c>
      <c r="D98" s="11" t="inlineStr">
        <is>
          <t>Enter the code the test coordinator gives you for dpo@cmp.local (from the test outbox) and click 'Verify'.</t>
        </is>
      </c>
      <c r="E98" s="11" t="inlineStr">
        <is>
          <t>You land on 'My consents'. A line across the top reads 'You are signed in with your staff account, as a data principal. Only your own consents, requests and rights are here; your console is a separate site.'</t>
        </is>
      </c>
      <c r="F98" s="16" t="n"/>
      <c r="G98" s="16" t="n"/>
    </row>
    <row r="99">
      <c r="A99" s="10" t="inlineStr">
        <is>
          <t>ACC-16</t>
        </is>
      </c>
      <c r="B99" s="11" t="inlineStr">
        <is>
          <t>Sign in to the portal with a staff email and act only as a data principal</t>
        </is>
      </c>
      <c r="C99" s="11" t="n">
        <v>3</v>
      </c>
      <c r="D99" s="11" t="inlineStr">
        <is>
          <t>Look at the header and sidebar.</t>
        </is>
      </c>
      <c r="E99" s="11" t="inlineStr">
        <is>
          <t>The header shows 'Priya Menon' with the role badge 'Data Subject' (not 'DPO'). The sidebar has only 'My consents', 'My requests', 'My nominations', 'Updates' and 'Sign out'; 'My profile' is in the account menu.</t>
        </is>
      </c>
      <c r="F99" s="16" t="n"/>
      <c r="G99" s="16" t="n"/>
    </row>
    <row r="100">
      <c r="A100" s="10" t="inlineStr">
        <is>
          <t>ACC-16</t>
        </is>
      </c>
      <c r="B100" s="11" t="inlineStr">
        <is>
          <t>Sign in to the portal with a staff email and act only as a data principal</t>
        </is>
      </c>
      <c r="C100" s="11" t="n">
        <v>4</v>
      </c>
      <c r="D100" s="11" t="inlineStr">
        <is>
          <t>Click your name at the top right to open the account menu, then click 'My profile'. If the 'Your date of birth' card appears, enter 21 July 1985 and click 'Save and continue'.</t>
        </is>
      </c>
      <c r="E100" s="11" t="inlineStr">
        <is>
          <t>'My profile' opens. In Identity, Role shows 'Data Subject' and an 'Account' line reads 'Your staff account, used here as a data principal.' In Contacts, the 'Email' row shows dpo@cmp.local with the hint 'Your staff address, managed by your organisation. If you may lose it one day, add a personal one below.' and no 'Change' button.</t>
        </is>
      </c>
      <c r="F100" s="16" t="n"/>
      <c r="G100" s="16" t="n"/>
    </row>
    <row r="101">
      <c r="A101" s="10" t="inlineStr">
        <is>
          <t>ACC-16</t>
        </is>
      </c>
      <c r="B101" s="11" t="inlineStr">
        <is>
          <t>Sign in to the portal with a staff email and act only as a data principal</t>
        </is>
      </c>
      <c r="C101" s="11" t="n">
        <v>5</v>
      </c>
      <c r="D101" s="11" t="inlineStr">
        <is>
          <t>In the same window, open http://localhost:3000/users (the console).</t>
        </is>
      </c>
      <c r="E101" s="11" t="inlineStr">
        <is>
          <t>No user list is shown. The console shows a page headed 'This console is for staff' reading 'You are signed in as Priya Menon. Your consents, your requests and your rights are on the consent portal.' with the buttons 'Go to the consent portal' and 'Sign out'.</t>
        </is>
      </c>
      <c r="F101" s="16" t="n"/>
      <c r="G101" s="16" t="n"/>
    </row>
    <row r="102">
      <c r="A102" s="10" t="inlineStr">
        <is>
          <t>ACC-16</t>
        </is>
      </c>
      <c r="B102" s="11" t="inlineStr">
        <is>
          <t>Sign in to the portal with a staff email and act only as a data principal</t>
        </is>
      </c>
      <c r="C102" s="11" t="n">
        <v>6</v>
      </c>
      <c r="D102" s="11" t="inlineStr">
        <is>
          <t>Open http://localhost:3000/sign-in in the same window.</t>
        </is>
      </c>
      <c r="E102" s="11" t="inlineStr">
        <is>
          <t>The console sign-in form does not stay; you are sent to the portal (http://localhost:3001), because this window holds a data principal session.</t>
        </is>
      </c>
      <c r="F102" s="16" t="n"/>
      <c r="G102" s="16" t="n"/>
    </row>
    <row r="103">
      <c r="A103" s="10" t="inlineStr">
        <is>
          <t>ACC-16</t>
        </is>
      </c>
      <c r="B103" s="11" t="inlineStr">
        <is>
          <t>Sign in to the portal with a staff email and act only as a data principal</t>
        </is>
      </c>
      <c r="C103" s="11" t="n">
        <v>7</v>
      </c>
      <c r="D103" s="11" t="inlineStr">
        <is>
          <t>On the portal click 'Sign out'. Then sign in to the console at http://localhost:3000/sign-in as dpo@cmp.local with SeedPassw0rd!2026 and the emailed code.</t>
        </is>
      </c>
      <c r="E103" s="11" t="inlineStr">
        <is>
          <t>The console asks for the password and the code, and only then shows the full DPO Dashboard with the 'DPO' badge. The portal code alone never gave DPO access.</t>
        </is>
      </c>
      <c r="F103" s="16" t="n"/>
      <c r="G103" s="16" t="n"/>
    </row>
    <row r="104">
      <c r="A104" s="10" t="inlineStr">
        <is>
          <t>ACC-17</t>
        </is>
      </c>
      <c r="B104" s="11" t="inlineStr">
        <is>
          <t>Add a second email on the portal and sign in with it once confirmed</t>
        </is>
      </c>
      <c r="C104" s="11" t="n">
        <v>1</v>
      </c>
      <c r="D104" s="11" t="inlineStr">
        <is>
          <t>Click your name at the top right to open the account menu, then click 'My profile'.</t>
        </is>
      </c>
      <c r="E104" s="11" t="inlineStr">
        <is>
          <t>'My profile' opens. Contacts lists 'Email' (tester01@example.org, 'Confirmed', no Change button), 'Mobile' (with 'Change') and 'Second email' ('None given', with 'Add'). Identity shows a 'Session expires' time about 8 hours after you signed in.</t>
        </is>
      </c>
      <c r="F104" s="16" t="n"/>
      <c r="G104" s="16" t="n"/>
    </row>
    <row r="105">
      <c r="A105" s="10" t="inlineStr">
        <is>
          <t>ACC-17</t>
        </is>
      </c>
      <c r="B105" s="11" t="inlineStr">
        <is>
          <t>Add a second email on the portal and sign in with it once confirmed</t>
        </is>
      </c>
      <c r="C105" s="11" t="n">
        <v>2</v>
      </c>
      <c r="D105" s="11" t="inlineStr">
        <is>
          <t>In the 'Second email' row click 'Add', type tester01@example.org and click 'Save and send a code'.</t>
        </is>
      </c>
      <c r="E105" s="11" t="inlineStr">
        <is>
          <t>A red message in the row reads 'That is already the address on your account'.</t>
        </is>
      </c>
      <c r="F105" s="16" t="n"/>
      <c r="G105" s="16" t="n"/>
    </row>
    <row r="106">
      <c r="A106" s="10" t="inlineStr">
        <is>
          <t>ACC-17</t>
        </is>
      </c>
      <c r="B106" s="11" t="inlineStr">
        <is>
          <t>Add a second email on the portal and sign in with it once confirmed</t>
        </is>
      </c>
      <c r="C106" s="11" t="n">
        <v>3</v>
      </c>
      <c r="D106" s="11" t="inlineStr">
        <is>
          <t>Replace it with subject@cmp.local and click 'Save and send a code'.</t>
        </is>
      </c>
      <c r="E106" s="11" t="inlineStr">
        <is>
          <t>A red message reads 'That address belongs to another account'.</t>
        </is>
      </c>
      <c r="F106" s="16" t="n"/>
      <c r="G106" s="16" t="n"/>
    </row>
    <row r="107">
      <c r="A107" s="10" t="inlineStr">
        <is>
          <t>ACC-17</t>
        </is>
      </c>
      <c r="B107" s="11" t="inlineStr">
        <is>
          <t>Add a second email on the portal and sign in with it once confirmed</t>
        </is>
      </c>
      <c r="C107" s="11" t="n">
        <v>4</v>
      </c>
      <c r="D107" s="11" t="inlineStr">
        <is>
          <t>Replace it with tester01-personal@example.org and click 'Save and send a code'.</t>
        </is>
      </c>
      <c r="E107" s="11" t="inlineStr">
        <is>
          <t>Green toast 'Saved': 'We have sent a code to tester01-personal@example.org.' The row shows the address with 'Not confirmed' and a 'Six-digit code' box with 'Confirm' and 'Later'.</t>
        </is>
      </c>
      <c r="F107" s="16" t="n"/>
      <c r="G107" s="16" t="n"/>
    </row>
    <row r="108">
      <c r="A108" s="10" t="inlineStr">
        <is>
          <t>ACC-17</t>
        </is>
      </c>
      <c r="B108" s="11" t="inlineStr">
        <is>
          <t>Add a second email on the portal and sign in with it once confirmed</t>
        </is>
      </c>
      <c r="C108" s="11" t="n">
        <v>5</v>
      </c>
      <c r="D108" s="11" t="inlineStr">
        <is>
          <t>Click 'Later'. Then click 'Sign out'. On 'Sign in', choose 'Email', type tester01-personal@example.org and click 'Send me a code'.</t>
        </is>
      </c>
      <c r="E108" s="11" t="inlineStr">
        <is>
          <t>The neutral 'Check your messages' notice appears, but the test coordinator confirms that no sign-in code was sent to tester01-personal@example.org: an unconfirmed address cannot sign anyone in.</t>
        </is>
      </c>
      <c r="F108" s="16" t="n"/>
      <c r="G108" s="16" t="n"/>
    </row>
    <row r="109">
      <c r="A109" s="10" t="inlineStr">
        <is>
          <t>ACC-17</t>
        </is>
      </c>
      <c r="B109" s="11" t="inlineStr">
        <is>
          <t>Add a second email on the portal and sign in with it once confirmed</t>
        </is>
      </c>
      <c r="C109" s="11" t="n">
        <v>6</v>
      </c>
      <c r="D109" s="11" t="inlineStr">
        <is>
          <t>Click 'Use a different contact' and sign in with the mobile +91 98111 22301 and its code from the test coordinator. Open 'My profile' from the account menu.</t>
        </is>
      </c>
      <c r="E109" s="11" t="inlineStr">
        <is>
          <t>The 'Second email' row shows tester01-personal@example.org with 'Not confirmed' and a 'Send a code' button.</t>
        </is>
      </c>
      <c r="F109" s="16" t="n"/>
      <c r="G109" s="16" t="n"/>
    </row>
    <row r="110">
      <c r="A110" s="10" t="inlineStr">
        <is>
          <t>ACC-17</t>
        </is>
      </c>
      <c r="B110" s="11" t="inlineStr">
        <is>
          <t>Add a second email on the portal and sign in with it once confirmed</t>
        </is>
      </c>
      <c r="C110" s="11" t="n">
        <v>7</v>
      </c>
      <c r="D110" s="11" t="inlineStr">
        <is>
          <t>Click 'Send a code'. Enter the code the test coordinator gives you for tester01-personal@example.org and click 'Confirm'.</t>
        </is>
      </c>
      <c r="E110" s="11" t="inlineStr">
        <is>
          <t>Green toast 'Confirmed': 'tester01-personal@example.org can now sign you in.' The row shows 'Confirmed' and a 'Remove' button.</t>
        </is>
      </c>
      <c r="F110" s="16" t="n"/>
      <c r="G110" s="16" t="n"/>
    </row>
    <row r="111">
      <c r="A111" s="10" t="inlineStr">
        <is>
          <t>ACC-17</t>
        </is>
      </c>
      <c r="B111" s="11" t="inlineStr">
        <is>
          <t>Add a second email on the portal and sign in with it once confirmed</t>
        </is>
      </c>
      <c r="C111" s="11" t="n">
        <v>8</v>
      </c>
      <c r="D111" s="11" t="inlineStr">
        <is>
          <t>Click 'Sign out'. Sign in with 'Email' tester01-personal@example.org and the code the test coordinator gives you for it.</t>
        </is>
      </c>
      <c r="E111" s="11" t="inlineStr">
        <is>
          <t>You are signed in as Tester One and land on 'My consents'.</t>
        </is>
      </c>
      <c r="F111" s="16" t="n"/>
      <c r="G111" s="16" t="n"/>
    </row>
    <row r="112">
      <c r="A112" s="10" t="inlineStr">
        <is>
          <t>ACC-18</t>
        </is>
      </c>
      <c r="B112" s="11" t="inlineStr">
        <is>
          <t>Change the mobile number on the portal and confirm it with a code</t>
        </is>
      </c>
      <c r="C112" s="11" t="n">
        <v>1</v>
      </c>
      <c r="D112" s="11" t="inlineStr">
        <is>
          <t>Click your name at the top right to open the account menu, then click 'My profile'. In the 'Mobile' row click 'Change'.</t>
        </is>
      </c>
      <c r="E112" s="11" t="inlineStr">
        <is>
          <t>A 'Mobile' box opens, already filled with the current number, with the buttons 'Save and send a code' and 'Cancel'.</t>
        </is>
      </c>
      <c r="F112" s="16" t="n"/>
      <c r="G112" s="16" t="n"/>
    </row>
    <row r="113">
      <c r="A113" s="10" t="inlineStr">
        <is>
          <t>ACC-18</t>
        </is>
      </c>
      <c r="B113" s="11" t="inlineStr">
        <is>
          <t>Change the mobile number on the portal and confirm it with a code</t>
        </is>
      </c>
      <c r="C113" s="11" t="n">
        <v>2</v>
      </c>
      <c r="D113" s="11" t="inlineStr">
        <is>
          <t>Replace the number with +91 90000 00001 and click 'Save and send a code'.</t>
        </is>
      </c>
      <c r="E113" s="11" t="inlineStr">
        <is>
          <t>A red message in the row reads 'That mobile belongs to another account'. The mobile is not changed.</t>
        </is>
      </c>
      <c r="F113" s="16" t="n"/>
      <c r="G113" s="16" t="n"/>
    </row>
    <row r="114">
      <c r="A114" s="10" t="inlineStr">
        <is>
          <t>ACC-18</t>
        </is>
      </c>
      <c r="B114" s="11" t="inlineStr">
        <is>
          <t>Change the mobile number on the portal and confirm it with a code</t>
        </is>
      </c>
      <c r="C114" s="11" t="n">
        <v>3</v>
      </c>
      <c r="D114" s="11" t="inlineStr">
        <is>
          <t>Replace the number with +91 98111 22399 and click 'Save and send a code'.</t>
        </is>
      </c>
      <c r="E114" s="11" t="inlineStr">
        <is>
          <t>Green toast 'Saved': 'We have sent a code to +91 98111 22399.' The row shows the new number with 'Not confirmed' and a 'Six-digit code' box (hint: 'Sent to the contact above. It expires in ten minutes.').</t>
        </is>
      </c>
      <c r="F114" s="16" t="n"/>
      <c r="G114" s="16" t="n"/>
    </row>
    <row r="115">
      <c r="A115" s="10" t="inlineStr">
        <is>
          <t>ACC-18</t>
        </is>
      </c>
      <c r="B115" s="11" t="inlineStr">
        <is>
          <t>Change the mobile number on the portal and confirm it with a code</t>
        </is>
      </c>
      <c r="C115" s="11" t="n">
        <v>4</v>
      </c>
      <c r="D115" s="11" t="inlineStr">
        <is>
          <t>Type 000000 and click 'Confirm'.</t>
        </is>
      </c>
      <c r="E115" s="11" t="inlineStr">
        <is>
          <t>A red message 'Invalid or expired code' appears; the number stays 'Not confirmed'.</t>
        </is>
      </c>
      <c r="F115" s="16" t="n"/>
      <c r="G115" s="16" t="n"/>
    </row>
    <row r="116">
      <c r="A116" s="10" t="inlineStr">
        <is>
          <t>ACC-18</t>
        </is>
      </c>
      <c r="B116" s="11" t="inlineStr">
        <is>
          <t>Change the mobile number on the portal and confirm it with a code</t>
        </is>
      </c>
      <c r="C116" s="11" t="n">
        <v>5</v>
      </c>
      <c r="D116" s="11" t="inlineStr">
        <is>
          <t>Click 'Later', then click 'Change' on the Mobile row and, without editing the number, click 'Save and send a code'.</t>
        </is>
      </c>
      <c r="E116" s="11" t="inlineStr">
        <is>
          <t>A new code is sent (toast 'Saved': 'We have sent a code to +91 98111 22399.') and the 'Six-digit code' box appears again.</t>
        </is>
      </c>
      <c r="F116" s="16" t="n"/>
      <c r="G116" s="16" t="n"/>
    </row>
    <row r="117">
      <c r="A117" s="10" t="inlineStr">
        <is>
          <t>ACC-18</t>
        </is>
      </c>
      <c r="B117" s="11" t="inlineStr">
        <is>
          <t>Change the mobile number on the portal and confirm it with a code</t>
        </is>
      </c>
      <c r="C117" s="11" t="n">
        <v>6</v>
      </c>
      <c r="D117" s="11" t="inlineStr">
        <is>
          <t>Enter the newest code the test coordinator gives you for +91 98111 22399 (from the test outbox) and click 'Confirm'.</t>
        </is>
      </c>
      <c r="E117" s="11" t="inlineStr">
        <is>
          <t>Green toast 'Confirmed': '+91 98111 22399 can now sign you in.' The row shows 'Confirmed'.</t>
        </is>
      </c>
      <c r="F117" s="16" t="n"/>
      <c r="G117" s="16" t="n"/>
    </row>
    <row r="118">
      <c r="A118" s="10" t="inlineStr">
        <is>
          <t>ACC-18</t>
        </is>
      </c>
      <c r="B118" s="11" t="inlineStr">
        <is>
          <t>Change the mobile number on the portal and confirm it with a code</t>
        </is>
      </c>
      <c r="C118" s="11" t="n">
        <v>7</v>
      </c>
      <c r="D118" s="11" t="inlineStr">
        <is>
          <t>Click 'Change' on the Mobile row again and, without editing, click 'Save and send a code'.</t>
        </is>
      </c>
      <c r="E118" s="11" t="inlineStr">
        <is>
          <t>Toast 'Saved': 'That contact is already confirmed, so no code was needed.' No code box appears and the badge stays 'Confirmed'.</t>
        </is>
      </c>
      <c r="F118" s="16" t="n"/>
      <c r="G118" s="16" t="n"/>
    </row>
    <row r="119">
      <c r="A119" s="10" t="inlineStr">
        <is>
          <t>ACC-18</t>
        </is>
      </c>
      <c r="B119" s="11" t="inlineStr">
        <is>
          <t>Change the mobile number on the portal and confirm it with a code</t>
        </is>
      </c>
      <c r="C119" s="11" t="n">
        <v>8</v>
      </c>
      <c r="D119" s="11" t="inlineStr">
        <is>
          <t>Click 'Sign out' and sign in with 'Mobile' +91 98111 22399 and the code the test coordinator gives you.</t>
        </is>
      </c>
      <c r="E119" s="11" t="inlineStr">
        <is>
          <t>You are signed in as Tester One and land on 'My consents'.</t>
        </is>
      </c>
      <c r="F119" s="16" t="n"/>
      <c r="G119" s="16" t="n"/>
    </row>
    <row r="120">
      <c r="A120" s="10" t="inlineStr">
        <is>
          <t>ACC-19</t>
        </is>
      </c>
      <c r="B120" s="11" t="inlineStr">
        <is>
          <t>Check portal page redirects for signed-in, signed-out and staff visitors</t>
        </is>
      </c>
      <c r="C120" s="11" t="n">
        <v>1</v>
      </c>
      <c r="D120" s="11" t="inlineStr">
        <is>
          <t>Type http://localhost:3001/sign-in/verify into the address bar and press Enter.</t>
        </is>
      </c>
      <c r="E120" s="11" t="inlineStr">
        <is>
          <t>A page headed 'Verify it is you' briefly says 'Staff sign in on the console. Taking you there.' and you are then taken to the console (http://localhost:3000). With no sign-in in progress, the console shows its 'Sign in' page. There is no 'page not found'.</t>
        </is>
      </c>
      <c r="F120" s="16" t="n"/>
      <c r="G120" s="16" t="n"/>
    </row>
    <row r="121">
      <c r="A121" s="10" t="inlineStr">
        <is>
          <t>ACC-19</t>
        </is>
      </c>
      <c r="B121" s="11" t="inlineStr">
        <is>
          <t>Check portal page redirects for signed-in, signed-out and staff visitors</t>
        </is>
      </c>
      <c r="C121" s="11" t="n">
        <v>2</v>
      </c>
      <c r="D121" s="11" t="inlineStr">
        <is>
          <t>Type http://localhost:3001/my-requests into the address bar and press Enter.</t>
        </is>
      </c>
      <c r="E121" s="11" t="inlineStr">
        <is>
          <t>You are sent to the portal 'Sign in' page; the address contains 'next=' followed by the my-requests path.</t>
        </is>
      </c>
      <c r="F121" s="16" t="n"/>
      <c r="G121" s="16" t="n"/>
    </row>
    <row r="122">
      <c r="A122" s="10" t="inlineStr">
        <is>
          <t>ACC-19</t>
        </is>
      </c>
      <c r="B122" s="11" t="inlineStr">
        <is>
          <t>Check portal page redirects for signed-in, signed-out and staff visitors</t>
        </is>
      </c>
      <c r="C122" s="11" t="n">
        <v>3</v>
      </c>
      <c r="D122" s="11" t="inlineStr">
        <is>
          <t>Choose 'Email', type subject@cmp.local, click 'Send me a code', enter the code the test coordinator gives you for subject@cmp.local (from the test outbox) and click 'Verify'.</t>
        </is>
      </c>
      <c r="E122" s="11" t="inlineStr">
        <is>
          <t>You land on 'My requests' (the page you asked for), not on 'My consents'.</t>
        </is>
      </c>
      <c r="F122" s="16" t="n"/>
      <c r="G122" s="16" t="n"/>
    </row>
    <row r="123">
      <c r="A123" s="10" t="inlineStr">
        <is>
          <t>ACC-19</t>
        </is>
      </c>
      <c r="B123" s="11" t="inlineStr">
        <is>
          <t>Check portal page redirects for signed-in, signed-out and staff visitors</t>
        </is>
      </c>
      <c r="C123" s="11" t="n">
        <v>4</v>
      </c>
      <c r="D123" s="11" t="inlineStr">
        <is>
          <t>While signed in, type http://localhost:3001/sign-in into the address bar and press Enter.</t>
        </is>
      </c>
      <c r="E123" s="11" t="inlineStr">
        <is>
          <t>The sign-in form does not stay; you are sent to 'My consents'.</t>
        </is>
      </c>
      <c r="F123" s="16" t="n"/>
      <c r="G123" s="16" t="n"/>
    </row>
    <row r="124">
      <c r="A124" s="10" t="inlineStr">
        <is>
          <t>ACC-19</t>
        </is>
      </c>
      <c r="B124" s="11" t="inlineStr">
        <is>
          <t>Check portal page redirects for signed-in, signed-out and staff visitors</t>
        </is>
      </c>
      <c r="C124" s="11" t="n">
        <v>5</v>
      </c>
      <c r="D124" s="11" t="inlineStr">
        <is>
          <t>Type http://localhost:3001/sign-up and press Enter.</t>
        </is>
      </c>
      <c r="E124" s="11" t="inlineStr">
        <is>
          <t>The sign-up form does not stay; you are sent to 'My consents'.</t>
        </is>
      </c>
      <c r="F124" s="16" t="n"/>
      <c r="G124" s="16" t="n"/>
    </row>
    <row r="125">
      <c r="A125" s="10" t="inlineStr">
        <is>
          <t>ACC-19</t>
        </is>
      </c>
      <c r="B125" s="11" t="inlineStr">
        <is>
          <t>Check portal page redirects for signed-in, signed-out and staff visitors</t>
        </is>
      </c>
      <c r="C125" s="11" t="n">
        <v>6</v>
      </c>
      <c r="D125" s="11" t="inlineStr">
        <is>
          <t>Type http://localhost:3001 and press Enter.</t>
        </is>
      </c>
      <c r="E125" s="11" t="inlineStr">
        <is>
          <t>The portal home goes straight to 'My consents'.</t>
        </is>
      </c>
      <c r="F125" s="16" t="n"/>
      <c r="G125" s="16" t="n"/>
    </row>
    <row r="126">
      <c r="A126" s="10" t="inlineStr">
        <is>
          <t>ACC-19</t>
        </is>
      </c>
      <c r="B126" s="11" t="inlineStr">
        <is>
          <t>Check portal page redirects for signed-in, signed-out and staff visitors</t>
        </is>
      </c>
      <c r="C126" s="11" t="n">
        <v>7</v>
      </c>
      <c r="D126" s="11" t="inlineStr">
        <is>
          <t>Click 'Sign out'.</t>
        </is>
      </c>
      <c r="E126" s="11" t="inlineStr">
        <is>
          <t>You are back on the portal 'Sign in' page.</t>
        </is>
      </c>
      <c r="F126" s="16" t="n"/>
      <c r="G126" s="16" t="n"/>
    </row>
    <row r="127">
      <c r="A127" s="10" t="inlineStr">
        <is>
          <t>ACC-20</t>
        </is>
      </c>
      <c r="B127" s="11" t="inlineStr">
        <is>
          <t>End a portal session after 30 minutes without activity</t>
        </is>
      </c>
      <c r="C127" s="11" t="n">
        <v>1</v>
      </c>
      <c r="D127" s="11" t="inlineStr">
        <is>
          <t>Sign in to http://localhost:3001 with 'Mobile' +91 90000 00001 and the code the test coordinator gives you. Open 'My profile' from the account menu (your name at the top right) and note the 'Session expires' time in Identity.</t>
        </is>
      </c>
      <c r="E127" s="11" t="inlineStr">
        <is>
          <t>'My profile' opens. 'Session expires' is about 8 hours after the sign-in time (the absolute limit).</t>
        </is>
      </c>
      <c r="F127" s="16" t="n"/>
      <c r="G127" s="16" t="n"/>
    </row>
    <row r="128">
      <c r="A128" s="10" t="inlineStr">
        <is>
          <t>ACC-20</t>
        </is>
      </c>
      <c r="B128" s="11" t="inlineStr">
        <is>
          <t>End a portal session after 30 minutes without activity</t>
        </is>
      </c>
      <c r="C128" s="11" t="n">
        <v>2</v>
      </c>
      <c r="D128" s="11" t="inlineStr">
        <is>
          <t>Click 'My consents'. Then leave the browser completely untouched (no clicks, no typing, do not switch to this window) for 31 minutes.</t>
        </is>
      </c>
      <c r="E128" s="11" t="inlineStr">
        <is>
          <t>Nothing visible happens while you wait.</t>
        </is>
      </c>
      <c r="F128" s="16" t="n"/>
      <c r="G128" s="16" t="n"/>
    </row>
    <row r="129">
      <c r="A129" s="10" t="inlineStr">
        <is>
          <t>ACC-20</t>
        </is>
      </c>
      <c r="B129" s="11" t="inlineStr">
        <is>
          <t>End a portal session after 30 minutes without activity</t>
        </is>
      </c>
      <c r="C129" s="11" t="n">
        <v>3</v>
      </c>
      <c r="D129" s="11" t="inlineStr">
        <is>
          <t>After 31 minutes, return to the window and, if you are still on 'My consents', click 'My requests'.</t>
        </is>
      </c>
      <c r="E129" s="11" t="inlineStr">
        <is>
          <t>Your data is not shown any more. As soon as you return to the window, or at the latest when you click, you are taken to the portal 'Sign in' page (the address carries 'next='), because the session ended after 30 minutes without activity.</t>
        </is>
      </c>
      <c r="F129" s="16" t="n"/>
      <c r="G129" s="16" t="n"/>
    </row>
    <row r="130">
      <c r="A130" s="10" t="inlineStr">
        <is>
          <t>ACC-20</t>
        </is>
      </c>
      <c r="B130" s="11" t="inlineStr">
        <is>
          <t>End a portal session after 30 minutes without activity</t>
        </is>
      </c>
      <c r="C130" s="11" t="n">
        <v>4</v>
      </c>
      <c r="D130" s="11" t="inlineStr">
        <is>
          <t>Sign in again with the mobile and a new code from the test coordinator.</t>
        </is>
      </c>
      <c r="E130" s="11" t="inlineStr">
        <is>
          <t>You are signed in again and land on the page named in the address ('My consents' or 'My requests'), not on a blank or error page.</t>
        </is>
      </c>
      <c r="F130" s="16" t="n"/>
      <c r="G130" s="16" t="n"/>
    </row>
    <row r="131">
      <c r="A131" s="10" t="inlineStr">
        <is>
          <t>REG-01</t>
        </is>
      </c>
      <c r="B131" s="11" t="inlineStr">
        <is>
          <t>Administrator provisions a new staff account</t>
        </is>
      </c>
      <c r="C131" s="11" t="n">
        <v>1</v>
      </c>
      <c r="D131" s="11" t="inlineStr">
        <is>
          <t>Open http://localhost:3000. On the 'Sign in' page type admin@cmp.local in 'Email or username' and SeedPassw0rd!2026 in 'Password', then click 'Sign in'. On the 'Verify it is you' page, ask the test coordinator for the sign-in code sent to admin@cmp.local (from the test outbox), type it in '6-digit code' and click 'Verify and continue'.</t>
        </is>
      </c>
      <c r="E131" s="11" t="inlineStr">
        <is>
          <t>The Dashboard opens. The top-right corner of the header shows 'System Admin' with the role badge 'Administrator'.</t>
        </is>
      </c>
      <c r="F131" s="16" t="n"/>
      <c r="G131" s="16" t="n"/>
    </row>
    <row r="132">
      <c r="A132" s="10" t="inlineStr">
        <is>
          <t>REG-01</t>
        </is>
      </c>
      <c r="B132" s="11" t="inlineStr">
        <is>
          <t>Administrator provisions a new staff account</t>
        </is>
      </c>
      <c r="C132" s="11" t="n">
        <v>2</v>
      </c>
      <c r="D132" s="11" t="inlineStr">
        <is>
          <t>In the left-hand sidebar, under 'Your work', click 'Users'.</t>
        </is>
      </c>
      <c r="E132" s="11" t="inlineStr">
        <is>
          <t>The 'Users' page opens with the register of accounts (columns Name, Role, Person type, Status, Registered, Action) and a 'Provision account' button at the top right.</t>
        </is>
      </c>
      <c r="F132" s="16" t="n"/>
      <c r="G132" s="16" t="n"/>
    </row>
    <row r="133">
      <c r="A133" s="10" t="inlineStr">
        <is>
          <t>REG-01</t>
        </is>
      </c>
      <c r="B133" s="11" t="inlineStr">
        <is>
          <t>Administrator provisions a new staff account</t>
        </is>
      </c>
      <c r="C133" s="11" t="n">
        <v>3</v>
      </c>
      <c r="D133" s="11" t="inlineStr">
        <is>
          <t>Click 'Provision account'.</t>
        </is>
      </c>
      <c r="E133" s="11" t="inlineStr">
        <is>
          <t>A dialog titled 'Provision an account' opens. It says no password is set here and that an email invites the person to choose their own. There is no password field.</t>
        </is>
      </c>
      <c r="F133" s="16" t="n"/>
      <c r="G133" s="16" t="n"/>
    </row>
    <row r="134">
      <c r="A134" s="10" t="inlineStr">
        <is>
          <t>REG-01</t>
        </is>
      </c>
      <c r="B134" s="11" t="inlineStr">
        <is>
          <t>Administrator provisions a new staff account</t>
        </is>
      </c>
      <c r="C134" s="11" t="n">
        <v>4</v>
      </c>
      <c r="D134" s="11" t="inlineStr">
        <is>
          <t>Type 'UAT DCO 01' in 'Full name' and 'uat.dco01@cmp.local' in 'Email'. In 'Role' choose 'Data Collection Owner'. In 'Person type' choose 'Employee'. Leave the 'Data sources' boxes unticked.</t>
        </is>
      </c>
      <c r="E134" s="11" t="inlineStr">
        <is>
          <t>The fields accept the values. Because the role is Data Collection Owner, a 'Data sources' section is shown (optional).</t>
        </is>
      </c>
      <c r="F134" s="16" t="n"/>
      <c r="G134" s="16" t="n"/>
    </row>
    <row r="135">
      <c r="A135" s="10" t="inlineStr">
        <is>
          <t>REG-01</t>
        </is>
      </c>
      <c r="B135" s="11" t="inlineStr">
        <is>
          <t>Administrator provisions a new staff account</t>
        </is>
      </c>
      <c r="C135" s="11" t="n">
        <v>5</v>
      </c>
      <c r="D135" s="11" t="inlineStr">
        <is>
          <t>Click 'Create account'.</t>
        </is>
      </c>
      <c r="E135" s="11" t="inlineStr">
        <is>
          <t>The dialog closes and a green message 'Account created' appears, saying an email is on its way to uat.dco01@cmp.local with a code to set a password and that the account stays pending until they do.</t>
        </is>
      </c>
      <c r="F135" s="16" t="n"/>
      <c r="G135" s="16" t="n"/>
    </row>
    <row r="136">
      <c r="A136" s="10" t="inlineStr">
        <is>
          <t>REG-01</t>
        </is>
      </c>
      <c r="B136" s="11" t="inlineStr">
        <is>
          <t>Administrator provisions a new staff account</t>
        </is>
      </c>
      <c r="C136" s="11" t="n">
        <v>6</v>
      </c>
      <c r="D136" s="11" t="inlineStr">
        <is>
          <t>In the 'Search' box type uat.dco01@cmp.local and click 'Search'.</t>
        </is>
      </c>
      <c r="E136" s="11" t="inlineStr">
        <is>
          <t>The register shows one row: 'UAT DCO 01' (uat.dco01@cmp.local), Role 'Data Collection Owner', Person type 'Employee', Status 'Pending', Registered = today's date.</t>
        </is>
      </c>
      <c r="F136" s="16" t="n"/>
      <c r="G136" s="16" t="n"/>
    </row>
    <row r="137">
      <c r="A137" s="10" t="inlineStr">
        <is>
          <t>REG-01</t>
        </is>
      </c>
      <c r="B137" s="11" t="inlineStr">
        <is>
          <t>Administrator provisions a new staff account</t>
        </is>
      </c>
      <c r="C137" s="11" t="n">
        <v>7</v>
      </c>
      <c r="D137" s="11" t="inlineStr">
        <is>
          <t>Look at the 'Action' column for that row.</t>
        </is>
      </c>
      <c r="E137" s="11" t="inlineStr">
        <is>
          <t>The buttons 'Edit', 'Role', 'Reset MFA', 'Resend invitation' and 'End staff access' are shown.</t>
        </is>
      </c>
      <c r="F137" s="16" t="n"/>
      <c r="G137" s="16" t="n"/>
    </row>
    <row r="138">
      <c r="A138" s="10" t="inlineStr">
        <is>
          <t>REG-01</t>
        </is>
      </c>
      <c r="B138" s="11" t="inlineStr">
        <is>
          <t>Administrator provisions a new staff account</t>
        </is>
      </c>
      <c r="C138" s="11" t="n">
        <v>8</v>
      </c>
      <c r="D138" s="11" t="inlineStr">
        <is>
          <t>Ask the test coordinator to confirm an invitation email was sent to uat.dco01@cmp.local (from the test outbox).</t>
        </is>
      </c>
      <c r="E138" s="11" t="inlineStr">
        <is>
          <t>The coordinator confirms an email with the subject beginning 'Set your password for the' that names the role 'Data Collection Owner', contains a link to the console's password page and a numeric code. No password appears in the email.</t>
        </is>
      </c>
      <c r="F138" s="16" t="n"/>
      <c r="G138" s="16" t="n"/>
    </row>
    <row r="139">
      <c r="A139" s="10" t="inlineStr">
        <is>
          <t>REG-02</t>
        </is>
      </c>
      <c r="B139" s="11" t="inlineStr">
        <is>
          <t>New member of staff sets a password from the invitation, which activates the account</t>
        </is>
      </c>
      <c r="C139" s="11" t="n">
        <v>1</v>
      </c>
      <c r="D139" s="11" t="inlineStr">
        <is>
          <t>Ask the test coordinator for the invitation sent to uat.dco01@cmp.local (from the test outbox). Open the link it contains in the browser.</t>
        </is>
      </c>
      <c r="E139" s="11" t="inlineStr">
        <is>
          <t>A page titled 'Set your password' opens, saying 'Enter the code sent to uat.dco01@cmp.local and choose a password.' It shows the fields 'Code', 'New password' and 'Confirm new password'.</t>
        </is>
      </c>
      <c r="F139" s="16" t="n"/>
      <c r="G139" s="16" t="n"/>
    </row>
    <row r="140">
      <c r="A140" s="10" t="inlineStr">
        <is>
          <t>REG-02</t>
        </is>
      </c>
      <c r="B140" s="11" t="inlineStr">
        <is>
          <t>New member of staff sets a password from the invitation, which activates the account</t>
        </is>
      </c>
      <c r="C140" s="11" t="n">
        <v>2</v>
      </c>
      <c r="D140" s="11" t="inlineStr">
        <is>
          <t>Type the code from the invitation in 'Code', 'UatPassw0rd!2026' in 'New password' and 'UatPassw0rd!2027' in 'Confirm new password'. Click 'Set the new password'.</t>
        </is>
      </c>
      <c r="E140" s="11" t="inlineStr">
        <is>
          <t>The password is not set. The message 'The two passwords do not match' appears under 'Confirm new password'.</t>
        </is>
      </c>
      <c r="F140" s="16" t="n"/>
      <c r="G140" s="16" t="n"/>
    </row>
    <row r="141">
      <c r="A141" s="10" t="inlineStr">
        <is>
          <t>REG-02</t>
        </is>
      </c>
      <c r="B141" s="11" t="inlineStr">
        <is>
          <t>New member of staff sets a password from the invitation, which activates the account</t>
        </is>
      </c>
      <c r="C141" s="11" t="n">
        <v>3</v>
      </c>
      <c r="D141" s="11" t="inlineStr">
        <is>
          <t>Correct 'Confirm new password' to 'UatPassw0rd!2026' and click 'Set the new password'.</t>
        </is>
      </c>
      <c r="E141" s="11" t="inlineStr">
        <is>
          <t>A green panel 'Password changed' appears ('Every other session has been signed out. Taking you to sign in…') and after a few seconds the 'Sign in' page opens.</t>
        </is>
      </c>
      <c r="F141" s="16" t="n"/>
      <c r="G141" s="16" t="n"/>
    </row>
    <row r="142">
      <c r="A142" s="10" t="inlineStr">
        <is>
          <t>REG-02</t>
        </is>
      </c>
      <c r="B142" s="11" t="inlineStr">
        <is>
          <t>New member of staff sets a password from the invitation, which activates the account</t>
        </is>
      </c>
      <c r="C142" s="11" t="n">
        <v>4</v>
      </c>
      <c r="D142" s="11" t="inlineStr">
        <is>
          <t>Open http://localhost:3000. On the 'Sign in' page type uat.dco01@cmp.local in 'Email or username' and UatPassw0rd!2026 in 'Password', then click 'Sign in'. On the 'Verify it is you' page, ask the test coordinator for the sign-in code sent to uat.dco01@cmp.local (from the test outbox), type it in '6-digit code' and click 'Verify and continue'.</t>
        </is>
      </c>
      <c r="E142" s="11" t="inlineStr">
        <is>
          <t>The Dashboard opens. The top-right corner of the header shows 'UAT DCO 01' with the role badge 'Data Collection Owner'.</t>
        </is>
      </c>
      <c r="F142" s="16" t="n"/>
      <c r="G142" s="16" t="n"/>
    </row>
    <row r="143">
      <c r="A143" s="10" t="inlineStr">
        <is>
          <t>REG-02</t>
        </is>
      </c>
      <c r="B143" s="11" t="inlineStr">
        <is>
          <t>New member of staff sets a password from the invitation, which activates the account</t>
        </is>
      </c>
      <c r="C143" s="11" t="n">
        <v>5</v>
      </c>
      <c r="D143" s="11" t="inlineStr">
        <is>
          <t>Look at the left-hand sidebar.</t>
        </is>
      </c>
      <c r="E143" s="11" t="inlineStr">
        <is>
          <t>The sidebar shows the Data Collection Owner's pages (for example 'My projects', 'Collection sites', 'Data sources', 'Delegations') and does NOT show 'Users'.</t>
        </is>
      </c>
      <c r="F143" s="16" t="n"/>
      <c r="G143" s="16" t="n"/>
    </row>
    <row r="144">
      <c r="A144" s="10" t="inlineStr">
        <is>
          <t>REG-02</t>
        </is>
      </c>
      <c r="B144" s="11" t="inlineStr">
        <is>
          <t>New member of staff sets a password from the invitation, which activates the account</t>
        </is>
      </c>
      <c r="C144" s="11" t="n">
        <v>6</v>
      </c>
      <c r="D144" s="11" t="inlineStr">
        <is>
          <t>Click 'Sign out' at the bottom of the left-hand sidebar.</t>
        </is>
      </c>
      <c r="E144" s="11" t="inlineStr">
        <is>
          <t>You are returned to the 'Sign in' page.</t>
        </is>
      </c>
      <c r="F144" s="16" t="n"/>
      <c r="G144" s="16" t="n"/>
    </row>
    <row r="145">
      <c r="A145" s="10" t="inlineStr">
        <is>
          <t>REG-02</t>
        </is>
      </c>
      <c r="B145" s="11" t="inlineStr">
        <is>
          <t>New member of staff sets a password from the invitation, which activates the account</t>
        </is>
      </c>
      <c r="C145" s="11" t="n">
        <v>7</v>
      </c>
      <c r="D145" s="11" t="inlineStr">
        <is>
          <t>Open http://localhost:3000. On the 'Sign in' page type admin@cmp.local in 'Email or username' and SeedPassw0rd!2026 in 'Password', then click 'Sign in'. On the 'Verify it is you' page, ask the test coordinator for the sign-in code sent to admin@cmp.local (from the test outbox), type it in '6-digit code' and click 'Verify and continue'.</t>
        </is>
      </c>
      <c r="E145" s="11" t="inlineStr">
        <is>
          <t>The Dashboard opens. The top-right corner of the header shows 'System Admin' with the role badge 'Administrator'.</t>
        </is>
      </c>
      <c r="F145" s="16" t="n"/>
      <c r="G145" s="16" t="n"/>
    </row>
    <row r="146">
      <c r="A146" s="10" t="inlineStr">
        <is>
          <t>REG-02</t>
        </is>
      </c>
      <c r="B146" s="11" t="inlineStr">
        <is>
          <t>New member of staff sets a password from the invitation, which activates the account</t>
        </is>
      </c>
      <c r="C146" s="11" t="n">
        <v>8</v>
      </c>
      <c r="D146" s="11" t="inlineStr">
        <is>
          <t>Click 'Users', search for uat.dco01@cmp.local and click 'Search'.</t>
        </is>
      </c>
      <c r="E146" s="11" t="inlineStr">
        <is>
          <t>UAT DCO 01 now shows Status 'Active'. The 'Resend invitation' button is no longer offered for that row.</t>
        </is>
      </c>
      <c r="F146" s="16" t="n"/>
      <c r="G146" s="16" t="n"/>
    </row>
    <row r="147">
      <c r="A147" s="10" t="inlineStr">
        <is>
          <t>REG-03</t>
        </is>
      </c>
      <c r="B147" s="11" t="inlineStr">
        <is>
          <t>Provisioning refuses a duplicate or incomplete account; invitation can be resent</t>
        </is>
      </c>
      <c r="C147" s="11" t="n">
        <v>1</v>
      </c>
      <c r="D147" s="11" t="inlineStr">
        <is>
          <t>Click 'Users', then 'Provision account'. Leave every field empty and click 'Create account'.</t>
        </is>
      </c>
      <c r="E147" s="11" t="inlineStr">
        <is>
          <t>Nothing is created. Messages appear under the fields, including 'A full name is required' under 'Full name' and 'An email address is required' under 'Email'.</t>
        </is>
      </c>
      <c r="F147" s="16" t="n"/>
      <c r="G147" s="16" t="n"/>
    </row>
    <row r="148">
      <c r="A148" s="10" t="inlineStr">
        <is>
          <t>REG-03</t>
        </is>
      </c>
      <c r="B148" s="11" t="inlineStr">
        <is>
          <t>Provisioning refuses a duplicate or incomplete account; invitation can be resent</t>
        </is>
      </c>
      <c r="C148" s="11" t="n">
        <v>2</v>
      </c>
      <c r="D148" s="11" t="inlineStr">
        <is>
          <t>Type 'UAT DCO 02' in 'Full name' and 'uat.dco02-at-cmp.local' in 'Email'. Click 'Create account'.</t>
        </is>
      </c>
      <c r="E148" s="11" t="inlineStr">
        <is>
          <t>Nothing is created. 'That does not look like an email address' appears under 'Email'.</t>
        </is>
      </c>
      <c r="F148" s="16" t="n"/>
      <c r="G148" s="16" t="n"/>
    </row>
    <row r="149">
      <c r="A149" s="10" t="inlineStr">
        <is>
          <t>REG-03</t>
        </is>
      </c>
      <c r="B149" s="11" t="inlineStr">
        <is>
          <t>Provisioning refuses a duplicate or incomplete account; invitation can be resent</t>
        </is>
      </c>
      <c r="C149" s="11" t="n">
        <v>3</v>
      </c>
      <c r="D149" s="11" t="inlineStr">
        <is>
          <t>Change 'Email' to dco@cmp.local (an address that already has an account) and click 'Create account'.</t>
        </is>
      </c>
      <c r="E149" s="11" t="inlineStr">
        <is>
          <t>Nothing is created. An error at the top of the dialog reads 'An account with that email, username or organisation id exists'.</t>
        </is>
      </c>
      <c r="F149" s="16" t="n"/>
      <c r="G149" s="16" t="n"/>
    </row>
    <row r="150">
      <c r="A150" s="10" t="inlineStr">
        <is>
          <t>REG-03</t>
        </is>
      </c>
      <c r="B150" s="11" t="inlineStr">
        <is>
          <t>Provisioning refuses a duplicate or incomplete account; invitation can be resent</t>
        </is>
      </c>
      <c r="C150" s="11" t="n">
        <v>4</v>
      </c>
      <c r="D150" s="11" t="inlineStr">
        <is>
          <t>Change 'Email' to uat.dco02@cmp.local, keep role 'Data Collection Owner' and click 'Create account'.</t>
        </is>
      </c>
      <c r="E150" s="11" t="inlineStr">
        <is>
          <t>'Account created' appears and UAT DCO 02 is listed with Status 'Pending'.</t>
        </is>
      </c>
      <c r="F150" s="16" t="n"/>
      <c r="G150" s="16" t="n"/>
    </row>
    <row r="151">
      <c r="A151" s="10" t="inlineStr">
        <is>
          <t>REG-03</t>
        </is>
      </c>
      <c r="B151" s="11" t="inlineStr">
        <is>
          <t>Provisioning refuses a duplicate or incomplete account; invitation can be resent</t>
        </is>
      </c>
      <c r="C151" s="11" t="n">
        <v>5</v>
      </c>
      <c r="D151" s="11" t="inlineStr">
        <is>
          <t>On the UAT DCO 02 row click 'Resend invitation'.</t>
        </is>
      </c>
      <c r="E151" s="11" t="inlineStr">
        <is>
          <t>A green message 'Invitation sent' appears, saying a new invitation is on its way to uat.dco02@cmp.local.</t>
        </is>
      </c>
      <c r="F151" s="16" t="n"/>
      <c r="G151" s="16" t="n"/>
    </row>
    <row r="152">
      <c r="A152" s="10" t="inlineStr">
        <is>
          <t>REG-03</t>
        </is>
      </c>
      <c r="B152" s="11" t="inlineStr">
        <is>
          <t>Provisioning refuses a duplicate or incomplete account; invitation can be resent</t>
        </is>
      </c>
      <c r="C152" s="11" t="n">
        <v>6</v>
      </c>
      <c r="D152" s="11" t="inlineStr">
        <is>
          <t>Ask the test coordinator to confirm (from the test outbox) that uat.dco02@cmp.local received two invitation emails.</t>
        </is>
      </c>
      <c r="E152" s="11" t="inlineStr">
        <is>
          <t>The coordinator confirms two invitation emails for uat.dco02@cmp.local, the second carrying a new code.</t>
        </is>
      </c>
      <c r="F152" s="16" t="n"/>
      <c r="G152" s="16" t="n"/>
    </row>
    <row r="153">
      <c r="A153" s="10" t="inlineStr">
        <is>
          <t>REG-04</t>
        </is>
      </c>
      <c r="B153" s="11" t="inlineStr">
        <is>
          <t>Roles that may not administer users cannot provision or manage accounts</t>
        </is>
      </c>
      <c r="C153" s="11" t="n">
        <v>1</v>
      </c>
      <c r="D153" s="11" t="inlineStr">
        <is>
          <t>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t>
        </is>
      </c>
      <c r="E153" s="11" t="inlineStr">
        <is>
          <t>The Dashboard opens. The top-right corner of the header shows 'Priya Menon' with the role badge 'DPO'.</t>
        </is>
      </c>
      <c r="F153" s="16" t="n"/>
      <c r="G153" s="16" t="n"/>
    </row>
    <row r="154">
      <c r="A154" s="10" t="inlineStr">
        <is>
          <t>REG-04</t>
        </is>
      </c>
      <c r="B154" s="11" t="inlineStr">
        <is>
          <t>Roles that may not administer users cannot provision or manage accounts</t>
        </is>
      </c>
      <c r="C154" s="11" t="n">
        <v>2</v>
      </c>
      <c r="D154" s="11" t="inlineStr">
        <is>
          <t>Click 'Users' in the sidebar (under 'Oversight').</t>
        </is>
      </c>
      <c r="E154" s="11" t="inlineStr">
        <is>
          <t>The 'Users' register opens read-only: a blue note says 'You can read the register. Provisioning, role changes and deactivation are restricted to administrators.' There is NO 'Provision account' button, and the 'Action' column of every row is empty (no 'Edit', 'Role', 'Reset MFA', 'Resend invitation' or 'End staff access').</t>
        </is>
      </c>
      <c r="F154" s="16" t="n"/>
      <c r="G154" s="16" t="n"/>
    </row>
    <row r="155">
      <c r="A155" s="10" t="inlineStr">
        <is>
          <t>REG-04</t>
        </is>
      </c>
      <c r="B155" s="11" t="inlineStr">
        <is>
          <t>Roles that may not administer users cannot provision or manage accounts</t>
        </is>
      </c>
      <c r="C155" s="11" t="n">
        <v>3</v>
      </c>
      <c r="D155" s="11" t="inlineStr">
        <is>
          <t>Click 'Sign out' at the bottom of the left-hand sidebar.</t>
        </is>
      </c>
      <c r="E155" s="11" t="inlineStr">
        <is>
          <t>You are returned to the 'Sign in' page.</t>
        </is>
      </c>
      <c r="F155" s="16" t="n"/>
      <c r="G155" s="16" t="n"/>
    </row>
    <row r="156">
      <c r="A156" s="10" t="inlineStr">
        <is>
          <t>REG-04</t>
        </is>
      </c>
      <c r="B156" s="11" t="inlineStr">
        <is>
          <t>Roles that may not administer users cannot provision or manage accounts</t>
        </is>
      </c>
      <c r="C156" s="11" t="n">
        <v>4</v>
      </c>
      <c r="D156" s="11" t="inlineStr">
        <is>
          <t>Open http://localhost:3000. On the 'Sign in' page type dco@cmp.local in 'Email or username' and SeedPassw0rd!2026 in 'Password', then click 'Sign in'. On the 'Verify it is you' page, ask the test coordinator for the sign-in code sent to dco@cmp.local (from the test outbox), type it in '6-digit code' and click 'Verify and continue'.</t>
        </is>
      </c>
      <c r="E156" s="11" t="inlineStr">
        <is>
          <t>The Dashboard opens. The top-right corner of the header shows 'Arun Shetty' with the role badge 'Data Collection Owner'.</t>
        </is>
      </c>
      <c r="F156" s="16" t="n"/>
      <c r="G156" s="16" t="n"/>
    </row>
    <row r="157">
      <c r="A157" s="10" t="inlineStr">
        <is>
          <t>REG-04</t>
        </is>
      </c>
      <c r="B157" s="11" t="inlineStr">
        <is>
          <t>Roles that may not administer users cannot provision or manage accounts</t>
        </is>
      </c>
      <c r="C157" s="11" t="n">
        <v>5</v>
      </c>
      <c r="D157" s="11" t="inlineStr">
        <is>
          <t>Look through the left-hand sidebar.</t>
        </is>
      </c>
      <c r="E157" s="11" t="inlineStr">
        <is>
          <t>There is no 'Users' entry and no 'Message templates' entry.</t>
        </is>
      </c>
      <c r="F157" s="16" t="n"/>
      <c r="G157" s="16" t="n"/>
    </row>
    <row r="158">
      <c r="A158" s="10" t="inlineStr">
        <is>
          <t>REG-04</t>
        </is>
      </c>
      <c r="B158" s="11" t="inlineStr">
        <is>
          <t>Roles that may not administer users cannot provision or manage accounts</t>
        </is>
      </c>
      <c r="C158" s="11" t="n">
        <v>6</v>
      </c>
      <c r="D158" s="11" t="inlineStr">
        <is>
          <t>Type http://localhost:3000/users in the browser address bar and press Enter.</t>
        </is>
      </c>
      <c r="E158" s="11" t="inlineStr">
        <is>
          <t>No register is shown. A panel titled 'Not part of your account' says the section belongs to a different role, with a 'Back to your dashboard' button.</t>
        </is>
      </c>
      <c r="F158" s="16" t="n"/>
      <c r="G158" s="16" t="n"/>
    </row>
    <row r="159">
      <c r="A159" s="10" t="inlineStr">
        <is>
          <t>REG-04</t>
        </is>
      </c>
      <c r="B159" s="11" t="inlineStr">
        <is>
          <t>Roles that may not administer users cannot provision or manage accounts</t>
        </is>
      </c>
      <c r="C159" s="11" t="n">
        <v>7</v>
      </c>
      <c r="D159" s="11" t="inlineStr">
        <is>
          <t>Type http://localhost:3000/messages in the address bar and press Enter.</t>
        </is>
      </c>
      <c r="E159" s="11" t="inlineStr">
        <is>
          <t>The same 'Not part of your account' panel is shown; no message templates are visible.</t>
        </is>
      </c>
      <c r="F159" s="16" t="n"/>
      <c r="G159" s="16" t="n"/>
    </row>
    <row r="160">
      <c r="A160" s="10" t="inlineStr">
        <is>
          <t>REG-04</t>
        </is>
      </c>
      <c r="B160" s="11" t="inlineStr">
        <is>
          <t>Roles that may not administer users cannot provision or manage accounts</t>
        </is>
      </c>
      <c r="C160" s="11" t="n">
        <v>8</v>
      </c>
      <c r="D160" s="11" t="inlineStr">
        <is>
          <t>Click 'Sign out' at the bottom of the left-hand sidebar.</t>
        </is>
      </c>
      <c r="E160" s="11" t="inlineStr">
        <is>
          <t>You are returned to the 'Sign in' page.</t>
        </is>
      </c>
      <c r="F160" s="16" t="n"/>
      <c r="G160" s="16" t="n"/>
    </row>
    <row r="161">
      <c r="A161" s="10" t="inlineStr">
        <is>
          <t>REG-04</t>
        </is>
      </c>
      <c r="B161" s="11" t="inlineStr">
        <is>
          <t>Roles that may not administer users cannot provision or manage accounts</t>
        </is>
      </c>
      <c r="C161" s="11" t="n">
        <v>9</v>
      </c>
      <c r="D161" s="11" t="inlineStr">
        <is>
          <t>Open http://localhost:3000. On the 'Sign in' page type rnd@cmp.local in 'Email or username' and SeedPassw0rd!2026 in 'Password', then click 'Sign in'. On the 'Verify it is you' page, ask the test coordinator for the sign-in code sent to rnd@cmp.local (from the test outbox), type it in '6-digit code' and click 'Verify and continue'.</t>
        </is>
      </c>
      <c r="E161" s="11" t="inlineStr">
        <is>
          <t>The Dashboard opens. The top-right corner of the header shows 'Kavya Rao' with the role badge 'R&amp;D User'.</t>
        </is>
      </c>
      <c r="F161" s="16" t="n"/>
      <c r="G161" s="16" t="n"/>
    </row>
    <row r="162">
      <c r="A162" s="10" t="inlineStr">
        <is>
          <t>REG-04</t>
        </is>
      </c>
      <c r="B162" s="11" t="inlineStr">
        <is>
          <t>Roles that may not administer users cannot provision or manage accounts</t>
        </is>
      </c>
      <c r="C162" s="11" t="n">
        <v>10</v>
      </c>
      <c r="D162" s="11" t="inlineStr">
        <is>
          <t>Look through the sidebar, then open http://localhost:3000/users directly.</t>
        </is>
      </c>
      <c r="E162" s="11" t="inlineStr">
        <is>
          <t>No 'Users' entry in the sidebar; the address shows 'Not part of your account'.</t>
        </is>
      </c>
      <c r="F162" s="16" t="n"/>
      <c r="G162" s="16" t="n"/>
    </row>
    <row r="163">
      <c r="A163" s="10" t="inlineStr">
        <is>
          <t>REG-05</t>
        </is>
      </c>
      <c r="B163" s="11" t="inlineStr">
        <is>
          <t>DPO drafts a purpose, edits the draft and activates it</t>
        </is>
      </c>
      <c r="C163" s="11" t="n">
        <v>1</v>
      </c>
      <c r="D163" s="11" t="inlineStr">
        <is>
          <t>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t>
        </is>
      </c>
      <c r="E163" s="11" t="inlineStr">
        <is>
          <t>The Dashboard opens. The top-right corner of the header shows 'Priya Menon' with the role badge 'DPO'.</t>
        </is>
      </c>
      <c r="F163" s="16" t="n"/>
      <c r="G163" s="16" t="n"/>
    </row>
    <row r="164">
      <c r="A164" s="10" t="inlineStr">
        <is>
          <t>REG-05</t>
        </is>
      </c>
      <c r="B164" s="11" t="inlineStr">
        <is>
          <t>DPO drafts a purpose, edits the draft and activates it</t>
        </is>
      </c>
      <c r="C164" s="11" t="n">
        <v>2</v>
      </c>
      <c r="D164" s="11" t="inlineStr">
        <is>
          <t>In the sidebar under 'Governance' click 'Purposes'.</t>
        </is>
      </c>
      <c r="E164" s="11" t="inlineStr">
        <is>
          <t>The 'Purposes' page opens with the list (columns Purpose, Status, Lawful basis, Data collected, Retention, Actions) and a 'New purpose' button.</t>
        </is>
      </c>
      <c r="F164" s="16" t="n"/>
      <c r="G164" s="16" t="n"/>
    </row>
    <row r="165">
      <c r="A165" s="10" t="inlineStr">
        <is>
          <t>REG-05</t>
        </is>
      </c>
      <c r="B165" s="11" t="inlineStr">
        <is>
          <t>DPO drafts a purpose, edits the draft and activates it</t>
        </is>
      </c>
      <c r="C165" s="11" t="n">
        <v>3</v>
      </c>
      <c r="D165" s="11" t="inlineStr">
        <is>
          <t>Click 'New purpose'.</t>
        </is>
      </c>
      <c r="E165" s="11" t="inlineStr">
        <is>
          <t>A dialog titled 'New purpose' opens with fields Code, Name, Description, What this allows, Data collected (tick boxes), Lawful basis, Retention (days), Retention basis, Erasure trigger, Consent validity (days), When consent lapses, and two tick boxes: 'Transfer outside India is permitted for this purpose' and 'May be used for data of children'.</t>
        </is>
      </c>
      <c r="F165" s="16" t="n"/>
      <c r="G165" s="16" t="n"/>
    </row>
    <row r="166">
      <c r="A166" s="10" t="inlineStr">
        <is>
          <t>REG-05</t>
        </is>
      </c>
      <c r="B166" s="11" t="inlineStr">
        <is>
          <t>DPO drafts a purpose, edits the draft and activates it</t>
        </is>
      </c>
      <c r="C166" s="11" t="n">
        <v>4</v>
      </c>
      <c r="D166" s="11" t="inlineStr">
        <is>
          <t>Fill in the form with the test data (tick 'Name' and 'Email address' under 'Data collected'; choose 'Consent (s.6)' as 'Lawful basis'; tick 'Transfer outside India is permitted for this purpose'; leave 'May be used for data of children' unticked). Click 'Create purpose'.</t>
        </is>
      </c>
      <c r="E166" s="11" t="inlineStr">
        <is>
          <t>The dialog closes and 'Purpose created' appears ('It must be activated before a notice can use it.').</t>
        </is>
      </c>
      <c r="F166" s="16" t="n"/>
      <c r="G166" s="16" t="n"/>
    </row>
    <row r="167">
      <c r="A167" s="10" t="inlineStr">
        <is>
          <t>REG-05</t>
        </is>
      </c>
      <c r="B167" s="11" t="inlineStr">
        <is>
          <t>DPO drafts a purpose, edits the draft and activates it</t>
        </is>
      </c>
      <c r="C167" s="11" t="n">
        <v>5</v>
      </c>
      <c r="D167" s="11" t="inlineStr">
        <is>
          <t>Type PUR-UAT-01 in the 'Search' box (the list updates as you type; Enter searches at once).</t>
        </is>
      </c>
      <c r="E167" s="11" t="inlineStr">
        <is>
          <t>The row 'UAT Purpose 01' (code PUR-UAT-01) shows Status 'Draft', Lawful basis 'Consent s.6', Data collected 'Name, Email', Retention '365 days', and the buttons 'Edit' and 'Activate'.</t>
        </is>
      </c>
      <c r="F167" s="16" t="n"/>
      <c r="G167" s="16" t="n"/>
    </row>
    <row r="168">
      <c r="A168" s="10" t="inlineStr">
        <is>
          <t>REG-05</t>
        </is>
      </c>
      <c r="B168" s="11" t="inlineStr">
        <is>
          <t>DPO drafts a purpose, edits the draft and activates it</t>
        </is>
      </c>
      <c r="C168" s="11" t="n">
        <v>6</v>
      </c>
      <c r="D168" s="11" t="inlineStr">
        <is>
          <t>Click 'Edit'. In the 'Edit purpose' dialog, change 'Name' to 'UAT Purpose 01 (edited)'. Note that 'Code' cannot be changed. Click 'Save changes'.</t>
        </is>
      </c>
      <c r="E168" s="11" t="inlineStr">
        <is>
          <t>'Purpose updated' appears and the row now reads 'UAT Purpose 01 (edited)'.</t>
        </is>
      </c>
      <c r="F168" s="16" t="n"/>
      <c r="G168" s="16" t="n"/>
    </row>
    <row r="169">
      <c r="A169" s="10" t="inlineStr">
        <is>
          <t>REG-05</t>
        </is>
      </c>
      <c r="B169" s="11" t="inlineStr">
        <is>
          <t>DPO drafts a purpose, edits the draft and activates it</t>
        </is>
      </c>
      <c r="C169" s="11" t="n">
        <v>7</v>
      </c>
      <c r="D169" s="11" t="inlineStr">
        <is>
          <t>Click 'Activate' on the row.</t>
        </is>
      </c>
      <c r="E169" s="11" t="inlineStr">
        <is>
          <t>'Purpose activated' appears ('Notices can now use it.'). Status changes to 'Active'; 'Edit' and 'Activate' disappear and a 'Retire' button is shown.</t>
        </is>
      </c>
      <c r="F169" s="16" t="n"/>
      <c r="G169" s="16" t="n"/>
    </row>
    <row r="170">
      <c r="A170" s="10" t="inlineStr">
        <is>
          <t>REG-05</t>
        </is>
      </c>
      <c r="B170" s="11" t="inlineStr">
        <is>
          <t>DPO drafts a purpose, edits the draft and activates it</t>
        </is>
      </c>
      <c r="C170" s="11" t="n">
        <v>8</v>
      </c>
      <c r="D170" s="11" t="inlineStr">
        <is>
          <t>Click the purpose name to open it.</t>
        </is>
      </c>
      <c r="E170" s="11" t="inlineStr">
        <is>
          <t>The purpose page shows 'What was promised' (Description, Uses, Data categories Name and Email) and 'Terms' (Code PUR-UAT-01, Lawful basis, Retention). 'Notices using this purpose' shows 'Not attached to any notice'.</t>
        </is>
      </c>
      <c r="F170" s="16" t="n"/>
      <c r="G170" s="16" t="n"/>
    </row>
    <row r="171">
      <c r="A171" s="10" t="inlineStr">
        <is>
          <t>REG-06</t>
        </is>
      </c>
      <c r="B171" s="11" t="inlineStr">
        <is>
          <t>Purpose form refuses incomplete or inconsistent purposes</t>
        </is>
      </c>
      <c r="C171" s="11" t="n">
        <v>1</v>
      </c>
      <c r="D171" s="11" t="inlineStr">
        <is>
          <t>Open 'Purposes' and click 'New purpose'. Without filling anything, click 'Create purpose'.</t>
        </is>
      </c>
      <c r="E171" s="11" t="inlineStr">
        <is>
          <t>Nothing is saved. Messages appear, including 'A code is required', 'A name is required', 'Describe what this purpose is', 'State what this purpose lets you actually do' and 'Rule 3(b)(i): itemise at least one category'.</t>
        </is>
      </c>
      <c r="F171" s="16" t="n"/>
      <c r="G171" s="16" t="n"/>
    </row>
    <row r="172">
      <c r="A172" s="10" t="inlineStr">
        <is>
          <t>REG-06</t>
        </is>
      </c>
      <c r="B172" s="11" t="inlineStr">
        <is>
          <t>Purpose form refuses incomplete or inconsistent purposes</t>
        </is>
      </c>
      <c r="C172" s="11" t="n">
        <v>2</v>
      </c>
      <c r="D172" s="11" t="inlineStr">
        <is>
          <t>Fill Code 'PUR-UAT-02', Name 'UAT Purpose 02', a Description and 'What this allows', tick 'Name' under 'Data collected'. Set 'Lawful basis' to 'Certain Legitimate Uses (s.7)'.</t>
        </is>
      </c>
      <c r="E172" s="11" t="inlineStr">
        <is>
          <t>A new field 'Section 7 clause' appears, showing 'Choose a clause…'.</t>
        </is>
      </c>
      <c r="F172" s="16" t="n"/>
      <c r="G172" s="16" t="n"/>
    </row>
    <row r="173">
      <c r="A173" s="10" t="inlineStr">
        <is>
          <t>REG-06</t>
        </is>
      </c>
      <c r="B173" s="11" t="inlineStr">
        <is>
          <t>Purpose form refuses incomplete or inconsistent purposes</t>
        </is>
      </c>
      <c r="C173" s="11" t="n">
        <v>3</v>
      </c>
      <c r="D173" s="11" t="inlineStr">
        <is>
          <t>Leave 'Section 7 clause' on 'Choose a clause…' and click 'Create purpose'.</t>
        </is>
      </c>
      <c r="E173" s="11" t="inlineStr">
        <is>
          <t>Nothing is saved. 'An s.7 purpose must name the clause it relies on' appears under 'Section 7 clause'.</t>
        </is>
      </c>
      <c r="F173" s="16" t="n"/>
      <c r="G173" s="16" t="n"/>
    </row>
    <row r="174">
      <c r="A174" s="10" t="inlineStr">
        <is>
          <t>REG-06</t>
        </is>
      </c>
      <c r="B174" s="11" t="inlineStr">
        <is>
          <t>Purpose form refuses incomplete or inconsistent purposes</t>
        </is>
      </c>
      <c r="C174" s="11" t="n">
        <v>4</v>
      </c>
      <c r="D174" s="11" t="inlineStr">
        <is>
          <t>Set 'Retention (days)' to 0 and click 'Create purpose'.</t>
        </is>
      </c>
      <c r="E174" s="11" t="inlineStr">
        <is>
          <t>Nothing is saved; 'At least one day' appears under 'Retention (days)'.</t>
        </is>
      </c>
      <c r="F174" s="16" t="n"/>
      <c r="G174" s="16" t="n"/>
    </row>
    <row r="175">
      <c r="A175" s="10" t="inlineStr">
        <is>
          <t>REG-06</t>
        </is>
      </c>
      <c r="B175" s="11" t="inlineStr">
        <is>
          <t>Purpose form refuses incomplete or inconsistent purposes</t>
        </is>
      </c>
      <c r="C175" s="11" t="n">
        <v>5</v>
      </c>
      <c r="D175" s="11" t="inlineStr">
        <is>
          <t>Set 'Retention (days)' back to 365, choose 's.7(a) - voluntarily provided' as 'Section 7 clause', and change 'Code' to PUR-GAIT-TRAIN (already used). Click 'Create purpose'.</t>
        </is>
      </c>
      <c r="E175" s="11" t="inlineStr">
        <is>
          <t>Nothing is saved. An error at the top of the dialog reads 'That purpose code already exists'.</t>
        </is>
      </c>
      <c r="F175" s="16" t="n"/>
      <c r="G175" s="16" t="n"/>
    </row>
    <row r="176">
      <c r="A176" s="10" t="inlineStr">
        <is>
          <t>REG-06</t>
        </is>
      </c>
      <c r="B176" s="11" t="inlineStr">
        <is>
          <t>Purpose form refuses incomplete or inconsistent purposes</t>
        </is>
      </c>
      <c r="C176" s="11" t="n">
        <v>6</v>
      </c>
      <c r="D176" s="11" t="inlineStr">
        <is>
          <t>Click 'Cancel'.</t>
        </is>
      </c>
      <c r="E176" s="11" t="inlineStr">
        <is>
          <t>The dialog closes; no purpose PUR-UAT-02 appears in the list.</t>
        </is>
      </c>
      <c r="F176" s="16" t="n"/>
      <c r="G176" s="16" t="n"/>
    </row>
    <row r="177">
      <c r="A177" s="10" t="inlineStr">
        <is>
          <t>REG-07</t>
        </is>
      </c>
      <c r="B177" s="11" t="inlineStr">
        <is>
          <t>DPO retires a purpose that is no longer in use</t>
        </is>
      </c>
      <c r="C177" s="11" t="n">
        <v>1</v>
      </c>
      <c r="D177" s="11" t="inlineStr">
        <is>
          <t>Open 'Purposes', search PUR-UAT-01 and click 'Retire' on its row.</t>
        </is>
      </c>
      <c r="E177" s="11" t="inlineStr">
        <is>
          <t>A confirmation dialog titled 'Retire UAT Purpose 01 (edited)?' opens, explaining it can no longer be attached to a notice. It has 'Cancel' and 'Retire purpose' buttons.</t>
        </is>
      </c>
      <c r="F177" s="16" t="n"/>
      <c r="G177" s="16" t="n"/>
    </row>
    <row r="178">
      <c r="A178" s="10" t="inlineStr">
        <is>
          <t>REG-07</t>
        </is>
      </c>
      <c r="B178" s="11" t="inlineStr">
        <is>
          <t>DPO retires a purpose that is no longer in use</t>
        </is>
      </c>
      <c r="C178" s="11" t="n">
        <v>2</v>
      </c>
      <c r="D178" s="11" t="inlineStr">
        <is>
          <t>Click 'Cancel'.</t>
        </is>
      </c>
      <c r="E178" s="11" t="inlineStr">
        <is>
          <t>The dialog closes; the purpose is still 'Active'.</t>
        </is>
      </c>
      <c r="F178" s="16" t="n"/>
      <c r="G178" s="16" t="n"/>
    </row>
    <row r="179">
      <c r="A179" s="10" t="inlineStr">
        <is>
          <t>REG-07</t>
        </is>
      </c>
      <c r="B179" s="11" t="inlineStr">
        <is>
          <t>DPO retires a purpose that is no longer in use</t>
        </is>
      </c>
      <c r="C179" s="11" t="n">
        <v>3</v>
      </c>
      <c r="D179" s="11" t="inlineStr">
        <is>
          <t>Click 'Retire' again, then 'Retire purpose'.</t>
        </is>
      </c>
      <c r="E179" s="11" t="inlineStr">
        <is>
          <t>'Purpose retired' appears. The row's Status is now 'Retired' and no action buttons remain on it.</t>
        </is>
      </c>
      <c r="F179" s="16" t="n"/>
      <c r="G179" s="16" t="n"/>
    </row>
    <row r="180">
      <c r="A180" s="10" t="inlineStr">
        <is>
          <t>REG-07</t>
        </is>
      </c>
      <c r="B180" s="11" t="inlineStr">
        <is>
          <t>DPO retires a purpose that is no longer in use</t>
        </is>
      </c>
      <c r="C180" s="11" t="n">
        <v>4</v>
      </c>
      <c r="D180" s="11" t="inlineStr">
        <is>
          <t>Set the 'Status' filter to 'Retired'.</t>
        </is>
      </c>
      <c r="E180" s="11" t="inlineStr">
        <is>
          <t>The list shows 'UAT Purpose 01 (edited)' among the retired purposes.</t>
        </is>
      </c>
      <c r="F180" s="16" t="n"/>
      <c r="G180" s="16" t="n"/>
    </row>
    <row r="181">
      <c r="A181" s="10" t="inlineStr">
        <is>
          <t>REG-07</t>
        </is>
      </c>
      <c r="B181" s="11" t="inlineStr">
        <is>
          <t>DPO retires a purpose that is no longer in use</t>
        </is>
      </c>
      <c r="C181" s="11" t="n">
        <v>5</v>
      </c>
      <c r="D181" s="11" t="inlineStr">
        <is>
          <t>Set the 'Status' filter to 'Active'.</t>
        </is>
      </c>
      <c r="E181" s="11" t="inlineStr">
        <is>
          <t>PUR-UAT-01 is not in the active list (it can no longer be offered on a new notice).</t>
        </is>
      </c>
      <c r="F181" s="16" t="n"/>
      <c r="G181" s="16" t="n"/>
    </row>
    <row r="182">
      <c r="A182" s="10" t="inlineStr">
        <is>
          <t>REG-08</t>
        </is>
      </c>
      <c r="B182" s="11" t="inlineStr">
        <is>
          <t>A purpose used by a published notice cannot be retired</t>
        </is>
      </c>
      <c r="C182" s="11" t="n">
        <v>1</v>
      </c>
      <c r="D182" s="11" t="inlineStr">
        <is>
          <t>Open 'Purposes' and click the name 'Gait model training'.</t>
        </is>
      </c>
      <c r="E182" s="11" t="inlineStr">
        <is>
          <t>The purpose page opens. A blue note says 'This purpose is attached to a published notice, so it cannot be retired.' The card 'Notices using this purpose' lists NTC-GAIT-2026 with status Published.</t>
        </is>
      </c>
      <c r="F182" s="16" t="n"/>
      <c r="G182" s="16" t="n"/>
    </row>
    <row r="183">
      <c r="A183" s="10" t="inlineStr">
        <is>
          <t>REG-08</t>
        </is>
      </c>
      <c r="B183" s="11" t="inlineStr">
        <is>
          <t>A purpose used by a published notice cannot be retired</t>
        </is>
      </c>
      <c r="C183" s="11" t="n">
        <v>2</v>
      </c>
      <c r="D183" s="11" t="inlineStr">
        <is>
          <t>Go back to 'Purposes', find 'Gait model training' and click 'Retire'.</t>
        </is>
      </c>
      <c r="E183" s="11" t="inlineStr">
        <is>
          <t>The confirmation dialog 'Retire Gait model training?' opens, warning that the server will refuse if a published notice references it.</t>
        </is>
      </c>
      <c r="F183" s="16" t="n"/>
      <c r="G183" s="16" t="n"/>
    </row>
    <row r="184">
      <c r="A184" s="10" t="inlineStr">
        <is>
          <t>REG-08</t>
        </is>
      </c>
      <c r="B184" s="11" t="inlineStr">
        <is>
          <t>A purpose used by a published notice cannot be retired</t>
        </is>
      </c>
      <c r="C184" s="11" t="n">
        <v>3</v>
      </c>
      <c r="D184" s="11" t="inlineStr">
        <is>
          <t>Click 'Retire purpose'.</t>
        </is>
      </c>
      <c r="E184" s="11" t="inlineStr">
        <is>
          <t>A red message 'Could not retire' appears: 'This purpose is attached to a published notice and cannot be retired'.</t>
        </is>
      </c>
      <c r="F184" s="16" t="n"/>
      <c r="G184" s="16" t="n"/>
    </row>
    <row r="185">
      <c r="A185" s="10" t="inlineStr">
        <is>
          <t>REG-08</t>
        </is>
      </c>
      <c r="B185" s="11" t="inlineStr">
        <is>
          <t>A purpose used by a published notice cannot be retired</t>
        </is>
      </c>
      <c r="C185" s="11" t="n">
        <v>4</v>
      </c>
      <c r="D185" s="11" t="inlineStr">
        <is>
          <t>Close the dialog (Cancel) and look at the row.</t>
        </is>
      </c>
      <c r="E185" s="11" t="inlineStr">
        <is>
          <t>'Gait model training' is still 'Active'.</t>
        </is>
      </c>
      <c r="F185" s="16" t="n"/>
      <c r="G185" s="16" t="n"/>
    </row>
    <row r="186">
      <c r="A186" s="10" t="inlineStr">
        <is>
          <t>REG-09</t>
        </is>
      </c>
      <c r="B186" s="11" t="inlineStr">
        <is>
          <t>Register a third-party processor abroad and an in-house team</t>
        </is>
      </c>
      <c r="C186" s="11" t="n">
        <v>1</v>
      </c>
      <c r="D186" s="11" t="inlineStr">
        <is>
          <t>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t>
        </is>
      </c>
      <c r="E186" s="11" t="inlineStr">
        <is>
          <t>The Dashboard opens. The top-right corner of the header shows 'Priya Menon' with the role badge 'DPO'.</t>
        </is>
      </c>
      <c r="F186" s="16" t="n"/>
      <c r="G186" s="16" t="n"/>
    </row>
    <row r="187">
      <c r="A187" s="10" t="inlineStr">
        <is>
          <t>REG-09</t>
        </is>
      </c>
      <c r="B187" s="11" t="inlineStr">
        <is>
          <t>Register a third-party processor abroad and an in-house team</t>
        </is>
      </c>
      <c r="C187" s="11" t="n">
        <v>2</v>
      </c>
      <c r="D187" s="11" t="inlineStr">
        <is>
          <t>In the sidebar under 'Registry' click 'Processors'.</t>
        </is>
      </c>
      <c r="E187" s="11" t="inlineStr">
        <is>
          <t>The 'Processors' page opens with columns Legal name, Type, Country, Contract, Security confirmed, Status, Action. Seeded SEED, SRIB and Pune Motion Lab Pvt Ltd show Country 'IN'. A 'Register processor' button is at the top right.</t>
        </is>
      </c>
      <c r="F187" s="16" t="n"/>
      <c r="G187" s="16" t="n"/>
    </row>
    <row r="188">
      <c r="A188" s="10" t="inlineStr">
        <is>
          <t>REG-09</t>
        </is>
      </c>
      <c r="B188" s="11" t="inlineStr">
        <is>
          <t>Register a third-party processor abroad and an in-house team</t>
        </is>
      </c>
      <c r="C188" s="11" t="n">
        <v>3</v>
      </c>
      <c r="D188" s="11" t="inlineStr">
        <is>
          <t>Click 'Register processor'.</t>
        </is>
      </c>
      <c r="E188" s="11" t="inlineStr">
        <is>
          <t>A dialog 'Register a processor' opens with 'Registered legal name', 'Type', 'Contract reference', 'Country' (hint: two-letter code, IN for India), 'Security confirmed on' and a tick box 'We collect this ourselves'.</t>
        </is>
      </c>
      <c r="F188" s="16" t="n"/>
      <c r="G188" s="16" t="n"/>
    </row>
    <row r="189">
      <c r="A189" s="10" t="inlineStr">
        <is>
          <t>REG-09</t>
        </is>
      </c>
      <c r="B189" s="11" t="inlineStr">
        <is>
          <t>Register a third-party processor abroad and an in-house team</t>
        </is>
      </c>
      <c r="C189" s="11" t="n">
        <v>4</v>
      </c>
      <c r="D189" s="11" t="inlineStr">
        <is>
          <t>Enter Processor A's data (type 'sg' in 'Country', leave 'We collect this ourselves' unticked) and click 'Register processor'.</t>
        </is>
      </c>
      <c r="E189" s="11" t="inlineStr">
        <is>
          <t>'Processor registered' appears: 'Projects naming it go to the DCO Admin to be assigned once approved.'</t>
        </is>
      </c>
      <c r="F189" s="16" t="n"/>
      <c r="G189" s="16" t="n"/>
    </row>
    <row r="190">
      <c r="A190" s="10" t="inlineStr">
        <is>
          <t>REG-09</t>
        </is>
      </c>
      <c r="B190" s="11" t="inlineStr">
        <is>
          <t>Register a third-party processor abroad and an in-house team</t>
        </is>
      </c>
      <c r="C190" s="11" t="n">
        <v>5</v>
      </c>
      <c r="D190" s="11" t="inlineStr">
        <is>
          <t>Type 'UAT Lab 01' in the 'Search' box (the list updates as you type).</t>
        </is>
      </c>
      <c r="E190" s="11" t="inlineStr">
        <is>
          <t>The row shows Type 'Lab', Country 'SG' (converted to capitals), Contract 'CTR-UAT-001', Security confirmed 1 Sep 2026 (date format may vary), Status 'Active', and buttons 'Respondents', 'Edit', 'Suspend'.</t>
        </is>
      </c>
      <c r="F190" s="16" t="n"/>
      <c r="G190" s="16" t="n"/>
    </row>
    <row r="191">
      <c r="A191" s="10" t="inlineStr">
        <is>
          <t>REG-09</t>
        </is>
      </c>
      <c r="B191" s="11" t="inlineStr">
        <is>
          <t>Register a third-party processor abroad and an in-house team</t>
        </is>
      </c>
      <c r="C191" s="11" t="n">
        <v>6</v>
      </c>
      <c r="D191" s="11" t="inlineStr">
        <is>
          <t>Click 'Register processor' again, enter Processor B's data and TICK 'We collect this ourselves'. Click 'Register processor'.</t>
        </is>
      </c>
      <c r="E191" s="11" t="inlineStr">
        <is>
          <t>'Processor registered' appears, this time saying 'Projects naming it come back to their author to assign sources and an RCO.'</t>
        </is>
      </c>
      <c r="F191" s="16" t="n"/>
      <c r="G191" s="16" t="n"/>
    </row>
    <row r="192">
      <c r="A192" s="10" t="inlineStr">
        <is>
          <t>REG-09</t>
        </is>
      </c>
      <c r="B192" s="11" t="inlineStr">
        <is>
          <t>Register a third-party processor abroad and an in-house team</t>
        </is>
      </c>
      <c r="C192" s="11" t="n">
        <v>7</v>
      </c>
      <c r="D192" s="11" t="inlineStr">
        <is>
          <t>Search 'UAT In-house Team 01'.</t>
        </is>
      </c>
      <c r="E192" s="11" t="inlineStr">
        <is>
          <t>The row shows Type 'Other', Country 'IN', Status 'Active'.</t>
        </is>
      </c>
      <c r="F192" s="16" t="n"/>
      <c r="G192" s="16" t="n"/>
    </row>
    <row r="193">
      <c r="A193" s="10" t="inlineStr">
        <is>
          <t>REG-10</t>
        </is>
      </c>
      <c r="B193" s="11" t="inlineStr">
        <is>
          <t>Processor with no country shows 'not recorded'; edit sets the country; then suspend it</t>
        </is>
      </c>
      <c r="C193" s="11" t="n">
        <v>1</v>
      </c>
      <c r="D193" s="11" t="inlineStr">
        <is>
          <t>On 'Processors' click 'Register processor', enter the test data leaving 'Country' empty, and click 'Register processor'.</t>
        </is>
      </c>
      <c r="E193" s="11" t="inlineStr">
        <is>
          <t>'Processor registered' appears.</t>
        </is>
      </c>
      <c r="F193" s="16" t="n"/>
      <c r="G193" s="16" t="n"/>
    </row>
    <row r="194">
      <c r="A194" s="10" t="inlineStr">
        <is>
          <t>REG-10</t>
        </is>
      </c>
      <c r="B194" s="11" t="inlineStr">
        <is>
          <t>Processor with no country shows 'not recorded'; edit sets the country; then suspend it</t>
        </is>
      </c>
      <c r="C194" s="11" t="n">
        <v>2</v>
      </c>
      <c r="D194" s="11" t="inlineStr">
        <is>
          <t>Search 'UAT Lab 02'.</t>
        </is>
      </c>
      <c r="E194" s="11" t="inlineStr">
        <is>
          <t>The Country column shows 'not recorded' (in warning colour). Hovering over it explains that an export to this processor is refused until its country is recorded.</t>
        </is>
      </c>
      <c r="F194" s="16" t="n"/>
      <c r="G194" s="16" t="n"/>
    </row>
    <row r="195">
      <c r="A195" s="10" t="inlineStr">
        <is>
          <t>REG-10</t>
        </is>
      </c>
      <c r="B195" s="11" t="inlineStr">
        <is>
          <t>Processor with no country shows 'not recorded'; edit sets the country; then suspend it</t>
        </is>
      </c>
      <c r="C195" s="11" t="n">
        <v>3</v>
      </c>
      <c r="D195" s="11" t="inlineStr">
        <is>
          <t>Click 'Edit' on the UAT Lab 02 row.</t>
        </is>
      </c>
      <c r="E195" s="11" t="inlineStr">
        <is>
          <t>A dialog 'Edit processor' opens with the saved values. 'Type' cannot be changed.</t>
        </is>
      </c>
      <c r="F195" s="16" t="n"/>
      <c r="G195" s="16" t="n"/>
    </row>
    <row r="196">
      <c r="A196" s="10" t="inlineStr">
        <is>
          <t>REG-10</t>
        </is>
      </c>
      <c r="B196" s="11" t="inlineStr">
        <is>
          <t>Processor with no country shows 'not recorded'; edit sets the country; then suspend it</t>
        </is>
      </c>
      <c r="C196" s="11" t="n">
        <v>4</v>
      </c>
      <c r="D196" s="11" t="inlineStr">
        <is>
          <t>Type 'DE' in 'Country' and click 'Save changes'.</t>
        </is>
      </c>
      <c r="E196" s="11" t="inlineStr">
        <is>
          <t>'Processor updated' appears and the dialog closes.</t>
        </is>
      </c>
      <c r="F196" s="16" t="n"/>
      <c r="G196" s="16" t="n"/>
    </row>
    <row r="197">
      <c r="A197" s="10" t="inlineStr">
        <is>
          <t>REG-10</t>
        </is>
      </c>
      <c r="B197" s="11" t="inlineStr">
        <is>
          <t>Processor with no country shows 'not recorded'; edit sets the country; then suspend it</t>
        </is>
      </c>
      <c r="C197" s="11" t="n">
        <v>5</v>
      </c>
      <c r="D197" s="11" t="inlineStr">
        <is>
          <t>Look at the UAT Lab 02 row.</t>
        </is>
      </c>
      <c r="E197" s="11" t="inlineStr">
        <is>
          <t>Country now shows 'DE' instead of 'not recorded'.</t>
        </is>
      </c>
      <c r="F197" s="16" t="n"/>
      <c r="G197" s="16" t="n"/>
    </row>
    <row r="198">
      <c r="A198" s="10" t="inlineStr">
        <is>
          <t>REG-10</t>
        </is>
      </c>
      <c r="B198" s="11" t="inlineStr">
        <is>
          <t>Processor with no country shows 'not recorded'; edit sets the country; then suspend it</t>
        </is>
      </c>
      <c r="C198" s="11" t="n">
        <v>6</v>
      </c>
      <c r="D198" s="11" t="inlineStr">
        <is>
          <t>Click 'Suspend' on the UAT Lab 02 row.</t>
        </is>
      </c>
      <c r="E198" s="11" t="inlineStr">
        <is>
          <t>'Processor suspended' appears: 'UAT Lab 02 can no longer be assigned to a site.' Status changes to 'Suspended' and the 'Suspend' button disappears from the row.</t>
        </is>
      </c>
      <c r="F198" s="16" t="n"/>
      <c r="G198" s="16" t="n"/>
    </row>
    <row r="199">
      <c r="A199" s="10" t="inlineStr">
        <is>
          <t>REG-10</t>
        </is>
      </c>
      <c r="B199" s="11" t="inlineStr">
        <is>
          <t>Processor with no country shows 'not recorded'; edit sets the country; then suspend it</t>
        </is>
      </c>
      <c r="C199" s="11" t="n">
        <v>7</v>
      </c>
      <c r="D199" s="11" t="inlineStr">
        <is>
          <t>Set the 'Status' filter to 'Suspended'.</t>
        </is>
      </c>
      <c r="E199" s="11" t="inlineStr">
        <is>
          <t>UAT Lab 02 is listed; the active processors are not.</t>
        </is>
      </c>
      <c r="F199" s="16" t="n"/>
      <c r="G199" s="16" t="n"/>
    </row>
    <row r="200">
      <c r="A200" s="10" t="inlineStr">
        <is>
          <t>REG-11</t>
        </is>
      </c>
      <c r="B200" s="11" t="inlineStr">
        <is>
          <t>Processor form refuses a future security date and an invalid country code</t>
        </is>
      </c>
      <c r="C200" s="11" t="n">
        <v>1</v>
      </c>
      <c r="D200" s="11" t="inlineStr">
        <is>
          <t>Open http://localhost:3000. On the 'Sign in' page type admin@cmp.local in 'Email or username' and SeedPassw0rd!2026 in 'Password', then click 'Sign in'. On the 'Verify it is you' page, ask the test coordinator for the sign-in code sent to admin@cmp.local (from the test outbox), type it in '6-digit code' and click 'Verify and continue'.</t>
        </is>
      </c>
      <c r="E200" s="11" t="inlineStr">
        <is>
          <t>The Dashboard opens. The top-right corner of the header shows 'System Admin' with the role badge 'Administrator'.</t>
        </is>
      </c>
      <c r="F200" s="16" t="n"/>
      <c r="G200" s="16" t="n"/>
    </row>
    <row r="201">
      <c r="A201" s="10" t="inlineStr">
        <is>
          <t>REG-11</t>
        </is>
      </c>
      <c r="B201" s="11" t="inlineStr">
        <is>
          <t>Processor form refuses a future security date and an invalid country code</t>
        </is>
      </c>
      <c r="C201" s="11" t="n">
        <v>2</v>
      </c>
      <c r="D201" s="11" t="inlineStr">
        <is>
          <t>Click 'Processors', then 'Register processor'. Leave everything blank and click 'Register processor'.</t>
        </is>
      </c>
      <c r="E201" s="11" t="inlineStr">
        <is>
          <t>Nothing is saved. 'The registered legal name is required' and 'A contract reference is required' appear under their fields, and 'The security confirmation date has to be a date' appears under 'Security confirmed on'.</t>
        </is>
      </c>
      <c r="F201" s="16" t="n"/>
      <c r="G201" s="16" t="n"/>
    </row>
    <row r="202">
      <c r="A202" s="10" t="inlineStr">
        <is>
          <t>REG-11</t>
        </is>
      </c>
      <c r="B202" s="11" t="inlineStr">
        <is>
          <t>Processor form refuses a future security date and an invalid country code</t>
        </is>
      </c>
      <c r="C202" s="11" t="n">
        <v>3</v>
      </c>
      <c r="D202" s="11" t="inlineStr">
        <is>
          <t>Fill 'Registered legal name' UAT Lab 03 and 'Contract reference' CTR-UAT-003. In 'Security confirmed on' pick a future date (e.g. 31 Dec 2026). Click 'Register processor'.</t>
        </is>
      </c>
      <c r="E202" s="11" t="inlineStr">
        <is>
          <t>Nothing is saved. 'The security confirmation date cannot be in the future' appears under 'Security confirmed on'.</t>
        </is>
      </c>
      <c r="F202" s="16" t="n"/>
      <c r="G202" s="16" t="n"/>
    </row>
    <row r="203">
      <c r="A203" s="10" t="inlineStr">
        <is>
          <t>REG-11</t>
        </is>
      </c>
      <c r="B203" s="11" t="inlineStr">
        <is>
          <t>Processor form refuses a future security date and an invalid country code</t>
        </is>
      </c>
      <c r="C203" s="11" t="n">
        <v>4</v>
      </c>
      <c r="D203" s="11" t="inlineStr">
        <is>
          <t>Change 'Security confirmed on' to today's date. Type '1N' in 'Country' and click 'Register processor'.</t>
        </is>
      </c>
      <c r="E203" s="11" t="inlineStr">
        <is>
          <t>Nothing is saved. 'Two letters: the ISO country code, e.g. IN' appears under 'Country'.</t>
        </is>
      </c>
      <c r="F203" s="16" t="n"/>
      <c r="G203" s="16" t="n"/>
    </row>
    <row r="204">
      <c r="A204" s="10" t="inlineStr">
        <is>
          <t>REG-11</t>
        </is>
      </c>
      <c r="B204" s="11" t="inlineStr">
        <is>
          <t>Processor form refuses a future security date and an invalid country code</t>
        </is>
      </c>
      <c r="C204" s="11" t="n">
        <v>5</v>
      </c>
      <c r="D204" s="11" t="inlineStr">
        <is>
          <t>Change 'Country' to 'I' (one letter) and click 'Register processor'.</t>
        </is>
      </c>
      <c r="E204" s="11" t="inlineStr">
        <is>
          <t>The same message 'Two letters: the ISO country code, e.g. IN' appears; nothing is saved. (Typing a third letter is not possible - the field accepts at most two characters.)</t>
        </is>
      </c>
      <c r="F204" s="16" t="n"/>
      <c r="G204" s="16" t="n"/>
    </row>
    <row r="205">
      <c r="A205" s="10" t="inlineStr">
        <is>
          <t>REG-11</t>
        </is>
      </c>
      <c r="B205" s="11" t="inlineStr">
        <is>
          <t>Processor form refuses a future security date and an invalid country code</t>
        </is>
      </c>
      <c r="C205" s="11" t="n">
        <v>6</v>
      </c>
      <c r="D205" s="11" t="inlineStr">
        <is>
          <t>Click 'Cancel' and search 'UAT Lab 03'.</t>
        </is>
      </c>
      <c r="E205" s="11" t="inlineStr">
        <is>
          <t>No processor named UAT Lab 03 exists.</t>
        </is>
      </c>
      <c r="F205" s="16" t="n"/>
      <c r="G205" s="16" t="n"/>
    </row>
    <row r="206">
      <c r="A206" s="10" t="inlineStr">
        <is>
          <t>REG-12</t>
        </is>
      </c>
      <c r="B206" s="11" t="inlineStr">
        <is>
          <t>Name the respondents who answer rights tickets for a processor</t>
        </is>
      </c>
      <c r="C206" s="11" t="n">
        <v>1</v>
      </c>
      <c r="D206" s="11" t="inlineStr">
        <is>
          <t>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t>
        </is>
      </c>
      <c r="E206" s="11" t="inlineStr">
        <is>
          <t>The Dashboard opens. The top-right corner of the header shows 'Priya Menon' with the role badge 'DPO'.</t>
        </is>
      </c>
      <c r="F206" s="16" t="n"/>
      <c r="G206" s="16" t="n"/>
    </row>
    <row r="207">
      <c r="A207" s="10" t="inlineStr">
        <is>
          <t>REG-12</t>
        </is>
      </c>
      <c r="B207" s="11" t="inlineStr">
        <is>
          <t>Name the respondents who answer rights tickets for a processor</t>
        </is>
      </c>
      <c r="C207" s="11" t="n">
        <v>2</v>
      </c>
      <c r="D207" s="11" t="inlineStr">
        <is>
          <t>Open 'Processors' and click 'Respondents' on the SEED row.</t>
        </is>
      </c>
      <c r="E207" s="11" t="inlineStr">
        <is>
          <t>A dialog 'Respondents · SEED' opens. A blue note explains a third party's respondent is usually a name and address, mailed and tracked by hand. Existing respondents are listed, or 'Nobody yet. Until somebody is named, the DPO types who answers on each request.'</t>
        </is>
      </c>
      <c r="F207" s="16" t="n"/>
      <c r="G207" s="16" t="n"/>
    </row>
    <row r="208">
      <c r="A208" s="10" t="inlineStr">
        <is>
          <t>REG-12</t>
        </is>
      </c>
      <c r="B208" s="11" t="inlineStr">
        <is>
          <t>Name the respondents who answer rights tickets for a processor</t>
        </is>
      </c>
      <c r="C208" s="11" t="n">
        <v>3</v>
      </c>
      <c r="D208" s="11" t="inlineStr">
        <is>
          <t>Under 'Who answers for them' keep 'Somebody at the third party, by mail' selected. Type 'UAT Respondent 01' in 'Name' and uat.respondent01@cmp.local in 'Email address'. Click 'Add respondent'.</t>
        </is>
      </c>
      <c r="E208" s="11" t="inlineStr">
        <is>
          <t>'Respondent added' appears. The list shows 'UAT Respondent 01' with a 'by mail' badge and the email address below.</t>
        </is>
      </c>
      <c r="F208" s="16" t="n"/>
      <c r="G208" s="16" t="n"/>
    </row>
    <row r="209">
      <c r="A209" s="10" t="inlineStr">
        <is>
          <t>REG-12</t>
        </is>
      </c>
      <c r="B209" s="11" t="inlineStr">
        <is>
          <t>Name the respondents who answer rights tickets for a processor</t>
        </is>
      </c>
      <c r="C209" s="11" t="n">
        <v>4</v>
      </c>
      <c r="D209" s="11" t="inlineStr">
        <is>
          <t>Close the dialog and click 'Respondents' on the SRIB row.</t>
        </is>
      </c>
      <c r="E209" s="11" t="inlineStr">
        <is>
          <t>A dialog 'Respondents · SRIB' opens, saying for an in-house processor a respondent is a CMP account. There is no by-mail option - only an 'Account' drop-down.</t>
        </is>
      </c>
      <c r="F209" s="16" t="n"/>
      <c r="G209" s="16" t="n"/>
    </row>
    <row r="210">
      <c r="A210" s="10" t="inlineStr">
        <is>
          <t>REG-12</t>
        </is>
      </c>
      <c r="B210" s="11" t="inlineStr">
        <is>
          <t>Name the respondents who answer rights tickets for a processor</t>
        </is>
      </c>
      <c r="C210" s="11" t="n">
        <v>5</v>
      </c>
      <c r="D210" s="11" t="inlineStr">
        <is>
          <t>In 'Account' choose 'Meera Iyer · Rco · rco@cmp.local' and click 'Add respondent'.</t>
        </is>
      </c>
      <c r="E210" s="11" t="inlineStr">
        <is>
          <t>'Respondent added' appears. Meera Iyer is listed with the badge 'on the portal · Rco'.</t>
        </is>
      </c>
      <c r="F210" s="16" t="n"/>
      <c r="G210" s="16" t="n"/>
    </row>
    <row r="211">
      <c r="A211" s="10" t="inlineStr">
        <is>
          <t>REG-12</t>
        </is>
      </c>
      <c r="B211" s="11" t="inlineStr">
        <is>
          <t>Name the respondents who answer rights tickets for a processor</t>
        </is>
      </c>
      <c r="C211" s="11" t="n">
        <v>6</v>
      </c>
      <c r="D211" s="11" t="inlineStr">
        <is>
          <t>Click 'Remove' next to Meera Iyer.</t>
        </is>
      </c>
      <c r="E211" s="11" t="inlineStr">
        <is>
          <t>'Respondent removed' appears and she is no longer listed.</t>
        </is>
      </c>
      <c r="F211" s="16" t="n"/>
      <c r="G211" s="16" t="n"/>
    </row>
    <row r="212">
      <c r="A212" s="10" t="inlineStr">
        <is>
          <t>REG-12</t>
        </is>
      </c>
      <c r="B212" s="11" t="inlineStr">
        <is>
          <t>Name the respondents who answer rights tickets for a processor</t>
        </is>
      </c>
      <c r="C212" s="11" t="n">
        <v>7</v>
      </c>
      <c r="D212" s="11" t="inlineStr">
        <is>
          <t>Click 'Sign out' at the bottom of the left-hand sidebar.</t>
        </is>
      </c>
      <c r="E212" s="11" t="inlineStr">
        <is>
          <t>You are returned to the 'Sign in' page.</t>
        </is>
      </c>
      <c r="F212" s="16" t="n"/>
      <c r="G212" s="16" t="n"/>
    </row>
    <row r="213">
      <c r="A213" s="10" t="inlineStr">
        <is>
          <t>REG-12</t>
        </is>
      </c>
      <c r="B213" s="11" t="inlineStr">
        <is>
          <t>Name the respondents who answer rights tickets for a processor</t>
        </is>
      </c>
      <c r="C213" s="11" t="n">
        <v>8</v>
      </c>
      <c r="D213" s="11" t="inlineStr">
        <is>
          <t>Open http://localhost:3000. On the 'Sign in' page type rnd@cmp.local in 'Email or username' and SeedPassw0rd!2026 in 'Password', then click 'Sign in'. On the 'Verify it is you' page, ask the test coordinator for the sign-in code sent to rnd@cmp.local (from the test outbox), type it in '6-digit code' and click 'Verify and continue'.</t>
        </is>
      </c>
      <c r="E213" s="11" t="inlineStr">
        <is>
          <t>The Dashboard opens. The top-right corner of the header shows 'Kavya Rao' with the role badge 'R&amp;D User'.</t>
        </is>
      </c>
      <c r="F213" s="16" t="n"/>
      <c r="G213" s="16" t="n"/>
    </row>
    <row r="214">
      <c r="A214" s="10" t="inlineStr">
        <is>
          <t>REG-12</t>
        </is>
      </c>
      <c r="B214" s="11" t="inlineStr">
        <is>
          <t>Name the respondents who answer rights tickets for a processor</t>
        </is>
      </c>
      <c r="C214" s="11" t="n">
        <v>9</v>
      </c>
      <c r="D214" s="11" t="inlineStr">
        <is>
          <t>Open 'Processors' and click 'Respondents' on the SEED row.</t>
        </is>
      </c>
      <c r="E214" s="11" t="inlineStr">
        <is>
          <t>The dialog lists UAT Respondent 01 (by mail) but offers no 'Add respondent' form and no 'Remove' buttons (read-only).</t>
        </is>
      </c>
      <c r="F214" s="16" t="n"/>
      <c r="G214" s="16" t="n"/>
    </row>
    <row r="215">
      <c r="A215" s="10" t="inlineStr">
        <is>
          <t>REG-13</t>
        </is>
      </c>
      <c r="B215" s="11" t="inlineStr">
        <is>
          <t>Register a data source, make somebody accountable, edit and suspend it</t>
        </is>
      </c>
      <c r="C215" s="11" t="n">
        <v>1</v>
      </c>
      <c r="D215" s="11" t="inlineStr">
        <is>
          <t>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t>
        </is>
      </c>
      <c r="E215" s="11" t="inlineStr">
        <is>
          <t>The Dashboard opens. The top-right corner of the header shows 'Priya Menon' with the role badge 'DPO'.</t>
        </is>
      </c>
      <c r="F215" s="16" t="n"/>
      <c r="G215" s="16" t="n"/>
    </row>
    <row r="216">
      <c r="A216" s="10" t="inlineStr">
        <is>
          <t>REG-13</t>
        </is>
      </c>
      <c r="B216" s="11" t="inlineStr">
        <is>
          <t>Register a data source, make somebody accountable, edit and suspend it</t>
        </is>
      </c>
      <c r="C216" s="11" t="n">
        <v>2</v>
      </c>
      <c r="D216" s="11" t="inlineStr">
        <is>
          <t>In the sidebar under 'Registry' click 'Data sources', then 'Register source'.</t>
        </is>
      </c>
      <c r="E216" s="11" t="inlineStr">
        <is>
          <t>A dialog 'Register a data source' opens with Code, Name, Role, Exchange mode, Identifier scheme, Operated by and 'Authoritative for' tick boxes.</t>
        </is>
      </c>
      <c r="F216" s="16" t="n"/>
      <c r="G216" s="16" t="n"/>
    </row>
    <row r="217">
      <c r="A217" s="10" t="inlineStr">
        <is>
          <t>REG-13</t>
        </is>
      </c>
      <c r="B217" s="11" t="inlineStr">
        <is>
          <t>Register a data source, make somebody accountable, edit and suspend it</t>
        </is>
      </c>
      <c r="C217" s="11" t="n">
        <v>3</v>
      </c>
      <c r="D217" s="11" t="inlineStr">
        <is>
          <t>Enter the test data (Operated by 'SEED'; tick 'Name' under 'Authoritative for') and click 'Register source'.</t>
        </is>
      </c>
      <c r="E217" s="11" t="inlineStr">
        <is>
          <t>'Source registered' appears.</t>
        </is>
      </c>
      <c r="F217" s="16" t="n"/>
      <c r="G217" s="16" t="n"/>
    </row>
    <row r="218">
      <c r="A218" s="10" t="inlineStr">
        <is>
          <t>REG-13</t>
        </is>
      </c>
      <c r="B218" s="11" t="inlineStr">
        <is>
          <t>Register a data source, make somebody accountable, edit and suspend it</t>
        </is>
      </c>
      <c r="C218" s="11" t="n">
        <v>4</v>
      </c>
      <c r="D218" s="11" t="inlineStr">
        <is>
          <t>Tick the filter 'Nobody accountable', then search 'SRC-UAT-01'.</t>
        </is>
      </c>
      <c r="E218" s="11" t="inlineStr">
        <is>
          <t>UAT Rig 01 (SRC-UAT-01) is listed with Processor 'SEED', Accountable 'nobody yet', Role 'Collection', Exchange 'Manual upload', Authoritative for 'Name', Status 'Active', and buttons 'Assign', 'Edit', 'Suspend'.</t>
        </is>
      </c>
      <c r="F218" s="16" t="n"/>
      <c r="G218" s="16" t="n"/>
    </row>
    <row r="219">
      <c r="A219" s="10" t="inlineStr">
        <is>
          <t>REG-13</t>
        </is>
      </c>
      <c r="B219" s="11" t="inlineStr">
        <is>
          <t>Register a data source, make somebody accountable, edit and suspend it</t>
        </is>
      </c>
      <c r="C219" s="11" t="n">
        <v>5</v>
      </c>
      <c r="D219" s="11" t="inlineStr">
        <is>
          <t>Click 'Assign'.</t>
        </is>
      </c>
      <c r="E219" s="11" t="inlineStr">
        <is>
          <t>A dialog 'Who is accountable for UAT Rig 01?' opens with a 'Data Collection Owner' drop-down (third-party source, so a DCO is accountable).</t>
        </is>
      </c>
      <c r="F219" s="16" t="n"/>
      <c r="G219" s="16" t="n"/>
    </row>
    <row r="220">
      <c r="A220" s="10" t="inlineStr">
        <is>
          <t>REG-13</t>
        </is>
      </c>
      <c r="B220" s="11" t="inlineStr">
        <is>
          <t>Register a data source, make somebody accountable, edit and suspend it</t>
        </is>
      </c>
      <c r="C220" s="11" t="n">
        <v>6</v>
      </c>
      <c r="D220" s="11" t="inlineStr">
        <is>
          <t>Choose 'Arun Shetty · dco@cmp.local' and click 'Assign'.</t>
        </is>
      </c>
      <c r="E220" s="11" t="inlineStr">
        <is>
          <t>'Source assigned' appears with 'No project is currently collecting from it.' Untick 'Nobody accountable': the row now shows Accountable 'Arun Shetty' and the button reads 'Reassign'.</t>
        </is>
      </c>
      <c r="F220" s="16" t="n"/>
      <c r="G220" s="16" t="n"/>
    </row>
    <row r="221">
      <c r="A221" s="10" t="inlineStr">
        <is>
          <t>REG-13</t>
        </is>
      </c>
      <c r="B221" s="11" t="inlineStr">
        <is>
          <t>Register a data source, make somebody accountable, edit and suspend it</t>
        </is>
      </c>
      <c r="C221" s="11" t="n">
        <v>7</v>
      </c>
      <c r="D221" s="11" t="inlineStr">
        <is>
          <t>Click 'Edit'. In 'Edit data source' note that Code, Role, Exchange mode and Operated by cannot be changed. Change 'Name' to 'UAT Rig 01 renamed' and click 'Save changes'.</t>
        </is>
      </c>
      <c r="E221" s="11" t="inlineStr">
        <is>
          <t>'Source updated' appears and the row shows the new name.</t>
        </is>
      </c>
      <c r="F221" s="16" t="n"/>
      <c r="G221" s="16" t="n"/>
    </row>
    <row r="222">
      <c r="A222" s="10" t="inlineStr">
        <is>
          <t>REG-13</t>
        </is>
      </c>
      <c r="B222" s="11" t="inlineStr">
        <is>
          <t>Register a data source, make somebody accountable, edit and suspend it</t>
        </is>
      </c>
      <c r="C222" s="11" t="n">
        <v>8</v>
      </c>
      <c r="D222" s="11" t="inlineStr">
        <is>
          <t>Click 'Suspend' on the row.</t>
        </is>
      </c>
      <c r="E222" s="11" t="inlineStr">
        <is>
          <t>'Source suspended' appears: 'Imports from UAT Rig 01 renamed are now refused.' Status is 'Suspended' and the 'Reassign' and 'Suspend' buttons are gone.</t>
        </is>
      </c>
      <c r="F222" s="16" t="n"/>
      <c r="G222" s="16" t="n"/>
    </row>
    <row r="223">
      <c r="A223" s="10" t="inlineStr">
        <is>
          <t>REG-14</t>
        </is>
      </c>
      <c r="B223" s="11" t="inlineStr">
        <is>
          <t>A DCO registers a data source only under a third party's processor</t>
        </is>
      </c>
      <c r="C223" s="11" t="n">
        <v>1</v>
      </c>
      <c r="D223" s="11" t="inlineStr">
        <is>
          <t>Open http://localhost:3000. On the 'Sign in' page type dco@cmp.local in 'Email or username' and SeedPassw0rd!2026 in 'Password', then click 'Sign in'. On the 'Verify it is you' page, ask the test coordinator for the sign-in code sent to dco@cmp.local (from the test outbox), type it in '6-digit code' and click 'Verify and continue'.</t>
        </is>
      </c>
      <c r="E223" s="11" t="inlineStr">
        <is>
          <t>The Dashboard opens. The top-right corner of the header shows 'Arun Shetty' with the role badge 'Data Collection Owner'.</t>
        </is>
      </c>
      <c r="F223" s="16" t="n"/>
      <c r="G223" s="16" t="n"/>
    </row>
    <row r="224">
      <c r="A224" s="10" t="inlineStr">
        <is>
          <t>REG-14</t>
        </is>
      </c>
      <c r="B224" s="11" t="inlineStr">
        <is>
          <t>A DCO registers a data source only under a third party's processor</t>
        </is>
      </c>
      <c r="C224" s="11" t="n">
        <v>2</v>
      </c>
      <c r="D224" s="11" t="inlineStr">
        <is>
          <t>Click 'Data sources' in the sidebar.</t>
        </is>
      </c>
      <c r="E224" s="11" t="inlineStr">
        <is>
          <t>The 'Data sources' page opens with a 'Register source' button. Rows show no 'Edit', 'Suspend' or 'Assign' buttons for this role.</t>
        </is>
      </c>
      <c r="F224" s="16" t="n"/>
      <c r="G224" s="16" t="n"/>
    </row>
    <row r="225">
      <c r="A225" s="10" t="inlineStr">
        <is>
          <t>REG-14</t>
        </is>
      </c>
      <c r="B225" s="11" t="inlineStr">
        <is>
          <t>A DCO registers a data source only under a third party's processor</t>
        </is>
      </c>
      <c r="C225" s="11" t="n">
        <v>3</v>
      </c>
      <c r="D225" s="11" t="inlineStr">
        <is>
          <t>Click 'Register source' and open the 'Operated by' drop-down.</t>
        </is>
      </c>
      <c r="E225" s="11" t="inlineStr">
        <is>
          <t>'Operated by' is marked required and starts at 'Choose a processor…'. It lists third-party processors (e.g. SEED, Pune Motion Lab Pvt Ltd) but NOT the in-house SRIB.</t>
        </is>
      </c>
      <c r="F225" s="16" t="n"/>
      <c r="G225" s="16" t="n"/>
    </row>
    <row r="226">
      <c r="A226" s="10" t="inlineStr">
        <is>
          <t>REG-14</t>
        </is>
      </c>
      <c r="B226" s="11" t="inlineStr">
        <is>
          <t>A DCO registers a data source only under a third party's processor</t>
        </is>
      </c>
      <c r="C226" s="11" t="n">
        <v>4</v>
      </c>
      <c r="D226" s="11" t="inlineStr">
        <is>
          <t>Enter the test data, choosing 'SEED' in 'Operated by', and click 'Register source'.</t>
        </is>
      </c>
      <c r="E226" s="11" t="inlineStr">
        <is>
          <t>'Source registered' appears.</t>
        </is>
      </c>
      <c r="F226" s="16" t="n"/>
      <c r="G226" s="16" t="n"/>
    </row>
    <row r="227">
      <c r="A227" s="10" t="inlineStr">
        <is>
          <t>REG-14</t>
        </is>
      </c>
      <c r="B227" s="11" t="inlineStr">
        <is>
          <t>A DCO registers a data source only under a third party's processor</t>
        </is>
      </c>
      <c r="C227" s="11" t="n">
        <v>5</v>
      </c>
      <c r="D227" s="11" t="inlineStr">
        <is>
          <t>Search 'SRC-UAT-02'.</t>
        </is>
      </c>
      <c r="E227" s="11" t="inlineStr">
        <is>
          <t>UAT Rig 02 is listed with Processor 'SEED' and Status 'Active'.</t>
        </is>
      </c>
      <c r="F227" s="16" t="n"/>
      <c r="G227" s="16" t="n"/>
    </row>
    <row r="228">
      <c r="A228" s="10" t="inlineStr">
        <is>
          <t>REG-14</t>
        </is>
      </c>
      <c r="B228" s="11" t="inlineStr">
        <is>
          <t>A DCO registers a data source only under a third party's processor</t>
        </is>
      </c>
      <c r="C228" s="11" t="n">
        <v>6</v>
      </c>
      <c r="D228" s="11" t="inlineStr">
        <is>
          <t>Look for the sidebar entry 'Processors'.</t>
        </is>
      </c>
      <c r="E228" s="11" t="inlineStr">
        <is>
          <t>There is no 'Processors' entry for a DCO (the processor register is kept by the DPO and Administrator).</t>
        </is>
      </c>
      <c r="F228" s="16" t="n"/>
      <c r="G228" s="16" t="n"/>
    </row>
    <row r="229">
      <c r="A229" s="10" t="inlineStr">
        <is>
          <t>REG-15</t>
        </is>
      </c>
      <c r="B229" s="11" t="inlineStr">
        <is>
          <t>DPO lists a restricted country with its notification, is stopped from listing it twice, and lifts it</t>
        </is>
      </c>
      <c r="C229" s="11" t="n">
        <v>1</v>
      </c>
      <c r="D229" s="11" t="inlineStr">
        <is>
          <t>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t>
        </is>
      </c>
      <c r="E229" s="11" t="inlineStr">
        <is>
          <t>The Dashboard opens. The top-right corner of the header shows 'Priya Menon' with the role badge 'DPO'.</t>
        </is>
      </c>
      <c r="F229" s="16" t="n"/>
      <c r="G229" s="16" t="n"/>
    </row>
    <row r="230">
      <c r="A230" s="10" t="inlineStr">
        <is>
          <t>REG-15</t>
        </is>
      </c>
      <c r="B230" s="11" t="inlineStr">
        <is>
          <t>DPO lists a restricted country with its notification, is stopped from listing it twice, and lifts it</t>
        </is>
      </c>
      <c r="C230" s="11" t="n">
        <v>2</v>
      </c>
      <c r="D230" s="11" t="inlineStr">
        <is>
          <t>Click 'Processors' and scroll below the list of processors.</t>
        </is>
      </c>
      <c r="E230" s="11" t="inlineStr">
        <is>
          <t>A card 'Restricted countries (s.16)' is shown, explaining exports to a processor in a listed country are refused. It lists current restrictions or says 'No country is restricted.' It has 'Country' and 'Notification' fields and a 'Restrict' button.</t>
        </is>
      </c>
      <c r="F230" s="16" t="n"/>
      <c r="G230" s="16" t="n"/>
    </row>
    <row r="231">
      <c r="A231" s="10" t="inlineStr">
        <is>
          <t>REG-15</t>
        </is>
      </c>
      <c r="B231" s="11" t="inlineStr">
        <is>
          <t>DPO lists a restricted country with its notification, is stopped from listing it twice, and lifts it</t>
        </is>
      </c>
      <c r="C231" s="11" t="n">
        <v>3</v>
      </c>
      <c r="D231" s="11" t="inlineStr">
        <is>
          <t>Type 'fj' in 'Country' only, leaving 'Notification' empty.</t>
        </is>
      </c>
      <c r="E231" s="11" t="inlineStr">
        <is>
          <t>The 'Restrict' button stays disabled until a notification is entered.</t>
        </is>
      </c>
      <c r="F231" s="16" t="n"/>
      <c r="G231" s="16" t="n"/>
    </row>
    <row r="232">
      <c r="A232" s="10" t="inlineStr">
        <is>
          <t>REG-15</t>
        </is>
      </c>
      <c r="B232" s="11" t="inlineStr">
        <is>
          <t>DPO lists a restricted country with its notification, is stopped from listing it twice, and lifts it</t>
        </is>
      </c>
      <c r="C232" s="11" t="n">
        <v>4</v>
      </c>
      <c r="D232" s="11" t="inlineStr">
        <is>
          <t>Type 'UAT G.S.R. 001(E)' in 'Notification' and click 'Restrict'.</t>
        </is>
      </c>
      <c r="E232" s="11" t="inlineStr">
        <is>
          <t>'Country restricted' appears: 'Exports whose rows would go there are refused from now on.' The list shows 'FJ' (in capitals), 'UAT G.S.R. 001(E)', 'since &lt;today&gt;' and a 'Lift' button. The fields are cleared.</t>
        </is>
      </c>
      <c r="F232" s="16" t="n"/>
      <c r="G232" s="16" t="n"/>
    </row>
    <row r="233">
      <c r="A233" s="10" t="inlineStr">
        <is>
          <t>REG-15</t>
        </is>
      </c>
      <c r="B233" s="11" t="inlineStr">
        <is>
          <t>DPO lists a restricted country with its notification, is stopped from listing it twice, and lifts it</t>
        </is>
      </c>
      <c r="C233" s="11" t="n">
        <v>5</v>
      </c>
      <c r="D233" s="11" t="inlineStr">
        <is>
          <t>Type 'FJ' in 'Country' and 'UAT G.S.R. 002(E)' in 'Notification' and click 'Restrict' again.</t>
        </is>
      </c>
      <c r="E233" s="11" t="inlineStr">
        <is>
          <t>A red message 'Not restricted' appears: 'FJ is already restricted'. FJ is still listed once.</t>
        </is>
      </c>
      <c r="F233" s="16" t="n"/>
      <c r="G233" s="16" t="n"/>
    </row>
    <row r="234">
      <c r="A234" s="10" t="inlineStr">
        <is>
          <t>REG-15</t>
        </is>
      </c>
      <c r="B234" s="11" t="inlineStr">
        <is>
          <t>DPO lists a restricted country with its notification, is stopped from listing it twice, and lifts it</t>
        </is>
      </c>
      <c r="C234" s="11" t="n">
        <v>6</v>
      </c>
      <c r="D234" s="11" t="inlineStr">
        <is>
          <t>Click 'Lift' next to FJ.</t>
        </is>
      </c>
      <c r="E234" s="11" t="inlineStr">
        <is>
          <t>'FJ lifted' appears: 'Exports there are judged by the purposes again.' FJ is removed from the card.</t>
        </is>
      </c>
      <c r="F234" s="16" t="n"/>
      <c r="G234" s="16" t="n"/>
    </row>
    <row r="235">
      <c r="A235" s="10" t="inlineStr">
        <is>
          <t>REG-15</t>
        </is>
      </c>
      <c r="B235" s="11" t="inlineStr">
        <is>
          <t>DPO lists a restricted country with its notification, is stopped from listing it twice, and lifts it</t>
        </is>
      </c>
      <c r="C235" s="11" t="n">
        <v>7</v>
      </c>
      <c r="D235" s="11" t="inlineStr">
        <is>
          <t>Ask the test coordinator (or an Administrator/DPO via 'Audit trail') to confirm the restriction and the lift were recorded.</t>
        </is>
      </c>
      <c r="E235" s="11" t="inlineStr">
        <is>
          <t>Both the restriction and the lift of FJ appear in the audit trail, attributed to Priya Menon.</t>
        </is>
      </c>
      <c r="F235" s="16" t="n"/>
      <c r="G235" s="16" t="n"/>
    </row>
    <row r="236">
      <c r="A236" s="10" t="inlineStr">
        <is>
          <t>REG-16</t>
        </is>
      </c>
      <c r="B236" s="11" t="inlineStr">
        <is>
          <t>India cannot be restricted, bad country codes are refused, and only the DPO sees the restricted list</t>
        </is>
      </c>
      <c r="C236" s="11" t="n">
        <v>1</v>
      </c>
      <c r="D236" s="11" t="inlineStr">
        <is>
          <t>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t>
        </is>
      </c>
      <c r="E236" s="11" t="inlineStr">
        <is>
          <t>The Dashboard opens. The top-right corner of the header shows 'Priya Menon' with the role badge 'DPO'.</t>
        </is>
      </c>
      <c r="F236" s="16" t="n"/>
      <c r="G236" s="16" t="n"/>
    </row>
    <row r="237">
      <c r="A237" s="10" t="inlineStr">
        <is>
          <t>REG-16</t>
        </is>
      </c>
      <c r="B237" s="11" t="inlineStr">
        <is>
          <t>India cannot be restricted, bad country codes are refused, and only the DPO sees the restricted list</t>
        </is>
      </c>
      <c r="C237" s="11" t="n">
        <v>2</v>
      </c>
      <c r="D237" s="11" t="inlineStr">
        <is>
          <t>On 'Processors', in 'Restricted countries (s.16)', type 'IN' in 'Country' and 'UAT G.S.R. 003(E)' in 'Notification'. Click 'Restrict'.</t>
        </is>
      </c>
      <c r="E237" s="11" t="inlineStr">
        <is>
          <t>A red message 'Not restricted' appears: 'India cannot be restricted for transfers out of India'. IN is not added to the list.</t>
        </is>
      </c>
      <c r="F237" s="16" t="n"/>
      <c r="G237" s="16" t="n"/>
    </row>
    <row r="238">
      <c r="A238" s="10" t="inlineStr">
        <is>
          <t>REG-16</t>
        </is>
      </c>
      <c r="B238" s="11" t="inlineStr">
        <is>
          <t>India cannot be restricted, bad country codes are refused, and only the DPO sees the restricted list</t>
        </is>
      </c>
      <c r="C238" s="11" t="n">
        <v>3</v>
      </c>
      <c r="D238" s="11" t="inlineStr">
        <is>
          <t>Change 'Country' to '1A', 'Notification' to 'UAT G.S.R. 004(E)', and click 'Restrict'.</t>
        </is>
      </c>
      <c r="E238" s="11" t="inlineStr">
        <is>
          <t>A red 'Not restricted' message appears refusing the code; nothing is added to the list.</t>
        </is>
      </c>
      <c r="F238" s="16" t="n"/>
      <c r="G238" s="16" t="n"/>
    </row>
    <row r="239">
      <c r="A239" s="10" t="inlineStr">
        <is>
          <t>REG-16</t>
        </is>
      </c>
      <c r="B239" s="11" t="inlineStr">
        <is>
          <t>India cannot be restricted, bad country codes are refused, and only the DPO sees the restricted list</t>
        </is>
      </c>
      <c r="C239" s="11" t="n">
        <v>4</v>
      </c>
      <c r="D239" s="11" t="inlineStr">
        <is>
          <t>Click 'Sign out' at the bottom of the left-hand sidebar.</t>
        </is>
      </c>
      <c r="E239" s="11" t="inlineStr">
        <is>
          <t>You are returned to the 'Sign in' page.</t>
        </is>
      </c>
      <c r="F239" s="16" t="n"/>
      <c r="G239" s="16" t="n"/>
    </row>
    <row r="240">
      <c r="A240" s="10" t="inlineStr">
        <is>
          <t>REG-16</t>
        </is>
      </c>
      <c r="B240" s="11" t="inlineStr">
        <is>
          <t>India cannot be restricted, bad country codes are refused, and only the DPO sees the restricted list</t>
        </is>
      </c>
      <c r="C240" s="11" t="n">
        <v>5</v>
      </c>
      <c r="D240" s="11" t="inlineStr">
        <is>
          <t>Open http://localhost:3000. On the 'Sign in' page type admin@cmp.local in 'Email or username' and SeedPassw0rd!2026 in 'Password', then click 'Sign in'. On the 'Verify it is you' page, ask the test coordinator for the sign-in code sent to admin@cmp.local (from the test outbox), type it in '6-digit code' and click 'Verify and continue'.</t>
        </is>
      </c>
      <c r="E240" s="11" t="inlineStr">
        <is>
          <t>The Dashboard opens. The top-right corner of the header shows 'System Admin' with the role badge 'Administrator'.</t>
        </is>
      </c>
      <c r="F240" s="16" t="n"/>
      <c r="G240" s="16" t="n"/>
    </row>
    <row r="241">
      <c r="A241" s="10" t="inlineStr">
        <is>
          <t>REG-16</t>
        </is>
      </c>
      <c r="B241" s="11" t="inlineStr">
        <is>
          <t>India cannot be restricted, bad country codes are refused, and only the DPO sees the restricted list</t>
        </is>
      </c>
      <c r="C241" s="11" t="n">
        <v>6</v>
      </c>
      <c r="D241" s="11" t="inlineStr">
        <is>
          <t>Click 'Processors' and scroll to the bottom of the page.</t>
        </is>
      </c>
      <c r="E241" s="11" t="inlineStr">
        <is>
          <t>The processor list and 'Register processor' button are shown, but there is NO 'Restricted countries (s.16)' card.</t>
        </is>
      </c>
      <c r="F241" s="16" t="n"/>
      <c r="G241" s="16" t="n"/>
    </row>
    <row r="242">
      <c r="A242" s="10" t="inlineStr">
        <is>
          <t>REG-16</t>
        </is>
      </c>
      <c r="B242" s="11" t="inlineStr">
        <is>
          <t>India cannot be restricted, bad country codes are refused, and only the DPO sees the restricted list</t>
        </is>
      </c>
      <c r="C242" s="11" t="n">
        <v>7</v>
      </c>
      <c r="D242" s="11" t="inlineStr">
        <is>
          <t>Click 'Sign out' at the bottom of the left-hand sidebar.</t>
        </is>
      </c>
      <c r="E242" s="11" t="inlineStr">
        <is>
          <t>You are returned to the 'Sign in' page.</t>
        </is>
      </c>
      <c r="F242" s="16" t="n"/>
      <c r="G242" s="16" t="n"/>
    </row>
    <row r="243">
      <c r="A243" s="10" t="inlineStr">
        <is>
          <t>REG-16</t>
        </is>
      </c>
      <c r="B243" s="11" t="inlineStr">
        <is>
          <t>India cannot be restricted, bad country codes are refused, and only the DPO sees the restricted list</t>
        </is>
      </c>
      <c r="C243" s="11" t="n">
        <v>8</v>
      </c>
      <c r="D243" s="11" t="inlineStr">
        <is>
          <t>Open http://localhost:3000. On the 'Sign in' page type rnd@cmp.local in 'Email or username' and SeedPassw0rd!2026 in 'Password', then click 'Sign in'. On the 'Verify it is you' page, ask the test coordinator for the sign-in code sent to rnd@cmp.local (from the test outbox), type it in '6-digit code' and click 'Verify and continue'.</t>
        </is>
      </c>
      <c r="E243" s="11" t="inlineStr">
        <is>
          <t>The Dashboard opens. The top-right corner of the header shows 'Kavya Rao' with the role badge 'R&amp;D User'.</t>
        </is>
      </c>
      <c r="F243" s="16" t="n"/>
      <c r="G243" s="16" t="n"/>
    </row>
    <row r="244">
      <c r="A244" s="10" t="inlineStr">
        <is>
          <t>REG-16</t>
        </is>
      </c>
      <c r="B244" s="11" t="inlineStr">
        <is>
          <t>India cannot be restricted, bad country codes are refused, and only the DPO sees the restricted list</t>
        </is>
      </c>
      <c r="C244" s="11" t="n">
        <v>9</v>
      </c>
      <c r="D244" s="11" t="inlineStr">
        <is>
          <t>Click 'Processors' and scroll to the bottom of the page.</t>
        </is>
      </c>
      <c r="E244" s="11" t="inlineStr">
        <is>
          <t>The processor list is read-only (no 'Register processor', 'Edit' or 'Suspend'), and there is NO 'Restricted countries (s.16)' card.</t>
        </is>
      </c>
      <c r="F244" s="16" t="n"/>
      <c r="G244" s="16" t="n"/>
    </row>
    <row r="245">
      <c r="A245" s="10" t="inlineStr">
        <is>
          <t>REG-17</t>
        </is>
      </c>
      <c r="B245" s="11" t="inlineStr">
        <is>
          <t>The office rewords the staff invitation email, previews, saves and resets it</t>
        </is>
      </c>
      <c r="C245" s="11" t="n">
        <v>1</v>
      </c>
      <c r="D245" s="11" t="inlineStr">
        <is>
          <t>Open http://localhost:3000. On the 'Sign in' page type admin@cmp.local in 'Email or username' and SeedPassw0rd!2026 in 'Password', then click 'Sign in'. On the 'Verify it is you' page, ask the test coordinator for the sign-in code sent to admin@cmp.local (from the test outbox), type it in '6-digit code' and click 'Verify and continue'.</t>
        </is>
      </c>
      <c r="E245" s="11" t="inlineStr">
        <is>
          <t>The Dashboard opens. The top-right corner of the header shows 'System Admin' with the role badge 'Administrator'.</t>
        </is>
      </c>
      <c r="F245" s="16" t="n"/>
      <c r="G245" s="16" t="n"/>
    </row>
    <row r="246">
      <c r="A246" s="10" t="inlineStr">
        <is>
          <t>REG-17</t>
        </is>
      </c>
      <c r="B246" s="11" t="inlineStr">
        <is>
          <t>The office rewords the staff invitation email, previews, saves and resets it</t>
        </is>
      </c>
      <c r="C246" s="11" t="n">
        <v>2</v>
      </c>
      <c r="D246" s="11" t="inlineStr">
        <is>
          <t>In the sidebar under 'Your work' click 'Message templates'.</t>
        </is>
      </c>
      <c r="E246" s="11" t="inlineStr">
        <is>
          <t>The 'Message templates' page opens with messages grouped under headings such as 'Sign-in', 'Consent', 'Rights' and 'Staff'.</t>
        </is>
      </c>
      <c r="F246" s="16" t="n"/>
      <c r="G246" s="16" t="n"/>
    </row>
    <row r="247">
      <c r="A247" s="10" t="inlineStr">
        <is>
          <t>REG-17</t>
        </is>
      </c>
      <c r="B247" s="11" t="inlineStr">
        <is>
          <t>The office rewords the staff invitation email, previews, saves and resets it</t>
        </is>
      </c>
      <c r="C247" s="11" t="n">
        <v>3</v>
      </c>
      <c r="D247" s="11" t="inlineStr">
        <is>
          <t>Under 'Sign-in' find the card 'Staff account invitation'.</t>
        </is>
      </c>
      <c r="E247" s="11" t="inlineStr">
        <is>
          <t>The card shows a 'Default words' badge, a 'Subject' field, a 'Body' field, the list 'Variables this message can use (click to insert)' (including {full_name}, {code}, {reset_url}) and the buttons 'Save' (disabled) and 'Preview'.</t>
        </is>
      </c>
      <c r="F247" s="16" t="n"/>
      <c r="G247" s="16" t="n"/>
    </row>
    <row r="248">
      <c r="A248" s="10" t="inlineStr">
        <is>
          <t>REG-17</t>
        </is>
      </c>
      <c r="B248" s="11" t="inlineStr">
        <is>
          <t>The office rewords the staff invitation email, previews, saves and resets it</t>
        </is>
      </c>
      <c r="C248" s="11" t="n">
        <v>4</v>
      </c>
      <c r="D248" s="11" t="inlineStr">
        <is>
          <t>Click at the end of 'Body', press Enter twice and type 'UAT check: welcome aboard, '. Then click the variable chip '{full_name}' and type '.'</t>
        </is>
      </c>
      <c r="E248" s="11" t="inlineStr">
        <is>
          <t>The text '{full_name}' is inserted where the cursor was. The 'Save' button becomes enabled.</t>
        </is>
      </c>
      <c r="F248" s="16" t="n"/>
      <c r="G248" s="16" t="n"/>
    </row>
    <row r="249">
      <c r="A249" s="10" t="inlineStr">
        <is>
          <t>REG-17</t>
        </is>
      </c>
      <c r="B249" s="11" t="inlineStr">
        <is>
          <t>The office rewords the staff invitation email, previews, saves and resets it</t>
        </is>
      </c>
      <c r="C249" s="11" t="n">
        <v>5</v>
      </c>
      <c r="D249" s="11" t="inlineStr">
        <is>
          <t>Click 'Preview'.</t>
        </is>
      </c>
      <c r="E249" s="11" t="inlineStr">
        <is>
          <t>A 'Preview, with sample values' box shows the email with sample values filled in, ending 'UAT check: welcome aboard, Asha Rao.'</t>
        </is>
      </c>
      <c r="F249" s="16" t="n"/>
      <c r="G249" s="16" t="n"/>
    </row>
    <row r="250">
      <c r="A250" s="10" t="inlineStr">
        <is>
          <t>REG-17</t>
        </is>
      </c>
      <c r="B250" s="11" t="inlineStr">
        <is>
          <t>The office rewords the staff invitation email, previews, saves and resets it</t>
        </is>
      </c>
      <c r="C250" s="11" t="n">
        <v>6</v>
      </c>
      <c r="D250" s="11" t="inlineStr">
        <is>
          <t>Click 'Save'.</t>
        </is>
      </c>
      <c r="E250" s="11" t="inlineStr">
        <is>
          <t>'Words saved' appears ('Staff account invitation (Email) now sends what you wrote.'). The card now shows a 'Customised' badge 'by System Admin on &lt;today&gt;'.</t>
        </is>
      </c>
      <c r="F250" s="16" t="n"/>
      <c r="G250" s="16" t="n"/>
    </row>
    <row r="251">
      <c r="A251" s="10" t="inlineStr">
        <is>
          <t>REG-17</t>
        </is>
      </c>
      <c r="B251" s="11" t="inlineStr">
        <is>
          <t>The office rewords the staff invitation email, previews, saves and resets it</t>
        </is>
      </c>
      <c r="C251" s="11" t="n">
        <v>7</v>
      </c>
      <c r="D251" s="11" t="inlineStr">
        <is>
          <t>Click 'Reset to default'.</t>
        </is>
      </c>
      <c r="E251" s="11" t="inlineStr">
        <is>
          <t>Two buttons appear: 'Yes, use the default words' and 'Keep mine'.</t>
        </is>
      </c>
      <c r="F251" s="16" t="n"/>
      <c r="G251" s="16" t="n"/>
    </row>
    <row r="252">
      <c r="A252" s="10" t="inlineStr">
        <is>
          <t>REG-17</t>
        </is>
      </c>
      <c r="B252" s="11" t="inlineStr">
        <is>
          <t>The office rewords the staff invitation email, previews, saves and resets it</t>
        </is>
      </c>
      <c r="C252" s="11" t="n">
        <v>8</v>
      </c>
      <c r="D252" s="11" t="inlineStr">
        <is>
          <t>Click 'Yes, use the default words'.</t>
        </is>
      </c>
      <c r="E252" s="11" t="inlineStr">
        <is>
          <t>'Back to the default' appears. The card shows 'Default words' again and the added line is gone.</t>
        </is>
      </c>
      <c r="F252" s="16" t="n"/>
      <c r="G252" s="16" t="n"/>
    </row>
    <row r="253">
      <c r="A253" s="10" t="inlineStr">
        <is>
          <t>REG-18</t>
        </is>
      </c>
      <c r="B253" s="11" t="inlineStr">
        <is>
          <t>A message that uses a variable it does not provide is refused</t>
        </is>
      </c>
      <c r="C253" s="11" t="n">
        <v>1</v>
      </c>
      <c r="D253" s="11" t="inlineStr">
        <is>
          <t>In the sidebar under 'Oversight' click 'Message templates' and find the card 'Staff sign-in code' under 'Sign-in'.</t>
        </is>
      </c>
      <c r="E253" s="11" t="inlineStr">
        <is>
          <t>The card shows its 'Subject', 'Body' and the variables it can use. {full_name} is NOT in its variable list.</t>
        </is>
      </c>
      <c r="F253" s="16" t="n"/>
      <c r="G253" s="16" t="n"/>
    </row>
    <row r="254">
      <c r="A254" s="10" t="inlineStr">
        <is>
          <t>REG-18</t>
        </is>
      </c>
      <c r="B254" s="11" t="inlineStr">
        <is>
          <t>A message that uses a variable it does not provide is refused</t>
        </is>
      </c>
      <c r="C254" s="11" t="n">
        <v>2</v>
      </c>
      <c r="D254" s="11" t="inlineStr">
        <is>
          <t>Replace the whole 'Body' with 'Dear {full_name}, your code is {code}.' and click 'Save'.</t>
        </is>
      </c>
      <c r="E254" s="11" t="inlineStr">
        <is>
          <t>The words are not saved. A red message in the card refuses the save, naming {full_name} and listing the variables that are allowed (including {code}).</t>
        </is>
      </c>
      <c r="F254" s="16" t="n"/>
      <c r="G254" s="16" t="n"/>
    </row>
    <row r="255">
      <c r="A255" s="10" t="inlineStr">
        <is>
          <t>REG-18</t>
        </is>
      </c>
      <c r="B255" s="11" t="inlineStr">
        <is>
          <t>A message that uses a variable it does not provide is refused</t>
        </is>
      </c>
      <c r="C255" s="11" t="n">
        <v>3</v>
      </c>
      <c r="D255" s="11" t="inlineStr">
        <is>
          <t>Change the 'Body' to 'Your code is {code}.' (only an allowed variable) and click 'Preview' - do NOT click 'Save'.</t>
        </is>
      </c>
      <c r="E255" s="11" t="inlineStr">
        <is>
          <t>The red message goes away and 'Preview, with sample values' shows 'Your code is 482913.' (a sample code).</t>
        </is>
      </c>
      <c r="F255" s="16" t="n"/>
      <c r="G255" s="16" t="n"/>
    </row>
    <row r="256">
      <c r="A256" s="10" t="inlineStr">
        <is>
          <t>REG-18</t>
        </is>
      </c>
      <c r="B256" s="11" t="inlineStr">
        <is>
          <t>A message that uses a variable it does not provide is refused</t>
        </is>
      </c>
      <c r="C256" s="11" t="n">
        <v>4</v>
      </c>
      <c r="D256" s="11" t="inlineStr">
        <is>
          <t>Reload the page and look at the 'Staff sign-in code' card.</t>
        </is>
      </c>
      <c r="E256" s="11" t="inlineStr">
        <is>
          <t>It still shows 'Default words' and the original body.</t>
        </is>
      </c>
      <c r="F256" s="16" t="n"/>
      <c r="G256" s="16" t="n"/>
    </row>
    <row r="257">
      <c r="A257" s="10" t="inlineStr">
        <is>
          <t>REG-19</t>
        </is>
      </c>
      <c r="B257" s="11" t="inlineStr">
        <is>
          <t>A Data Collection Owner delegates their work to a colleague for a period and ends it</t>
        </is>
      </c>
      <c r="C257" s="11" t="n">
        <v>1</v>
      </c>
      <c r="D257" s="11" t="inlineStr">
        <is>
          <t>Open http://localhost:3000. On the 'Sign in' page type dco@cmp.local in 'Email or username' and SeedPassw0rd!2026 in 'Password', then click 'Sign in'. On the 'Verify it is you' page, ask the test coordinator for the sign-in code sent to dco@cmp.local (from the test outbox), type it in '6-digit code' and click 'Verify and continue'.</t>
        </is>
      </c>
      <c r="E257" s="11" t="inlineStr">
        <is>
          <t>The Dashboard opens. The top-right corner of the header shows 'Arun Shetty' with the role badge 'Data Collection Owner'.</t>
        </is>
      </c>
      <c r="F257" s="16" t="n"/>
      <c r="G257" s="16" t="n"/>
    </row>
    <row r="258">
      <c r="A258" s="10" t="inlineStr">
        <is>
          <t>REG-19</t>
        </is>
      </c>
      <c r="B258" s="11" t="inlineStr">
        <is>
          <t>A Data Collection Owner delegates their work to a colleague for a period and ends it</t>
        </is>
      </c>
      <c r="C258" s="11" t="n">
        <v>2</v>
      </c>
      <c r="D258" s="11" t="inlineStr">
        <is>
          <t>In the sidebar under 'Oversight' click 'Delegations'.</t>
        </is>
      </c>
      <c r="E258" s="11" t="inlineStr">
        <is>
          <t>The 'Delegations' page opens with a 'Delegate my work' button and the cards 'My delegations' ('You have not delegated your work to anybody') and 'Work delegated to me'.</t>
        </is>
      </c>
      <c r="F258" s="16" t="n"/>
      <c r="G258" s="16" t="n"/>
    </row>
    <row r="259">
      <c r="A259" s="10" t="inlineStr">
        <is>
          <t>REG-19</t>
        </is>
      </c>
      <c r="B259" s="11" t="inlineStr">
        <is>
          <t>A Data Collection Owner delegates their work to a colleague for a period and ends it</t>
        </is>
      </c>
      <c r="C259" s="11" t="n">
        <v>3</v>
      </c>
      <c r="D259" s="11" t="inlineStr">
        <is>
          <t>Click 'Delegate my work' and open the 'Who takes over' drop-down.</t>
        </is>
      </c>
      <c r="E259" s="11" t="inlineStr">
        <is>
          <t>A dialog 'Delegate my work' opens. 'Who takes over' lists colleagues in the same role, including 'UAT DCO 01 · uat.dco01@cmp.local'.</t>
        </is>
      </c>
      <c r="F259" s="16" t="n"/>
      <c r="G259" s="16" t="n"/>
    </row>
    <row r="260">
      <c r="A260" s="10" t="inlineStr">
        <is>
          <t>REG-19</t>
        </is>
      </c>
      <c r="B260" s="11" t="inlineStr">
        <is>
          <t>A Data Collection Owner delegates their work to a colleague for a period and ends it</t>
        </is>
      </c>
      <c r="C260" s="11" t="n">
        <v>4</v>
      </c>
      <c r="D260" s="11" t="inlineStr">
        <is>
          <t>Choose UAT DCO 01, set 'Until' to 7 days from today, type 'UAT - annual leave cover' in 'Why' and click 'Delegate'.</t>
        </is>
      </c>
      <c r="E260" s="11" t="inlineStr">
        <is>
          <t>'Work delegated' appears. 'My delegations' lists UAT DCO 01 with 'until &lt;date&gt;' and the quoted reason, and an 'End now' button.</t>
        </is>
      </c>
      <c r="F260" s="16" t="n"/>
      <c r="G260" s="16" t="n"/>
    </row>
    <row r="261">
      <c r="A261" s="10" t="inlineStr">
        <is>
          <t>REG-19</t>
        </is>
      </c>
      <c r="B261" s="11" t="inlineStr">
        <is>
          <t>A Data Collection Owner delegates their work to a colleague for a period and ends it</t>
        </is>
      </c>
      <c r="C261" s="11" t="n">
        <v>5</v>
      </c>
      <c r="D261" s="11" t="inlineStr">
        <is>
          <t>Click 'Sign out' at the bottom of the left-hand sidebar.</t>
        </is>
      </c>
      <c r="E261" s="11" t="inlineStr">
        <is>
          <t>You are returned to the 'Sign in' page.</t>
        </is>
      </c>
      <c r="F261" s="16" t="n"/>
      <c r="G261" s="16" t="n"/>
    </row>
    <row r="262">
      <c r="A262" s="10" t="inlineStr">
        <is>
          <t>REG-19</t>
        </is>
      </c>
      <c r="B262" s="11" t="inlineStr">
        <is>
          <t>A Data Collection Owner delegates their work to a colleague for a period and ends it</t>
        </is>
      </c>
      <c r="C262" s="11" t="n">
        <v>6</v>
      </c>
      <c r="D262" s="11" t="inlineStr">
        <is>
          <t>Open http://localhost:3000. On the 'Sign in' page type uat.dco01@cmp.local in 'Email or username' and UatPassw0rd!2026 in 'Password', then click 'Sign in'. On the 'Verify it is you' page, ask the test coordinator for the sign-in code sent to uat.dco01@cmp.local (from the test outbox), type it in '6-digit code' and click 'Verify and continue'.</t>
        </is>
      </c>
      <c r="E262" s="11" t="inlineStr">
        <is>
          <t>The Dashboard opens. The top-right corner of the header shows 'UAT DCO 01' with the role badge 'Data Collection Owner'.</t>
        </is>
      </c>
      <c r="F262" s="16" t="n"/>
      <c r="G262" s="16" t="n"/>
    </row>
    <row r="263">
      <c r="A263" s="10" t="inlineStr">
        <is>
          <t>REG-19</t>
        </is>
      </c>
      <c r="B263" s="11" t="inlineStr">
        <is>
          <t>A Data Collection Owner delegates their work to a colleague for a period and ends it</t>
        </is>
      </c>
      <c r="C263" s="11" t="n">
        <v>7</v>
      </c>
      <c r="D263" s="11" t="inlineStr">
        <is>
          <t>Click 'Delegations' in the sidebar.</t>
        </is>
      </c>
      <c r="E263" s="11" t="inlineStr">
        <is>
          <t>'Work delegated to me' lists Arun Shetty with the end date.</t>
        </is>
      </c>
      <c r="F263" s="16" t="n"/>
      <c r="G263" s="16" t="n"/>
    </row>
    <row r="264">
      <c r="A264" s="10" t="inlineStr">
        <is>
          <t>REG-19</t>
        </is>
      </c>
      <c r="B264" s="11" t="inlineStr">
        <is>
          <t>A Data Collection Owner delegates their work to a colleague for a period and ends it</t>
        </is>
      </c>
      <c r="C264" s="11" t="n">
        <v>8</v>
      </c>
      <c r="D264" s="11" t="inlineStr">
        <is>
          <t>Click 'Sign out' at the bottom of the left-hand sidebar.</t>
        </is>
      </c>
      <c r="E264" s="11" t="inlineStr">
        <is>
          <t>You are returned to the 'Sign in' page.</t>
        </is>
      </c>
      <c r="F264" s="16" t="n"/>
      <c r="G264" s="16" t="n"/>
    </row>
    <row r="265">
      <c r="A265" s="10" t="inlineStr">
        <is>
          <t>REG-19</t>
        </is>
      </c>
      <c r="B265" s="11" t="inlineStr">
        <is>
          <t>A Data Collection Owner delegates their work to a colleague for a period and ends it</t>
        </is>
      </c>
      <c r="C265" s="11" t="n">
        <v>9</v>
      </c>
      <c r="D265" s="11" t="inlineStr">
        <is>
          <t>Open http://localhost:3000. On the 'Sign in' page type dco@cmp.local in 'Email or username' and SeedPassw0rd!2026 in 'Password', then click 'Sign in'. On the 'Verify it is you' page, ask the test coordinator for the sign-in code sent to dco@cmp.local (from the test outbox), type it in '6-digit code' and click 'Verify and continue'.</t>
        </is>
      </c>
      <c r="E265" s="11" t="inlineStr">
        <is>
          <t>The Dashboard opens. The top-right corner of the header shows 'Arun Shetty' with the role badge 'Data Collection Owner'.</t>
        </is>
      </c>
      <c r="F265" s="16" t="n"/>
      <c r="G265" s="16" t="n"/>
    </row>
    <row r="266">
      <c r="A266" s="10" t="inlineStr">
        <is>
          <t>REG-19</t>
        </is>
      </c>
      <c r="B266" s="11" t="inlineStr">
        <is>
          <t>A Data Collection Owner delegates their work to a colleague for a period and ends it</t>
        </is>
      </c>
      <c r="C266" s="11" t="n">
        <v>10</v>
      </c>
      <c r="D266" s="11" t="inlineStr">
        <is>
          <t>Click 'Delegations' and click 'End now' on the UAT DCO 01 arrangement.</t>
        </is>
      </c>
      <c r="E266" s="11" t="inlineStr">
        <is>
          <t>'Delegation ended' appears. The arrangement is no longer live (marked 'ended' or removed, with no 'End now' button).</t>
        </is>
      </c>
      <c r="F266" s="16" t="n"/>
      <c r="G266" s="16" t="n"/>
    </row>
    <row r="267">
      <c r="A267" s="10" t="inlineStr">
        <is>
          <t>REG-20</t>
        </is>
      </c>
      <c r="B267" s="11" t="inlineStr">
        <is>
          <t>Delegation is not offered where it does not apply</t>
        </is>
      </c>
      <c r="C267" s="11" t="n">
        <v>1</v>
      </c>
      <c r="D267" s="11" t="inlineStr">
        <is>
          <t>Open http://localhost:3000. On the 'Sign in' page type rnd@cmp.local in 'Email or username' and SeedPassw0rd!2026 in 'Password', then click 'Sign in'. On the 'Verify it is you' page, ask the test coordinator for the sign-in code sent to rnd@cmp.local (from the test outbox), type it in '6-digit code' and click 'Verify and continue'.</t>
        </is>
      </c>
      <c r="E267" s="11" t="inlineStr">
        <is>
          <t>The Dashboard opens. The top-right corner of the header shows 'Kavya Rao' with the role badge 'R&amp;D User'.</t>
        </is>
      </c>
      <c r="F267" s="16" t="n"/>
      <c r="G267" s="16" t="n"/>
    </row>
    <row r="268">
      <c r="A268" s="10" t="inlineStr">
        <is>
          <t>REG-20</t>
        </is>
      </c>
      <c r="B268" s="11" t="inlineStr">
        <is>
          <t>Delegation is not offered where it does not apply</t>
        </is>
      </c>
      <c r="C268" s="11" t="n">
        <v>2</v>
      </c>
      <c r="D268" s="11" t="inlineStr">
        <is>
          <t>Look through the sidebar, then open http://localhost:3000/delegate directly.</t>
        </is>
      </c>
      <c r="E268" s="11" t="inlineStr">
        <is>
          <t>There is no 'Delegations' entry; the address shows 'Not part of your account' with 'Back to your dashboard'.</t>
        </is>
      </c>
      <c r="F268" s="16" t="n"/>
      <c r="G268" s="16" t="n"/>
    </row>
    <row r="269">
      <c r="A269" s="10" t="inlineStr">
        <is>
          <t>REG-20</t>
        </is>
      </c>
      <c r="B269" s="11" t="inlineStr">
        <is>
          <t>Delegation is not offered where it does not apply</t>
        </is>
      </c>
      <c r="C269" s="11" t="n">
        <v>3</v>
      </c>
      <c r="D269" s="11" t="inlineStr">
        <is>
          <t>Click 'Sign out' at the bottom of the left-hand sidebar.</t>
        </is>
      </c>
      <c r="E269" s="11" t="inlineStr">
        <is>
          <t>You are returned to the 'Sign in' page.</t>
        </is>
      </c>
      <c r="F269" s="16" t="n"/>
      <c r="G269" s="16" t="n"/>
    </row>
    <row r="270">
      <c r="A270" s="10" t="inlineStr">
        <is>
          <t>REG-20</t>
        </is>
      </c>
      <c r="B270" s="11" t="inlineStr">
        <is>
          <t>Delegation is not offered where it does not apply</t>
        </is>
      </c>
      <c r="C270" s="11" t="n">
        <v>4</v>
      </c>
      <c r="D270" s="11" t="inlineStr">
        <is>
          <t>Open http://localhost:3000. On the 'Sign in' page type admin@cmp.local in 'Email or username' and SeedPassw0rd!2026 in 'Password', then click 'Sign in'. On the 'Verify it is you' page, ask the test coordinator for the sign-in code sent to admin@cmp.local (from the test outbox), type it in '6-digit code' and click 'Verify and continue'.</t>
        </is>
      </c>
      <c r="E270" s="11" t="inlineStr">
        <is>
          <t>The Dashboard opens. The top-right corner of the header shows 'System Admin' with the role badge 'Administrator'.</t>
        </is>
      </c>
      <c r="F270" s="16" t="n"/>
      <c r="G270" s="16" t="n"/>
    </row>
    <row r="271">
      <c r="A271" s="10" t="inlineStr">
        <is>
          <t>REG-20</t>
        </is>
      </c>
      <c r="B271" s="11" t="inlineStr">
        <is>
          <t>Delegation is not offered where it does not apply</t>
        </is>
      </c>
      <c r="C271" s="11" t="n">
        <v>5</v>
      </c>
      <c r="D271" s="11" t="inlineStr">
        <is>
          <t>Under 'Oversight' click 'Delegations'.</t>
        </is>
      </c>
      <c r="E271" s="11" t="inlineStr">
        <is>
          <t>The page shows NO 'Delegate my work' button; a blue note explains delegation applies to roles whose access is defined by assignment. An 'Everyone, right now' card shows live arrangements across the organisation (or 'No delegation is in place').</t>
        </is>
      </c>
      <c r="F271" s="16" t="n"/>
      <c r="G271" s="16" t="n"/>
    </row>
    <row r="272">
      <c r="A272" s="10" t="inlineStr">
        <is>
          <t>REG-20</t>
        </is>
      </c>
      <c r="B272" s="11" t="inlineStr">
        <is>
          <t>Delegation is not offered where it does not apply</t>
        </is>
      </c>
      <c r="C272" s="11" t="n">
        <v>6</v>
      </c>
      <c r="D272" s="11" t="inlineStr">
        <is>
          <t>Click 'Sign out' at the bottom of the left-hand sidebar.</t>
        </is>
      </c>
      <c r="E272" s="11" t="inlineStr">
        <is>
          <t>You are returned to the 'Sign in' page.</t>
        </is>
      </c>
      <c r="F272" s="16" t="n"/>
      <c r="G272" s="16" t="n"/>
    </row>
    <row r="273">
      <c r="A273" s="10" t="inlineStr">
        <is>
          <t>REG-20</t>
        </is>
      </c>
      <c r="B273" s="11" t="inlineStr">
        <is>
          <t>Delegation is not offered where it does not apply</t>
        </is>
      </c>
      <c r="C273" s="11" t="n">
        <v>7</v>
      </c>
      <c r="D273" s="11" t="inlineStr">
        <is>
          <t>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t>
        </is>
      </c>
      <c r="E273" s="11" t="inlineStr">
        <is>
          <t>The Dashboard opens. The top-right corner of the header shows 'Priya Menon' with the role badge 'DPO'.</t>
        </is>
      </c>
      <c r="F273" s="16" t="n"/>
      <c r="G273" s="16" t="n"/>
    </row>
    <row r="274">
      <c r="A274" s="10" t="inlineStr">
        <is>
          <t>REG-20</t>
        </is>
      </c>
      <c r="B274" s="11" t="inlineStr">
        <is>
          <t>Delegation is not offered where it does not apply</t>
        </is>
      </c>
      <c r="C274" s="11" t="n">
        <v>8</v>
      </c>
      <c r="D274" s="11" t="inlineStr">
        <is>
          <t>Under 'Oversight' click 'Delegations', then 'Delegate my work'.</t>
        </is>
      </c>
      <c r="E274" s="11" t="inlineStr">
        <is>
          <t>The dialog shows 'There is nobody else in your role to delegate to…'. 'Who takes over' is disabled and the 'Delegate' button cannot be clicked.</t>
        </is>
      </c>
      <c r="F274" s="16" t="n"/>
      <c r="G274" s="16" t="n"/>
    </row>
    <row r="275">
      <c r="A275" s="10" t="inlineStr">
        <is>
          <t>PRJ-01</t>
        </is>
      </c>
      <c r="B275" s="11" t="inlineStr">
        <is>
          <t>R&amp;D User registers a new project naming a third-party and an in-house collector</t>
        </is>
      </c>
      <c r="C275" s="11" t="n">
        <v>1</v>
      </c>
      <c r="D275" s="11" t="inlineStr">
        <is>
          <t>In the left sidebar click 'Projects'.</t>
        </is>
      </c>
      <c r="E275" s="11" t="inlineStr">
        <is>
          <t>The 'Projects' page opens with the columns Project, Status, Data Collection Owner, Created by, Updated, and a 'Register a project' button at the top right.</t>
        </is>
      </c>
      <c r="F275" s="16" t="n"/>
      <c r="G275" s="16" t="n"/>
    </row>
    <row r="276">
      <c r="A276" s="10" t="inlineStr">
        <is>
          <t>PRJ-01</t>
        </is>
      </c>
      <c r="B276" s="11" t="inlineStr">
        <is>
          <t>R&amp;D User registers a new project naming a third-party and an in-house collector</t>
        </is>
      </c>
      <c r="C276" s="11" t="n">
        <v>2</v>
      </c>
      <c r="D276" s="11" t="inlineStr">
        <is>
          <t>Click 'Register a project'.</t>
        </is>
      </c>
      <c r="E276" s="11" t="inlineStr">
        <is>
          <t>A dialog titled 'Register a project' opens with the fields 'Project name', 'Description', 'Internal name', 'Requesting team' and a 'Who will collect' section listing processors as tick boxes (each marked 'collected in-house' or 'collected by a third party').</t>
        </is>
      </c>
      <c r="F276" s="16" t="n"/>
      <c r="G276" s="16" t="n"/>
    </row>
    <row r="277">
      <c r="A277" s="10" t="inlineStr">
        <is>
          <t>PRJ-01</t>
        </is>
      </c>
      <c r="B277" s="11" t="inlineStr">
        <is>
          <t>R&amp;D User registers a new project naming a third-party and an in-house collector</t>
        </is>
      </c>
      <c r="C277" s="11" t="n">
        <v>3</v>
      </c>
      <c r="D277" s="11" t="inlineStr">
        <is>
          <t>Type the Project name, Description, Internal name and Requesting team from the test data.</t>
        </is>
      </c>
      <c r="E277" s="11" t="inlineStr">
        <is>
          <t>The text appears in each field; no error messages are shown.</t>
        </is>
      </c>
      <c r="F277" s="16" t="n"/>
      <c r="G277" s="16" t="n"/>
    </row>
    <row r="278">
      <c r="A278" s="10" t="inlineStr">
        <is>
          <t>PRJ-01</t>
        </is>
      </c>
      <c r="B278" s="11" t="inlineStr">
        <is>
          <t>R&amp;D User registers a new project naming a third-party and an in-house collector</t>
        </is>
      </c>
      <c r="C278" s="11" t="n">
        <v>4</v>
      </c>
      <c r="D278" s="11" t="inlineStr">
        <is>
          <t>Under 'Who will collect', tick 'SEED' (collected by a third party).</t>
        </is>
      </c>
      <c r="E278" s="11" t="inlineStr">
        <is>
          <t>A blue note appears: 'Once the DPO approves this, the DCO Admin assigns the data sources for the third-party collection.'</t>
        </is>
      </c>
      <c r="F278" s="16" t="n"/>
      <c r="G278" s="16" t="n"/>
    </row>
    <row r="279">
      <c r="A279" s="10" t="inlineStr">
        <is>
          <t>PRJ-01</t>
        </is>
      </c>
      <c r="B279" s="11" t="inlineStr">
        <is>
          <t>R&amp;D User registers a new project naming a third-party and an in-house collector</t>
        </is>
      </c>
      <c r="C279" s="11" t="n">
        <v>5</v>
      </c>
      <c r="D279" s="11" t="inlineStr">
        <is>
          <t>Also tick 'SRIB' (collected in-house).</t>
        </is>
      </c>
      <c r="E279" s="11" t="inlineStr">
        <is>
          <t>The note now covers both: '...the DCO Admin assigns the data sources for the third-party collection, and it comes back to you to name the data sources and an R&amp;D Collection Owner.'</t>
        </is>
      </c>
      <c r="F279" s="16" t="n"/>
      <c r="G279" s="16" t="n"/>
    </row>
    <row r="280">
      <c r="A280" s="10" t="inlineStr">
        <is>
          <t>PRJ-01</t>
        </is>
      </c>
      <c r="B280" s="11" t="inlineStr">
        <is>
          <t>R&amp;D User registers a new project naming a third-party and an in-house collector</t>
        </is>
      </c>
      <c r="C280" s="11" t="n">
        <v>6</v>
      </c>
      <c r="D280" s="11" t="inlineStr">
        <is>
          <t>Click 'Register project'.</t>
        </is>
      </c>
      <c r="E280" s="11" t="inlineStr">
        <is>
          <t>The dialog closes and a green toast 'Project registered' says 'It starts in draft. Attach a notice and an approval, then send it to the DPO.'</t>
        </is>
      </c>
      <c r="F280" s="16" t="n"/>
      <c r="G280" s="16" t="n"/>
    </row>
    <row r="281">
      <c r="A281" s="10" t="inlineStr">
        <is>
          <t>PRJ-01</t>
        </is>
      </c>
      <c r="B281" s="11" t="inlineStr">
        <is>
          <t>R&amp;D User registers a new project naming a third-party and an in-house collector</t>
        </is>
      </c>
      <c r="C281" s="11" t="n">
        <v>7</v>
      </c>
      <c r="D281" s="11" t="inlineStr">
        <is>
          <t>Look at the page that opens.</t>
        </is>
      </c>
      <c r="E281" s="11" t="inlineStr">
        <is>
          <t>The project's own page opens with the heading 'UAT Study 01', status badge 'In Draft', and the progress bar showing In Draft &gt; Pending Approval &gt; Approved.</t>
        </is>
      </c>
      <c r="F281" s="16" t="n"/>
      <c r="G281" s="16" t="n"/>
    </row>
    <row r="282">
      <c r="A282" s="10" t="inlineStr">
        <is>
          <t>PRJ-01</t>
        </is>
      </c>
      <c r="B282" s="11" t="inlineStr">
        <is>
          <t>R&amp;D User registers a new project naming a third-party and an in-house collector</t>
        </is>
      </c>
      <c r="C282" s="11" t="n">
        <v>8</v>
      </c>
      <c r="D282" s="11" t="inlineStr">
        <is>
          <t>Look at the 'Details' card on the right.</t>
        </is>
      </c>
      <c r="E282" s="11" t="inlineStr">
        <is>
          <t>Internal name 'UAT-01', Requesting team 'Computer Vision', Data Collection Owner 'Not assigned', Created by 'Kavya Rao'.</t>
        </is>
      </c>
      <c r="F282" s="16" t="n"/>
      <c r="G282" s="16" t="n"/>
    </row>
    <row r="283">
      <c r="A283" s="10" t="inlineStr">
        <is>
          <t>PRJ-01</t>
        </is>
      </c>
      <c r="B283" s="11" t="inlineStr">
        <is>
          <t>R&amp;D User registers a new project naming a third-party and an in-house collector</t>
        </is>
      </c>
      <c r="C283" s="11" t="n">
        <v>9</v>
      </c>
      <c r="D283" s="11" t="inlineStr">
        <is>
          <t>Look at the 'Who is collecting' card.</t>
        </is>
      </c>
      <c r="E283" s="11" t="inlineStr">
        <is>
          <t>SEED and SRIB are both listed with the chip 'approved'; SEED says 'collected by a third party' and SRIB says 'collected in-house'.</t>
        </is>
      </c>
      <c r="F283" s="16" t="n"/>
      <c r="G283" s="16" t="n"/>
    </row>
    <row r="284">
      <c r="A284" s="10" t="inlineStr">
        <is>
          <t>PRJ-01</t>
        </is>
      </c>
      <c r="B284" s="11" t="inlineStr">
        <is>
          <t>R&amp;D User registers a new project naming a third-party and an in-house collector</t>
        </is>
      </c>
      <c r="C284" s="11" t="n">
        <v>10</v>
      </c>
      <c r="D284" s="11" t="inlineStr">
        <is>
          <t>Click 'All projects' at the top of the page.</t>
        </is>
      </c>
      <c r="E284" s="11" t="inlineStr">
        <is>
          <t>The Projects list shows 'UAT Study 01' with status 'In Draft' and Created by 'Kavya Rao'.</t>
        </is>
      </c>
      <c r="F284" s="16" t="n"/>
      <c r="G284" s="16" t="n"/>
    </row>
    <row r="285">
      <c r="A285" s="10" t="inlineStr">
        <is>
          <t>PRJ-02</t>
        </is>
      </c>
      <c r="B285" s="11" t="inlineStr">
        <is>
          <t>Registering a project with missing required information is refused field by field</t>
        </is>
      </c>
      <c r="C285" s="11" t="n">
        <v>1</v>
      </c>
      <c r="D285" s="11" t="inlineStr">
        <is>
          <t>Click 'Projects' in the sidebar, then 'Register a project'.</t>
        </is>
      </c>
      <c r="E285" s="11" t="inlineStr">
        <is>
          <t>The 'Register a project' dialog opens.</t>
        </is>
      </c>
      <c r="F285" s="16" t="n"/>
      <c r="G285" s="16" t="n"/>
    </row>
    <row r="286">
      <c r="A286" s="10" t="inlineStr">
        <is>
          <t>PRJ-02</t>
        </is>
      </c>
      <c r="B286" s="11" t="inlineStr">
        <is>
          <t>Registering a project with missing required information is refused field by field</t>
        </is>
      </c>
      <c r="C286" s="11" t="n">
        <v>2</v>
      </c>
      <c r="D286" s="11" t="inlineStr">
        <is>
          <t>Leave every field empty and click 'Register project'.</t>
        </is>
      </c>
      <c r="E286" s="11" t="inlineStr">
        <is>
          <t>The dialog stays open. Under 'Project name' the message 'A project name is required' appears, and under 'Description' the message 'Describe what this project collects and why' appears.</t>
        </is>
      </c>
      <c r="F286" s="16" t="n"/>
      <c r="G286" s="16" t="n"/>
    </row>
    <row r="287">
      <c r="A287" s="10" t="inlineStr">
        <is>
          <t>PRJ-02</t>
        </is>
      </c>
      <c r="B287" s="11" t="inlineStr">
        <is>
          <t>Registering a project with missing required information is refused field by field</t>
        </is>
      </c>
      <c r="C287" s="11" t="n">
        <v>3</v>
      </c>
      <c r="D287" s="11" t="inlineStr">
        <is>
          <t>Type 'UAT Incomplete 01' in 'Project name' and click 'Register project' again.</t>
        </is>
      </c>
      <c r="E287" s="11" t="inlineStr">
        <is>
          <t>The dialog stays open; the name error is gone but 'Describe what this project collects and why' is still shown under 'Description'.</t>
        </is>
      </c>
      <c r="F287" s="16" t="n"/>
      <c r="G287" s="16" t="n"/>
    </row>
    <row r="288">
      <c r="A288" s="10" t="inlineStr">
        <is>
          <t>PRJ-02</t>
        </is>
      </c>
      <c r="B288" s="11" t="inlineStr">
        <is>
          <t>Registering a project with missing required information is refused field by field</t>
        </is>
      </c>
      <c r="C288" s="11" t="n">
        <v>4</v>
      </c>
      <c r="D288" s="11" t="inlineStr">
        <is>
          <t>Type 'Test only' in 'Description', tick no processor, and click 'Register project'.</t>
        </is>
      </c>
      <c r="E288" s="11" t="inlineStr">
        <is>
          <t>The dialog stays open and 'Choose at least one processor' appears under the 'Who will collect' list. No routing note is shown because nothing is ticked.</t>
        </is>
      </c>
      <c r="F288" s="16" t="n"/>
      <c r="G288" s="16" t="n"/>
    </row>
    <row r="289">
      <c r="A289" s="10" t="inlineStr">
        <is>
          <t>PRJ-02</t>
        </is>
      </c>
      <c r="B289" s="11" t="inlineStr">
        <is>
          <t>Registering a project with missing required information is refused field by field</t>
        </is>
      </c>
      <c r="C289" s="11" t="n">
        <v>5</v>
      </c>
      <c r="D289" s="11" t="inlineStr">
        <is>
          <t>Click 'Cancel'.</t>
        </is>
      </c>
      <c r="E289" s="11" t="inlineStr">
        <is>
          <t>The dialog closes. 'UAT Incomplete 01' does NOT appear in the Projects list.</t>
        </is>
      </c>
      <c r="F289" s="16" t="n"/>
      <c r="G289" s="16" t="n"/>
    </row>
    <row r="290">
      <c r="A290" s="10" t="inlineStr">
        <is>
          <t>PRJ-03</t>
        </is>
      </c>
      <c r="B290" s="11" t="inlineStr">
        <is>
          <t>Submitting a fresh draft is blocked and the panel names every missing prerequisite</t>
        </is>
      </c>
      <c r="C290" s="11" t="n">
        <v>1</v>
      </c>
      <c r="D290" s="11" t="inlineStr">
        <is>
          <t>Click 'Projects' in the sidebar, type 'UAT Study 01' in 'Search' (the list updates as you type). Click 'UAT Study 01'.</t>
        </is>
      </c>
      <c r="E290" s="11" t="inlineStr">
        <is>
          <t>The project page opens with status 'In Draft'.</t>
        </is>
      </c>
      <c r="F290" s="16" t="n"/>
      <c r="G290" s="16" t="n"/>
    </row>
    <row r="291">
      <c r="A291" s="10" t="inlineStr">
        <is>
          <t>PRJ-03</t>
        </is>
      </c>
      <c r="B291" s="11" t="inlineStr">
        <is>
          <t>Submitting a fresh draft is blocked and the panel names every missing prerequisite</t>
        </is>
      </c>
      <c r="C291" s="11" t="n">
        <v>2</v>
      </c>
      <c r="D291" s="11" t="inlineStr">
        <is>
          <t>Find the card titled 'What happens next'.</t>
        </is>
      </c>
      <c r="E291" s="11" t="inlineStr">
        <is>
          <t>It reads 'Currently In Draft. These are the moves your role can make from here.' and shows one row 'Moves the project to Pending Approval' with a 'Submit for approval' button.</t>
        </is>
      </c>
      <c r="F291" s="16" t="n"/>
      <c r="G291" s="16" t="n"/>
    </row>
    <row r="292">
      <c r="A292" s="10" t="inlineStr">
        <is>
          <t>PRJ-03</t>
        </is>
      </c>
      <c r="B292" s="11" t="inlineStr">
        <is>
          <t>Submitting a fresh draft is blocked and the panel names every missing prerequisite</t>
        </is>
      </c>
      <c r="C292" s="11" t="n">
        <v>3</v>
      </c>
      <c r="D292" s="11" t="inlineStr">
        <is>
          <t>Read the warning lines under 'Moves the project to Pending Approval'.</t>
        </is>
      </c>
      <c r="E292" s="11" t="inlineStr">
        <is>
          <t>All six missing items are listed at once, each with a warning icon: 'The project has no notice'; 'The notice has no purposes attached'; 'The notice is missing required Rule 3 elements'; 'The notice does not say who it applies to'; 'The notice has no text yet - add at least one language'; 'No approval with a proof file'.</t>
        </is>
      </c>
      <c r="F292" s="16" t="n"/>
      <c r="G292" s="16" t="n"/>
    </row>
    <row r="293">
      <c r="A293" s="10" t="inlineStr">
        <is>
          <t>PRJ-03</t>
        </is>
      </c>
      <c r="B293" s="11" t="inlineStr">
        <is>
          <t>Submitting a fresh draft is blocked and the panel names every missing prerequisite</t>
        </is>
      </c>
      <c r="C293" s="11" t="n">
        <v>4</v>
      </c>
      <c r="D293" s="11" t="inlineStr">
        <is>
          <t>Try to click the 'Submit for approval' button on that row.</t>
        </is>
      </c>
      <c r="E293" s="11" t="inlineStr">
        <is>
          <t>The button is greyed out (disabled); nothing happens and the status stays 'In Draft'.</t>
        </is>
      </c>
      <c r="F293" s="16" t="n"/>
      <c r="G293" s="16" t="n"/>
    </row>
    <row r="294">
      <c r="A294" s="10" t="inlineStr">
        <is>
          <t>PRJ-03</t>
        </is>
      </c>
      <c r="B294" s="11" t="inlineStr">
        <is>
          <t>Submitting a fresh draft is blocked and the panel names every missing prerequisite</t>
        </is>
      </c>
      <c r="C294" s="11" t="n">
        <v>5</v>
      </c>
      <c r="D294" s="11" t="inlineStr">
        <is>
          <t>Look at the 'Notices' card.</t>
        </is>
      </c>
      <c r="E294" s="11" t="inlineStr">
        <is>
          <t>It shows 'No notice yet' with the buttons 'Upload a notice document' and 'Copy an existing notice'.</t>
        </is>
      </c>
      <c r="F294" s="16" t="n"/>
      <c r="G294" s="16" t="n"/>
    </row>
    <row r="295">
      <c r="A295" s="10" t="inlineStr">
        <is>
          <t>PRJ-03</t>
        </is>
      </c>
      <c r="B295" s="11" t="inlineStr">
        <is>
          <t>Submitting a fresh draft is blocked and the panel names every missing prerequisite</t>
        </is>
      </c>
      <c r="C295" s="11" t="n">
        <v>6</v>
      </c>
      <c r="D295" s="11" t="inlineStr">
        <is>
          <t>Look at the 'Approvals' card.</t>
        </is>
      </c>
      <c r="E295" s="11" t="inlineStr">
        <is>
          <t>It shows count 0, 'No approval uploaded', the text 'A security approval with its proof file is what unlocks the move to pending approval.' and an 'Upload an approval' button.</t>
        </is>
      </c>
      <c r="F295" s="16" t="n"/>
      <c r="G295" s="16" t="n"/>
    </row>
    <row r="296">
      <c r="A296" s="10" t="inlineStr">
        <is>
          <t>PRJ-03</t>
        </is>
      </c>
      <c r="B296" s="11" t="inlineStr">
        <is>
          <t>Submitting a fresh draft is blocked and the panel names every missing prerequisite</t>
        </is>
      </c>
      <c r="C296" s="11" t="n">
        <v>7</v>
      </c>
      <c r="D296" s="11" t="inlineStr">
        <is>
          <t>Look at the buttons at the top of the page.</t>
        </is>
      </c>
      <c r="E296" s="11" t="inlineStr">
        <is>
          <t>'Edit', 'Upload a notice document', 'Copy an existing notice', 'Upload approval' and 'Add site' are shown. There is NO 'New notice' button.</t>
        </is>
      </c>
      <c r="F296" s="16" t="n"/>
      <c r="G296" s="16" t="n"/>
    </row>
    <row r="297">
      <c r="A297" s="10" t="inlineStr">
        <is>
          <t>PRJ-04</t>
        </is>
      </c>
      <c r="B297" s="11" t="inlineStr">
        <is>
          <t>Uploading the notice template with placeholders still in it is refused</t>
        </is>
      </c>
      <c r="C297" s="11" t="n">
        <v>1</v>
      </c>
      <c r="D297" s="11" t="inlineStr">
        <is>
          <t>Open project 'UAT Study 01' (Projects &gt; search &gt; click the name).</t>
        </is>
      </c>
      <c r="E297" s="11" t="inlineStr">
        <is>
          <t>The project page opens, status 'In Draft'.</t>
        </is>
      </c>
      <c r="F297" s="16" t="n"/>
      <c r="G297" s="16" t="n"/>
    </row>
    <row r="298">
      <c r="A298" s="10" t="inlineStr">
        <is>
          <t>PRJ-04</t>
        </is>
      </c>
      <c r="B298" s="11" t="inlineStr">
        <is>
          <t>Uploading the notice template with placeholders still in it is refused</t>
        </is>
      </c>
      <c r="C298" s="11" t="n">
        <v>2</v>
      </c>
      <c r="D298" s="11" t="inlineStr">
        <is>
          <t>In the 'Notices' card click 'Upload a notice document'.</t>
        </is>
      </c>
      <c r="E298" s="11" t="inlineStr">
        <is>
          <t>A dialog 'Upload a notice document' opens: 'The filled-in .docx template. Its purpose table becomes the notice's purposes, which the DPO then activates.' It shows 'Need the template? Download it', a 'Notice document' file chooser, a disabled 'Check the document' button and a disabled 'Create the notice' button.</t>
        </is>
      </c>
      <c r="F298" s="16" t="n"/>
      <c r="G298" s="16" t="n"/>
    </row>
    <row r="299">
      <c r="A299" s="10" t="inlineStr">
        <is>
          <t>PRJ-04</t>
        </is>
      </c>
      <c r="B299" s="11" t="inlineStr">
        <is>
          <t>Uploading the notice template with placeholders still in it is refused</t>
        </is>
      </c>
      <c r="C299" s="11" t="n">
        <v>3</v>
      </c>
      <c r="D299" s="11" t="inlineStr">
        <is>
          <t>Click 'Download it'.</t>
        </is>
      </c>
      <c r="E299" s="11" t="inlineStr">
        <is>
          <t>The browser saves the blank template file (DPDP_Consent_Notice_Template...docx).</t>
        </is>
      </c>
      <c r="F299" s="16" t="n"/>
      <c r="G299" s="16" t="n"/>
    </row>
    <row r="300">
      <c r="A300" s="10" t="inlineStr">
        <is>
          <t>PRJ-04</t>
        </is>
      </c>
      <c r="B300" s="11" t="inlineStr">
        <is>
          <t>Uploading the notice template with placeholders still in it is refused</t>
        </is>
      </c>
      <c r="C300" s="11" t="n">
        <v>4</v>
      </c>
      <c r="D300" s="11" t="inlineStr">
        <is>
          <t>Under 'Notice document' use the browser's file chooser ('Choose File') to pick the blank template you just downloaded.</t>
        </is>
      </c>
      <c r="E300" s="11" t="inlineStr">
        <is>
          <t>The file name and size appear under the chooser; 'Check the document' becomes clickable. 'Create the notice' stays disabled.</t>
        </is>
      </c>
      <c r="F300" s="16" t="n"/>
      <c r="G300" s="16" t="n"/>
    </row>
    <row r="301">
      <c r="A301" s="10" t="inlineStr">
        <is>
          <t>PRJ-04</t>
        </is>
      </c>
      <c r="B301" s="11" t="inlineStr">
        <is>
          <t>Uploading the notice template with placeholders still in it is refused</t>
        </is>
      </c>
      <c r="C301" s="11" t="n">
        <v>5</v>
      </c>
      <c r="D301" s="11" t="inlineStr">
        <is>
          <t>Click 'Check the document'.</t>
        </is>
      </c>
      <c r="E301" s="11" t="inlineStr">
        <is>
          <t>A red message appears starting with the number of placeholders, e.g. '... placeholder(s) are still unfilled: ...' and ending 'Fill the document in before uploading it - a notice served with a placeholder in it is one nobody read.' 'Create the notice' stays disabled.</t>
        </is>
      </c>
      <c r="F301" s="16" t="n"/>
      <c r="G301" s="16" t="n"/>
    </row>
    <row r="302">
      <c r="A302" s="10" t="inlineStr">
        <is>
          <t>PRJ-04</t>
        </is>
      </c>
      <c r="B302" s="11" t="inlineStr">
        <is>
          <t>Uploading the notice template with placeholders still in it is refused</t>
        </is>
      </c>
      <c r="C302" s="11" t="n">
        <v>6</v>
      </c>
      <c r="D302" s="11" t="inlineStr">
        <is>
          <t>(Optional) Pick a PDF file instead and click 'Check the document'.</t>
        </is>
      </c>
      <c r="E302" s="11" t="inlineStr">
        <is>
          <t>The chooser only offers .docx; if a PDF is forced through, the message 'This is not a readable Word document. Upload the .docx template, not a PDF or a scan of one.' appears.</t>
        </is>
      </c>
      <c r="F302" s="16" t="n"/>
      <c r="G302" s="16" t="n"/>
    </row>
    <row r="303">
      <c r="A303" s="10" t="inlineStr">
        <is>
          <t>PRJ-04</t>
        </is>
      </c>
      <c r="B303" s="11" t="inlineStr">
        <is>
          <t>Uploading the notice template with placeholders still in it is refused</t>
        </is>
      </c>
      <c r="C303" s="11" t="n">
        <v>7</v>
      </c>
      <c r="D303" s="11" t="inlineStr">
        <is>
          <t>Click 'Cancel'.</t>
        </is>
      </c>
      <c r="E303" s="11" t="inlineStr">
        <is>
          <t>The dialog closes; the 'Notices' card still says 'No notice yet'.</t>
        </is>
      </c>
      <c r="F303" s="16" t="n"/>
      <c r="G303" s="16" t="n"/>
    </row>
    <row r="304">
      <c r="A304" s="10" t="inlineStr">
        <is>
          <t>PRJ-05</t>
        </is>
      </c>
      <c r="B304" s="11" t="inlineStr">
        <is>
          <t>R&amp;D User brings the notice by uploading the filled DPDP notice template</t>
        </is>
      </c>
      <c r="C304" s="11" t="n">
        <v>1</v>
      </c>
      <c r="D304" s="11" t="inlineStr">
        <is>
          <t>Open project 'UAT Study 01' and in the 'Notices' card click 'Upload a notice document'.</t>
        </is>
      </c>
      <c r="E304" s="11" t="inlineStr">
        <is>
          <t>The 'Upload a notice document' dialog opens with 'Check the document' and 'Create the notice' disabled.</t>
        </is>
      </c>
      <c r="F304" s="16" t="n"/>
      <c r="G304" s="16" t="n"/>
    </row>
    <row r="305">
      <c r="A305" s="10" t="inlineStr">
        <is>
          <t>PRJ-05</t>
        </is>
      </c>
      <c r="B305" s="11" t="inlineStr">
        <is>
          <t>R&amp;D User brings the notice by uploading the filled DPDP notice template</t>
        </is>
      </c>
      <c r="C305" s="11" t="n">
        <v>2</v>
      </c>
      <c r="D305" s="11" t="inlineStr">
        <is>
          <t>Under 'Notice document' choose the filled .docx.</t>
        </is>
      </c>
      <c r="E305" s="11" t="inlineStr">
        <is>
          <t>The file name and size are shown; 'Check the document' becomes clickable.</t>
        </is>
      </c>
      <c r="F305" s="16" t="n"/>
      <c r="G305" s="16" t="n"/>
    </row>
    <row r="306">
      <c r="A306" s="10" t="inlineStr">
        <is>
          <t>PRJ-05</t>
        </is>
      </c>
      <c r="B306" s="11" t="inlineStr">
        <is>
          <t>R&amp;D User brings the notice by uploading the filled DPDP notice template</t>
        </is>
      </c>
      <c r="C306" s="11" t="n">
        <v>3</v>
      </c>
      <c r="D306" s="11" t="inlineStr">
        <is>
          <t>Click 'Check the document'.</t>
        </is>
      </c>
      <c r="E306" s="11" t="inlineStr">
        <is>
          <t>A green box reads 'Read 9 purposes and 7 data categories, in english. Nothing has been written yet.' (numbers match your file). A 'Purposes' table lists each row with the columns In document, Name, Data categories, Retention, Consent (badges 'Required' or 'Declinable').</t>
        </is>
      </c>
      <c r="F306" s="16" t="n"/>
      <c r="G306" s="16" t="n"/>
    </row>
    <row r="307">
      <c r="A307" s="10" t="inlineStr">
        <is>
          <t>PRJ-05</t>
        </is>
      </c>
      <c r="B307" s="11" t="inlineStr">
        <is>
          <t>R&amp;D User brings the notice by uploading the filled DPDP notice template</t>
        </is>
      </c>
      <c r="C307" s="11" t="n">
        <v>4</v>
      </c>
      <c r="D307" s="11" t="inlineStr">
        <is>
          <t>Read any yellow warnings under the green box.</t>
        </is>
      </c>
      <c r="E307" s="11" t="inlineStr">
        <is>
          <t>If the document names a different project (the example file names 'Gait Identification Study 2026') a warning says 'The document names the project ... but this project is 'UAT Study 01'. Check you are uploading to the right one.' This is expected with the example file.</t>
        </is>
      </c>
      <c r="F307" s="16" t="n"/>
      <c r="G307" s="16" t="n"/>
    </row>
    <row r="308">
      <c r="A308" s="10" t="inlineStr">
        <is>
          <t>PRJ-05</t>
        </is>
      </c>
      <c r="B308" s="11" t="inlineStr">
        <is>
          <t>R&amp;D User brings the notice by uploading the filled DPDP notice template</t>
        </is>
      </c>
      <c r="C308" s="11" t="n">
        <v>5</v>
      </c>
      <c r="D308" s="11" t="inlineStr">
        <is>
          <t>Click 'The text a data subject will read (... characters)' to expand it.</t>
        </is>
      </c>
      <c r="E308" s="11" t="inlineStr">
        <is>
          <t>An excerpt of the notice wording is shown.</t>
        </is>
      </c>
      <c r="F308" s="16" t="n"/>
      <c r="G308" s="16" t="n"/>
    </row>
    <row r="309">
      <c r="A309" s="10" t="inlineStr">
        <is>
          <t>PRJ-05</t>
        </is>
      </c>
      <c r="B309" s="11" t="inlineStr">
        <is>
          <t>R&amp;D User brings the notice by uploading the filled DPDP notice template</t>
        </is>
      </c>
      <c r="C309" s="11" t="n">
        <v>6</v>
      </c>
      <c r="D309" s="11" t="inlineStr">
        <is>
          <t>Click 'Create the notice'.</t>
        </is>
      </c>
      <c r="E309" s="11" t="inlineStr">
        <is>
          <t>The dialog closes and a green toast 'Notice created' says 'NTC-UAT-STUDY-01-2026 carries 9 purposes. The DPO activates them before it can be published.'</t>
        </is>
      </c>
      <c r="F309" s="16" t="n"/>
      <c r="G309" s="16" t="n"/>
    </row>
    <row r="310">
      <c r="A310" s="10" t="inlineStr">
        <is>
          <t>PRJ-05</t>
        </is>
      </c>
      <c r="B310" s="11" t="inlineStr">
        <is>
          <t>R&amp;D User brings the notice by uploading the filled DPDP notice template</t>
        </is>
      </c>
      <c r="C310" s="11" t="n">
        <v>7</v>
      </c>
      <c r="D310" s="11" t="inlineStr">
        <is>
          <t>Look at the 'Notices' card.</t>
        </is>
      </c>
      <c r="E310" s="11" t="inlineStr">
        <is>
          <t>It lists 'NTC-UAT-STUDY-01-2026 v1' with '9 purposes · 1 language(s)' and the status badge 'Draft'.</t>
        </is>
      </c>
      <c r="F310" s="16" t="n"/>
      <c r="G310" s="16" t="n"/>
    </row>
    <row r="311">
      <c r="A311" s="10" t="inlineStr">
        <is>
          <t>PRJ-05</t>
        </is>
      </c>
      <c r="B311" s="11" t="inlineStr">
        <is>
          <t>R&amp;D User brings the notice by uploading the filled DPDP notice template</t>
        </is>
      </c>
      <c r="C311" s="11" t="n">
        <v>8</v>
      </c>
      <c r="D311" s="11" t="inlineStr">
        <is>
          <t>Look at the 'What happens next' card.</t>
        </is>
      </c>
      <c r="E311" s="11" t="inlineStr">
        <is>
          <t>Under 'Moves the project to Pending Approval' only one line remains: 'No approval with a proof file'. The 'Submit for approval' button is still disabled.</t>
        </is>
      </c>
      <c r="F311" s="16" t="n"/>
      <c r="G311" s="16" t="n"/>
    </row>
    <row r="312">
      <c r="A312" s="10" t="inlineStr">
        <is>
          <t>PRJ-05</t>
        </is>
      </c>
      <c r="B312" s="11" t="inlineStr">
        <is>
          <t>R&amp;D User brings the notice by uploading the filled DPDP notice template</t>
        </is>
      </c>
      <c r="C312" s="11" t="n">
        <v>9</v>
      </c>
      <c r="D312" s="11" t="inlineStr">
        <is>
          <t>Click 'NTC-UAT-STUDY-01-2026 v1' in the Notices card.</t>
        </is>
      </c>
      <c r="E312" s="11" t="inlineStr">
        <is>
          <t>The notice page opens titled 'NTC-UAT-STUDY-01-2026 · version 1' with 'Draft. Nothing here has been shown to a data subject yet.' The 'Purposes' card lists 9 purposes, each with the status 'Draft'.</t>
        </is>
      </c>
      <c r="F312" s="16" t="n"/>
      <c r="G312" s="16" t="n"/>
    </row>
    <row r="313">
      <c r="A313" s="10" t="inlineStr">
        <is>
          <t>PRJ-06</t>
        </is>
      </c>
      <c r="B313" s="11" t="inlineStr">
        <is>
          <t>R&amp;D User starts a second project's notice from an approved notice</t>
        </is>
      </c>
      <c r="C313" s="11" t="n">
        <v>1</v>
      </c>
      <c r="D313" s="11" t="inlineStr">
        <is>
          <t>Click 'Projects' &gt; 'Register a project'. Enter the name and description from the test data, tick 'SEED' and click 'Register project'.</t>
        </is>
      </c>
      <c r="E313" s="11" t="inlineStr">
        <is>
          <t>Toast 'Project registered'; the 'UAT Study 02' page opens with status 'In Draft'.</t>
        </is>
      </c>
      <c r="F313" s="16" t="n"/>
      <c r="G313" s="16" t="n"/>
    </row>
    <row r="314">
      <c r="A314" s="10" t="inlineStr">
        <is>
          <t>PRJ-06</t>
        </is>
      </c>
      <c r="B314" s="11" t="inlineStr">
        <is>
          <t>R&amp;D User starts a second project's notice from an approved notice</t>
        </is>
      </c>
      <c r="C314" s="11" t="n">
        <v>2</v>
      </c>
      <c r="D314" s="11" t="inlineStr">
        <is>
          <t>In the 'Notices' card click 'Copy an existing notice'.</t>
        </is>
      </c>
      <c r="E314" s="11" t="inlineStr">
        <is>
          <t>A dialog 'Copy an existing notice' opens: 'Copies the wording, the purposes and every language rendition into this project as a fresh draft.' with a 'Notice to copy' list and a disabled 'Copy into this project' button.</t>
        </is>
      </c>
      <c r="F314" s="16" t="n"/>
      <c r="G314" s="16" t="n"/>
    </row>
    <row r="315">
      <c r="A315" s="10" t="inlineStr">
        <is>
          <t>PRJ-06</t>
        </is>
      </c>
      <c r="B315" s="11" t="inlineStr">
        <is>
          <t>R&amp;D User starts a second project's notice from an approved notice</t>
        </is>
      </c>
      <c r="C315" s="11" t="n">
        <v>3</v>
      </c>
      <c r="D315" s="11" t="inlineStr">
        <is>
          <t>Open 'Notice to copy'.</t>
        </is>
      </c>
      <c r="E315" s="11" t="inlineStr">
        <is>
          <t>Every approved or published notice on the platform is offered, from any project and whoever wrote it - for example 'NTC-GAIT-2026 v1 — Gait Identification Study 2026'. Notices marked '(approved, not yet published)' come first. No draft notice is offered.</t>
        </is>
      </c>
      <c r="F315" s="16" t="n"/>
      <c r="G315" s="16" t="n"/>
    </row>
    <row r="316">
      <c r="A316" s="10" t="inlineStr">
        <is>
          <t>PRJ-06</t>
        </is>
      </c>
      <c r="B316" s="11" t="inlineStr">
        <is>
          <t>R&amp;D User starts a second project's notice from an approved notice</t>
        </is>
      </c>
      <c r="C316" s="11" t="n">
        <v>4</v>
      </c>
      <c r="D316" s="11" t="inlineStr">
        <is>
          <t>Choose 'NTC-GAIT-2026 v1 — Gait Identification Study 2026'.</t>
        </is>
      </c>
      <c r="E316" s="11" t="inlineStr">
        <is>
          <t>A yellow box 'What comes across, and what does not' explains the legal approvals are not copied and each rendition must be re-approved. 'Copy into this project' becomes clickable.</t>
        </is>
      </c>
      <c r="F316" s="16" t="n"/>
      <c r="G316" s="16" t="n"/>
    </row>
    <row r="317">
      <c r="A317" s="10" t="inlineStr">
        <is>
          <t>PRJ-06</t>
        </is>
      </c>
      <c r="B317" s="11" t="inlineStr">
        <is>
          <t>R&amp;D User starts a second project's notice from an approved notice</t>
        </is>
      </c>
      <c r="C317" s="11" t="n">
        <v>5</v>
      </c>
      <c r="D317" s="11" t="inlineStr">
        <is>
          <t>Click 'Copy into this project'.</t>
        </is>
      </c>
      <c r="E317" s="11" t="inlineStr">
        <is>
          <t>The dialog closes; a toast 'Copied into NTC-UAT-STUDY-02-2026' says 'It is a fresh draft. Review the wording, then approve and publish it.'</t>
        </is>
      </c>
      <c r="F317" s="16" t="n"/>
      <c r="G317" s="16" t="n"/>
    </row>
    <row r="318">
      <c r="A318" s="10" t="inlineStr">
        <is>
          <t>PRJ-06</t>
        </is>
      </c>
      <c r="B318" s="11" t="inlineStr">
        <is>
          <t>R&amp;D User starts a second project's notice from an approved notice</t>
        </is>
      </c>
      <c r="C318" s="11" t="n">
        <v>6</v>
      </c>
      <c r="D318" s="11" t="inlineStr">
        <is>
          <t>Click the new notice in the 'Notices' card.</t>
        </is>
      </c>
      <c r="E318" s="11" t="inlineStr">
        <is>
          <t>The notice page 'NTC-UAT-STUDY-02-2026 · version 1' opens with status 'Draft'. The 'Purposes' card shows the purposes copied from the Gait notice.</t>
        </is>
      </c>
      <c r="F318" s="16" t="n"/>
      <c r="G318" s="16" t="n"/>
    </row>
    <row r="319">
      <c r="A319" s="10" t="inlineStr">
        <is>
          <t>PRJ-06</t>
        </is>
      </c>
      <c r="B319" s="11" t="inlineStr">
        <is>
          <t>R&amp;D User starts a second project's notice from an approved notice</t>
        </is>
      </c>
      <c r="C319" s="11" t="n">
        <v>7</v>
      </c>
      <c r="D319" s="11" t="inlineStr">
        <is>
          <t>Look at the 'Legal approval, per language' card.</t>
        </is>
      </c>
      <c r="E319" s="11" t="inlineStr">
        <is>
          <t>Each copied language shows 'Not legally approved' (approvals did not carry over).</t>
        </is>
      </c>
      <c r="F319" s="16" t="n"/>
      <c r="G319" s="16" t="n"/>
    </row>
    <row r="320">
      <c r="A320" s="10" t="inlineStr">
        <is>
          <t>PRJ-07</t>
        </is>
      </c>
      <c r="B320" s="11" t="inlineStr">
        <is>
          <t>R&amp;D User cannot compose or approve notice wording, purposes or renditions</t>
        </is>
      </c>
      <c r="C320" s="11" t="n">
        <v>1</v>
      </c>
      <c r="D320" s="11" t="inlineStr">
        <is>
          <t>Open project 'UAT Study 01' and look at the buttons at the top of the page.</t>
        </is>
      </c>
      <c r="E320" s="11" t="inlineStr">
        <is>
          <t>'Upload a notice document' and 'Copy an existing notice' are shown; there is NO 'New notice' button.</t>
        </is>
      </c>
      <c r="F320" s="16" t="n"/>
      <c r="G320" s="16" t="n"/>
    </row>
    <row r="321">
      <c r="A321" s="10" t="inlineStr">
        <is>
          <t>PRJ-07</t>
        </is>
      </c>
      <c r="B321" s="11" t="inlineStr">
        <is>
          <t>R&amp;D User cannot compose or approve notice wording, purposes or renditions</t>
        </is>
      </c>
      <c r="C321" s="11" t="n">
        <v>2</v>
      </c>
      <c r="D321" s="11" t="inlineStr">
        <is>
          <t>Click 'NTC-UAT-STUDY-01-2026 v1' in the 'Notices' card.</t>
        </is>
      </c>
      <c r="E321" s="11" t="inlineStr">
        <is>
          <t>The notice page opens. The header shows the 'Draft' badge but NO 'Edit' button.</t>
        </is>
      </c>
      <c r="F321" s="16" t="n"/>
      <c r="G321" s="16" t="n"/>
    </row>
    <row r="322">
      <c r="A322" s="10" t="inlineStr">
        <is>
          <t>PRJ-07</t>
        </is>
      </c>
      <c r="B322" s="11" t="inlineStr">
        <is>
          <t>R&amp;D User cannot compose or approve notice wording, purposes or renditions</t>
        </is>
      </c>
      <c r="C322" s="11" t="n">
        <v>3</v>
      </c>
      <c r="D322" s="11" t="inlineStr">
        <is>
          <t>Look at the 'Publication checklist' card.</t>
        </is>
      </c>
      <c r="E322" s="11" t="inlineStr">
        <is>
          <t>It is visible to the R&amp;D User and reads '... item(s) blocking publication:' followed by lines such as 'the purpose ... is draft, not activated' and 'the english text is not legally approved', each with a 'fix this' link. There is NO 'Publish this notice' button.</t>
        </is>
      </c>
      <c r="F322" s="16" t="n"/>
      <c r="G322" s="16" t="n"/>
    </row>
    <row r="323">
      <c r="A323" s="10" t="inlineStr">
        <is>
          <t>PRJ-07</t>
        </is>
      </c>
      <c r="B323" s="11" t="inlineStr">
        <is>
          <t>R&amp;D User cannot compose or approve notice wording, purposes or renditions</t>
        </is>
      </c>
      <c r="C323" s="11" t="n">
        <v>4</v>
      </c>
      <c r="D323" s="11" t="inlineStr">
        <is>
          <t>Look at the 'Notice text' card.</t>
        </is>
      </c>
      <c r="E323" s="11" t="inlineStr">
        <is>
          <t>The English wording is displayed read-only with 'Not legally approved — the project cannot be approved until it is'. There is NO 'Edit English text' button.</t>
        </is>
      </c>
      <c r="F323" s="16" t="n"/>
      <c r="G323" s="16" t="n"/>
    </row>
    <row r="324">
      <c r="A324" s="10" t="inlineStr">
        <is>
          <t>PRJ-07</t>
        </is>
      </c>
      <c r="B324" s="11" t="inlineStr">
        <is>
          <t>R&amp;D User cannot compose or approve notice wording, purposes or renditions</t>
        </is>
      </c>
      <c r="C324" s="11" t="n">
        <v>5</v>
      </c>
      <c r="D324" s="11" t="inlineStr">
        <is>
          <t>Look at the 'Purposes' card.</t>
        </is>
      </c>
      <c r="E324" s="11" t="inlineStr">
        <is>
          <t>Each purpose shows the 'Draft' status. There is NO 'Manage', NO 'Activate' and NO 'Customise for this notice' button.</t>
        </is>
      </c>
      <c r="F324" s="16" t="n"/>
      <c r="G324" s="16" t="n"/>
    </row>
    <row r="325">
      <c r="A325" s="10" t="inlineStr">
        <is>
          <t>PRJ-07</t>
        </is>
      </c>
      <c r="B325" s="11" t="inlineStr">
        <is>
          <t>R&amp;D User cannot compose or approve notice wording, purposes or renditions</t>
        </is>
      </c>
      <c r="C325" s="11" t="n">
        <v>6</v>
      </c>
      <c r="D325" s="11" t="inlineStr">
        <is>
          <t>Look at the 'Legal approval, per language' card.</t>
        </is>
      </c>
      <c r="E325" s="11" t="inlineStr">
        <is>
          <t>The english row shows 'Not legally approved'. There is NO 'Add language', NO 'Edit' and NO 'Approve' button.</t>
        </is>
      </c>
      <c r="F325" s="16" t="n"/>
      <c r="G325" s="16" t="n"/>
    </row>
    <row r="326">
      <c r="A326" s="10" t="inlineStr">
        <is>
          <t>PRJ-08</t>
        </is>
      </c>
      <c r="B326" s="11" t="inlineStr">
        <is>
          <t>R&amp;D User uploads the security approval and submits the project for DPO review</t>
        </is>
      </c>
      <c r="C326" s="11" t="n">
        <v>1</v>
      </c>
      <c r="D326" s="11" t="inlineStr">
        <is>
          <t>Open project 'UAT Study 01' and click 'Upload approval' at the top of the page.</t>
        </is>
      </c>
      <c r="E326" s="11" t="inlineStr">
        <is>
          <t>A dialog 'Upload an approval' opens: 'The proof file is mandatory - an approval without one does not unlock the transition.' Fields: 'Type' (preset to Security), 'Reference number', 'Approved on', 'Proof document'.</t>
        </is>
      </c>
      <c r="F326" s="16" t="n"/>
      <c r="G326" s="16" t="n"/>
    </row>
    <row r="327">
      <c r="A327" s="10" t="inlineStr">
        <is>
          <t>PRJ-08</t>
        </is>
      </c>
      <c r="B327" s="11" t="inlineStr">
        <is>
          <t>R&amp;D User uploads the security approval and submits the project for DPO review</t>
        </is>
      </c>
      <c r="C327" s="11" t="n">
        <v>2</v>
      </c>
      <c r="D327" s="11" t="inlineStr">
        <is>
          <t>Leave 'Reference number' and 'Proof document' empty, set 'Approved on' to a future date, and click 'Upload approval'.</t>
        </is>
      </c>
      <c r="E327" s="11" t="inlineStr">
        <is>
          <t>The dialog stays open with field errors: 'A reference number is required', 'The approval date cannot be in the future' and 'Choose an approval document'.</t>
        </is>
      </c>
      <c r="F327" s="16" t="n"/>
      <c r="G327" s="16" t="n"/>
    </row>
    <row r="328">
      <c r="A328" s="10" t="inlineStr">
        <is>
          <t>PRJ-08</t>
        </is>
      </c>
      <c r="B328" s="11" t="inlineStr">
        <is>
          <t>R&amp;D User uploads the security approval and submits the project for DPO review</t>
        </is>
      </c>
      <c r="C328" s="11" t="n">
        <v>3</v>
      </c>
      <c r="D328" s="11" t="inlineStr">
        <is>
          <t>Enter 'SEC-UAT-0001', set 'Approved on' to today, choose the proof file and click 'Upload approval'.</t>
        </is>
      </c>
      <c r="E328" s="11" t="inlineStr">
        <is>
          <t>The dialog closes; toast 'Approval uploaded' says 'The project can now move to pending approval.'</t>
        </is>
      </c>
      <c r="F328" s="16" t="n"/>
      <c r="G328" s="16" t="n"/>
    </row>
    <row r="329">
      <c r="A329" s="10" t="inlineStr">
        <is>
          <t>PRJ-08</t>
        </is>
      </c>
      <c r="B329" s="11" t="inlineStr">
        <is>
          <t>R&amp;D User uploads the security approval and submits the project for DPO review</t>
        </is>
      </c>
      <c r="C329" s="11" t="n">
        <v>4</v>
      </c>
      <c r="D329" s="11" t="inlineStr">
        <is>
          <t>Look at the 'Approvals' card.</t>
        </is>
      </c>
      <c r="E329" s="11" t="inlineStr">
        <is>
          <t>Count 1; the row reads 'Security SEC-UAT-0001', 'Approved &lt;today&gt; · uploaded ... by Kavya Rao', a short hash, and a 'Proof' button.</t>
        </is>
      </c>
      <c r="F329" s="16" t="n"/>
      <c r="G329" s="16" t="n"/>
    </row>
    <row r="330">
      <c r="A330" s="10" t="inlineStr">
        <is>
          <t>PRJ-08</t>
        </is>
      </c>
      <c r="B330" s="11" t="inlineStr">
        <is>
          <t>R&amp;D User uploads the security approval and submits the project for DPO review</t>
        </is>
      </c>
      <c r="C330" s="11" t="n">
        <v>5</v>
      </c>
      <c r="D330" s="11" t="inlineStr">
        <is>
          <t>Click 'Proof'.</t>
        </is>
      </c>
      <c r="E330" s="11" t="inlineStr">
        <is>
          <t>The file downloads and a toast 'Proof downloaded' says 'Hash matches the record.'</t>
        </is>
      </c>
      <c r="F330" s="16" t="n"/>
      <c r="G330" s="16" t="n"/>
    </row>
    <row r="331">
      <c r="A331" s="10" t="inlineStr">
        <is>
          <t>PRJ-08</t>
        </is>
      </c>
      <c r="B331" s="11" t="inlineStr">
        <is>
          <t>R&amp;D User uploads the security approval and submits the project for DPO review</t>
        </is>
      </c>
      <c r="C331" s="11" t="n">
        <v>6</v>
      </c>
      <c r="D331" s="11" t="inlineStr">
        <is>
          <t>Look at 'What happens next'.</t>
        </is>
      </c>
      <c r="E331" s="11" t="inlineStr">
        <is>
          <t>'Moves the project to Pending Approval' has no warning lines and the 'Submit for approval' button is active (highlighted).</t>
        </is>
      </c>
      <c r="F331" s="16" t="n"/>
      <c r="G331" s="16" t="n"/>
    </row>
    <row r="332">
      <c r="A332" s="10" t="inlineStr">
        <is>
          <t>PRJ-08</t>
        </is>
      </c>
      <c r="B332" s="11" t="inlineStr">
        <is>
          <t>R&amp;D User uploads the security approval and submits the project for DPO review</t>
        </is>
      </c>
      <c r="C332" s="11" t="n">
        <v>7</v>
      </c>
      <c r="D332" s="11" t="inlineStr">
        <is>
          <t>Scroll to the bottom of the page.</t>
        </is>
      </c>
      <c r="E332" s="11" t="inlineStr">
        <is>
          <t>A 'Next steps' card repeats 'Moves the project to Pending Approval' with the same active 'Submit for approval' button, and under 'Other actions' the buttons from the top of the page (for example 'Upload approval') with the status badge. Nothing at the top of the page has gone.</t>
        </is>
      </c>
      <c r="F332" s="16" t="n"/>
      <c r="G332" s="16" t="n"/>
    </row>
    <row r="333">
      <c r="A333" s="10" t="inlineStr">
        <is>
          <t>PRJ-08</t>
        </is>
      </c>
      <c r="B333" s="11" t="inlineStr">
        <is>
          <t>R&amp;D User uploads the security approval and submits the project for DPO review</t>
        </is>
      </c>
      <c r="C333" s="11" t="n">
        <v>8</v>
      </c>
      <c r="D333" s="11" t="inlineStr">
        <is>
          <t>Click 'Submit for approval' (at the top or in 'Next steps' - either one).</t>
        </is>
      </c>
      <c r="E333" s="11" t="inlineStr">
        <is>
          <t>Toast 'Moved to Pending Approval'. The status badge changes to 'Pending Approval' and the progress bar moves to its second step.</t>
        </is>
      </c>
      <c r="F333" s="16" t="n"/>
      <c r="G333" s="16" t="n"/>
    </row>
    <row r="334">
      <c r="A334" s="10" t="inlineStr">
        <is>
          <t>PRJ-08</t>
        </is>
      </c>
      <c r="B334" s="11" t="inlineStr">
        <is>
          <t>R&amp;D User uploads the security approval and submits the project for DPO review</t>
        </is>
      </c>
      <c r="C334" s="11" t="n">
        <v>9</v>
      </c>
      <c r="D334" s="11" t="inlineStr">
        <is>
          <t>Look at 'What happens next' again, and at the 'History' card.</t>
        </is>
      </c>
      <c r="E334" s="11" t="inlineStr">
        <is>
          <t>'What happens next' reads 'There is nothing for your role to do at this stage.' History shows 'In Draft → Pending Approval' by 'Kavya Rao (Rnd user)' with the time. The 'Edit' button is no longer shown in the page header.</t>
        </is>
      </c>
      <c r="F334" s="16" t="n"/>
      <c r="G334" s="16" t="n"/>
    </row>
    <row r="335">
      <c r="A335" s="10" t="inlineStr">
        <is>
          <t>PRJ-09</t>
        </is>
      </c>
      <c r="B335" s="11" t="inlineStr">
        <is>
          <t>DPO review: approval is blocked until the DPO's own notice decisions are made; sending back needs a reason</t>
        </is>
      </c>
      <c r="C335" s="11" t="n">
        <v>1</v>
      </c>
      <c r="D335" s="11" t="inlineStr">
        <is>
          <t>On the 'Dashboard' look at 'Needs attention'.</t>
        </is>
      </c>
      <c r="E335" s="11" t="inlineStr">
        <is>
          <t>A row 'Projects pending approval' shows a count of 1 or more.</t>
        </is>
      </c>
      <c r="F335" s="16" t="n"/>
      <c r="G335" s="16" t="n"/>
    </row>
    <row r="336">
      <c r="A336" s="10" t="inlineStr">
        <is>
          <t>PRJ-09</t>
        </is>
      </c>
      <c r="B336" s="11" t="inlineStr">
        <is>
          <t>DPO review: approval is blocked until the DPO's own notice decisions are made; sending back needs a reason</t>
        </is>
      </c>
      <c r="C336" s="11" t="n">
        <v>2</v>
      </c>
      <c r="D336" s="11" t="inlineStr">
        <is>
          <t>Click 'Projects' in the sidebar, set 'Status' to 'Pending Approval', and click 'UAT Study 01'.</t>
        </is>
      </c>
      <c r="E336" s="11" t="inlineStr">
        <is>
          <t>The project page opens with status 'Pending Approval'.</t>
        </is>
      </c>
      <c r="F336" s="16" t="n"/>
      <c r="G336" s="16" t="n"/>
    </row>
    <row r="337">
      <c r="A337" s="10" t="inlineStr">
        <is>
          <t>PRJ-09</t>
        </is>
      </c>
      <c r="B337" s="11" t="inlineStr">
        <is>
          <t>DPO review: approval is blocked until the DPO's own notice decisions are made; sending back needs a reason</t>
        </is>
      </c>
      <c r="C337" s="11" t="n">
        <v>3</v>
      </c>
      <c r="D337" s="11" t="inlineStr">
        <is>
          <t>Look at the 'What happens next' card.</t>
        </is>
      </c>
      <c r="E337" s="11" t="inlineStr">
        <is>
          <t>It reads 'Currently Pending Approval.' and offers two rows: 'Moves the project to Approved' (with the tag 'publishes the notice' and an 'Approve project' button) and 'Moves the project to In Draft' (with a 'Return to draft' button).</t>
        </is>
      </c>
      <c r="F337" s="16" t="n"/>
      <c r="G337" s="16" t="n"/>
    </row>
    <row r="338">
      <c r="A338" s="10" t="inlineStr">
        <is>
          <t>PRJ-09</t>
        </is>
      </c>
      <c r="B338" s="11" t="inlineStr">
        <is>
          <t>DPO review: approval is blocked until the DPO's own notice decisions are made; sending back needs a reason</t>
        </is>
      </c>
      <c r="C338" s="11" t="n">
        <v>4</v>
      </c>
      <c r="D338" s="11" t="inlineStr">
        <is>
          <t>Read the warning lines under 'Moves the project to Approved'.</t>
        </is>
      </c>
      <c r="E338" s="11" t="inlineStr">
        <is>
          <t>Both DPO-side blockers are listed: 'The notice text is not legally approved - approve every language on the notice first' with a link 'Approve the notice', and 'The notice carries purposes that are not activated - activate them before approving' with a link 'Open the notice'. The 'Approve project' button is disabled.</t>
        </is>
      </c>
      <c r="F338" s="16" t="n"/>
      <c r="G338" s="16" t="n"/>
    </row>
    <row r="339">
      <c r="A339" s="10" t="inlineStr">
        <is>
          <t>PRJ-09</t>
        </is>
      </c>
      <c r="B339" s="11" t="inlineStr">
        <is>
          <t>DPO review: approval is blocked until the DPO's own notice decisions are made; sending back needs a reason</t>
        </is>
      </c>
      <c r="C339" s="11" t="n">
        <v>5</v>
      </c>
      <c r="D339" s="11" t="inlineStr">
        <is>
          <t>Under 'Moves the project to In Draft' note the hint, then click the 'Return to draft' button.</t>
        </is>
      </c>
      <c r="E339" s="11" t="inlineStr">
        <is>
          <t>The hint reads 'A reason is required and is recorded in the history.' A panel 'Return to draft' opens with a required 'Reason' box.</t>
        </is>
      </c>
      <c r="F339" s="16" t="n"/>
      <c r="G339" s="16" t="n"/>
    </row>
    <row r="340">
      <c r="A340" s="10" t="inlineStr">
        <is>
          <t>PRJ-09</t>
        </is>
      </c>
      <c r="B340" s="11" t="inlineStr">
        <is>
          <t>DPO review: approval is blocked until the DPO's own notice decisions are made; sending back needs a reason</t>
        </is>
      </c>
      <c r="C340" s="11" t="n">
        <v>6</v>
      </c>
      <c r="D340" s="11" t="inlineStr">
        <is>
          <t>Leave 'Reason' empty and click 'Return to draft' in the panel.</t>
        </is>
      </c>
      <c r="E340" s="11" t="inlineStr">
        <is>
          <t>The message 'A reason is required for this transition.' appears; the project stays 'Pending Approval'.</t>
        </is>
      </c>
      <c r="F340" s="16" t="n"/>
      <c r="G340" s="16" t="n"/>
    </row>
    <row r="341">
      <c r="A341" s="10" t="inlineStr">
        <is>
          <t>PRJ-09</t>
        </is>
      </c>
      <c r="B341" s="11" t="inlineStr">
        <is>
          <t>DPO review: approval is blocked until the DPO's own notice decisions are made; sending back needs a reason</t>
        </is>
      </c>
      <c r="C341" s="11" t="n">
        <v>7</v>
      </c>
      <c r="D341" s="11" t="inlineStr">
        <is>
          <t>Click 'Cancel' in the panel.</t>
        </is>
      </c>
      <c r="E341" s="11" t="inlineStr">
        <is>
          <t>The panel closes; status is still 'Pending Approval' and History has no new entry.</t>
        </is>
      </c>
      <c r="F341" s="16" t="n"/>
      <c r="G341" s="16" t="n"/>
    </row>
    <row r="342">
      <c r="A342" s="10" t="inlineStr">
        <is>
          <t>PRJ-09</t>
        </is>
      </c>
      <c r="B342" s="11" t="inlineStr">
        <is>
          <t>DPO review: approval is blocked until the DPO's own notice decisions are made; sending back needs a reason</t>
        </is>
      </c>
      <c r="C342" s="11" t="n">
        <v>8</v>
      </c>
      <c r="D342" s="11" t="inlineStr">
        <is>
          <t>Click the 'Open the notice' link on the blocker line.</t>
        </is>
      </c>
      <c r="E342" s="11" t="inlineStr">
        <is>
          <t>The notice page 'NTC-UAT-STUDY-01-2026 · version 1' opens.</t>
        </is>
      </c>
      <c r="F342" s="16" t="n"/>
      <c r="G342" s="16" t="n"/>
    </row>
    <row r="343">
      <c r="A343" s="10" t="inlineStr">
        <is>
          <t>PRJ-10</t>
        </is>
      </c>
      <c r="B343" s="11" t="inlineStr">
        <is>
          <t>DPO activates each purpose from the notice that carries it</t>
        </is>
      </c>
      <c r="C343" s="11" t="n">
        <v>1</v>
      </c>
      <c r="D343" s="11" t="inlineStr">
        <is>
          <t>Look at the 'Publication checklist' card.</t>
        </is>
      </c>
      <c r="E343" s="11" t="inlineStr">
        <is>
          <t>It reads '&lt;n&gt; item(s) blocking publication:' with one line per purpose 'the purpose &lt;code&gt; is draft, not activated' plus 'the english text is not legally approved'; each line has a 'fix this' link.</t>
        </is>
      </c>
      <c r="F343" s="16" t="n"/>
      <c r="G343" s="16" t="n"/>
    </row>
    <row r="344">
      <c r="A344" s="10" t="inlineStr">
        <is>
          <t>PRJ-10</t>
        </is>
      </c>
      <c r="B344" s="11" t="inlineStr">
        <is>
          <t>DPO activates each purpose from the notice that carries it</t>
        </is>
      </c>
      <c r="C344" s="11" t="n">
        <v>2</v>
      </c>
      <c r="D344" s="11" t="inlineStr">
        <is>
          <t>Click 'fix this' next to a purpose line.</t>
        </is>
      </c>
      <c r="E344" s="11" t="inlineStr">
        <is>
          <t>The page scrolls to the 'Purposes' card ('Rule 3(b): what each purpose enables, itemised, with its retention.').</t>
        </is>
      </c>
      <c r="F344" s="16" t="n"/>
      <c r="G344" s="16" t="n"/>
    </row>
    <row r="345">
      <c r="A345" s="10" t="inlineStr">
        <is>
          <t>PRJ-10</t>
        </is>
      </c>
      <c r="B345" s="11" t="inlineStr">
        <is>
          <t>DPO activates each purpose from the notice that carries it</t>
        </is>
      </c>
      <c r="C345" s="11" t="n">
        <v>3</v>
      </c>
      <c r="D345" s="11" t="inlineStr">
        <is>
          <t>Review the first purpose (name, description, Basis, Retention, Categories), then click its 'Activate' button.</t>
        </is>
      </c>
      <c r="E345" s="11" t="inlineStr">
        <is>
          <t>Toast '&lt;purpose name&gt; activated' says 'It no longer blocks publication.' Its status changes from 'Draft' to 'Active' and its 'Activate' button disappears.</t>
        </is>
      </c>
      <c r="F345" s="16" t="n"/>
      <c r="G345" s="16" t="n"/>
    </row>
    <row r="346">
      <c r="A346" s="10" t="inlineStr">
        <is>
          <t>PRJ-10</t>
        </is>
      </c>
      <c r="B346" s="11" t="inlineStr">
        <is>
          <t>DPO activates each purpose from the notice that carries it</t>
        </is>
      </c>
      <c r="C346" s="11" t="n">
        <v>4</v>
      </c>
      <c r="D346" s="11" t="inlineStr">
        <is>
          <t>Scroll back to the 'Publication checklist'.</t>
        </is>
      </c>
      <c r="E346" s="11" t="inlineStr">
        <is>
          <t>The blocking count has gone down by one and that purpose's line is gone, without reloading the page.</t>
        </is>
      </c>
      <c r="F346" s="16" t="n"/>
      <c r="G346" s="16" t="n"/>
    </row>
    <row r="347">
      <c r="A347" s="10" t="inlineStr">
        <is>
          <t>PRJ-10</t>
        </is>
      </c>
      <c r="B347" s="11" t="inlineStr">
        <is>
          <t>DPO activates each purpose from the notice that carries it</t>
        </is>
      </c>
      <c r="C347" s="11" t="n">
        <v>5</v>
      </c>
      <c r="D347" s="11" t="inlineStr">
        <is>
          <t>Repeat 'Activate' for every remaining Draft purpose, one at a time.</t>
        </is>
      </c>
      <c r="E347" s="11" t="inlineStr">
        <is>
          <t>Each shows its own toast; there is no single 'activate all' control.</t>
        </is>
      </c>
      <c r="F347" s="16" t="n"/>
      <c r="G347" s="16" t="n"/>
    </row>
    <row r="348">
      <c r="A348" s="10" t="inlineStr">
        <is>
          <t>PRJ-10</t>
        </is>
      </c>
      <c r="B348" s="11" t="inlineStr">
        <is>
          <t>DPO activates each purpose from the notice that carries it</t>
        </is>
      </c>
      <c r="C348" s="11" t="n">
        <v>6</v>
      </c>
      <c r="D348" s="11" t="inlineStr">
        <is>
          <t>Check the checklist once all purposes are active.</t>
        </is>
      </c>
      <c r="E348" s="11" t="inlineStr">
        <is>
          <t>No 'the purpose ... is draft, not activated' lines remain; only 'the english text is not legally approved' is left. The 'Purposes' stat shows 9.</t>
        </is>
      </c>
      <c r="F348" s="16" t="n"/>
      <c r="G348" s="16" t="n"/>
    </row>
    <row r="349">
      <c r="A349" s="10" t="inlineStr">
        <is>
          <t>PRJ-11</t>
        </is>
      </c>
      <c r="B349" s="11" t="inlineStr">
        <is>
          <t>DPO composes the wording, adds a Hindi rendition and legally approves each language</t>
        </is>
      </c>
      <c r="C349" s="11" t="n">
        <v>1</v>
      </c>
      <c r="D349" s="11" t="inlineStr">
        <is>
          <t>On notice NTC-UAT-STUDY-01-2026 v1, find the 'Notice text' card and click 'Edit English text'.</t>
        </is>
      </c>
      <c r="E349" s="11" t="inlineStr">
        <is>
          <t>A dialog 'Edit English text' opens: 'This exact text is hashed at publication and becomes the record of what was agreed to.' 'Language' is locked to English; 'Notice text' holds the current wording.</t>
        </is>
      </c>
      <c r="F349" s="16" t="n"/>
      <c r="G349" s="16" t="n"/>
    </row>
    <row r="350">
      <c r="A350" s="10" t="inlineStr">
        <is>
          <t>PRJ-11</t>
        </is>
      </c>
      <c r="B350" s="11" t="inlineStr">
        <is>
          <t>DPO composes the wording, adds a Hindi rendition and legally approves each language</t>
        </is>
      </c>
      <c r="C350" s="11" t="n">
        <v>2</v>
      </c>
      <c r="D350" s="11" t="inlineStr">
        <is>
          <t>Add the extra sentence at the end of the text and click 'Save text'.</t>
        </is>
      </c>
      <c r="E350" s="11" t="inlineStr">
        <is>
          <t>Toast 'Rendition saved' says 'It must be legally approved before the notice can be published.' The new sentence is visible in the 'Notice text' card.</t>
        </is>
      </c>
      <c r="F350" s="16" t="n"/>
      <c r="G350" s="16" t="n"/>
    </row>
    <row r="351">
      <c r="A351" s="10" t="inlineStr">
        <is>
          <t>PRJ-11</t>
        </is>
      </c>
      <c r="B351" s="11" t="inlineStr">
        <is>
          <t>DPO composes the wording, adds a Hindi rendition and legally approves each language</t>
        </is>
      </c>
      <c r="C351" s="11" t="n">
        <v>3</v>
      </c>
      <c r="D351" s="11" t="inlineStr">
        <is>
          <t>In the 'Legal approval, per language' card click 'Add language'.</t>
        </is>
      </c>
      <c r="E351" s="11" t="inlineStr">
        <is>
          <t>A dialog 'Add language' opens with 'Language' and 'Notice text'.</t>
        </is>
      </c>
      <c r="F351" s="16" t="n"/>
      <c r="G351" s="16" t="n"/>
    </row>
    <row r="352">
      <c r="A352" s="10" t="inlineStr">
        <is>
          <t>PRJ-11</t>
        </is>
      </c>
      <c r="B352" s="11" t="inlineStr">
        <is>
          <t>DPO composes the wording, adds a Hindi rendition and legally approves each language</t>
        </is>
      </c>
      <c r="C352" s="11" t="n">
        <v>4</v>
      </c>
      <c r="D352" s="11" t="inlineStr">
        <is>
          <t>Choose Language 'Hindi', paste the Hindi text and click 'Save text'.</t>
        </is>
      </c>
      <c r="E352" s="11" t="inlineStr">
        <is>
          <t>Toast 'Rendition saved'. The card now lists English and Hindi, both 'Not legally approved'. The 'Notice text' card shows language tabs (english / hindi).</t>
        </is>
      </c>
      <c r="F352" s="16" t="n"/>
      <c r="G352" s="16" t="n"/>
    </row>
    <row r="353">
      <c r="A353" s="10" t="inlineStr">
        <is>
          <t>PRJ-11</t>
        </is>
      </c>
      <c r="B353" s="11" t="inlineStr">
        <is>
          <t>DPO composes the wording, adds a Hindi rendition and legally approves each language</t>
        </is>
      </c>
      <c r="C353" s="11" t="n">
        <v>5</v>
      </c>
      <c r="D353" s="11" t="inlineStr">
        <is>
          <t>Look at the 'Publication checklist'.</t>
        </is>
      </c>
      <c r="E353" s="11" t="inlineStr">
        <is>
          <t>Lines 'the english text is not legally approved' and 'the hindi text is not legally approved' are shown; 'Languages' stat is 2, 'Approved' is 0.</t>
        </is>
      </c>
      <c r="F353" s="16" t="n"/>
      <c r="G353" s="16" t="n"/>
    </row>
    <row r="354">
      <c r="A354" s="10" t="inlineStr">
        <is>
          <t>PRJ-11</t>
        </is>
      </c>
      <c r="B354" s="11" t="inlineStr">
        <is>
          <t>DPO composes the wording, adds a Hindi rendition and legally approves each language</t>
        </is>
      </c>
      <c r="C354" s="11" t="n">
        <v>6</v>
      </c>
      <c r="D354" s="11" t="inlineStr">
        <is>
          <t>Read the English text, then click 'Approve' on the English row.</t>
        </is>
      </c>
      <c r="E354" s="11" t="inlineStr">
        <is>
          <t>Toast 'english approved' says 'Its hash is what a data subject's consent will be matched against.' The row shows 'Approved' with 'Priya Menon' and the time.</t>
        </is>
      </c>
      <c r="F354" s="16" t="n"/>
      <c r="G354" s="16" t="n"/>
    </row>
    <row r="355">
      <c r="A355" s="10" t="inlineStr">
        <is>
          <t>PRJ-11</t>
        </is>
      </c>
      <c r="B355" s="11" t="inlineStr">
        <is>
          <t>DPO composes the wording, adds a Hindi rendition and legally approves each language</t>
        </is>
      </c>
      <c r="C355" s="11" t="n">
        <v>7</v>
      </c>
      <c r="D355" s="11" t="inlineStr">
        <is>
          <t>Click the 'hindi' tab in 'Notice text', read it, then click 'Approve' on the Hindi row.</t>
        </is>
      </c>
      <c r="E355" s="11" t="inlineStr">
        <is>
          <t>Toast 'hindi approved'. Both rows show 'Approved'; 'Approved' stat equals 2.</t>
        </is>
      </c>
      <c r="F355" s="16" t="n"/>
      <c r="G355" s="16" t="n"/>
    </row>
    <row r="356">
      <c r="A356" s="10" t="inlineStr">
        <is>
          <t>PRJ-11</t>
        </is>
      </c>
      <c r="B356" s="11" t="inlineStr">
        <is>
          <t>DPO composes the wording, adds a Hindi rendition and legally approves each language</t>
        </is>
      </c>
      <c r="C356" s="11" t="n">
        <v>8</v>
      </c>
      <c r="D356" s="11" t="inlineStr">
        <is>
          <t>Look at the 'Publication checklist'.</t>
        </is>
      </c>
      <c r="E356" s="11" t="inlineStr">
        <is>
          <t>It reads 'This notice is complete and ready to publish.' and shows a 'Publish this notice' button. Do NOT click it - publication happens with the project approval in PRJ-12.</t>
        </is>
      </c>
      <c r="F356" s="16" t="n"/>
      <c r="G356" s="16" t="n"/>
    </row>
    <row r="357">
      <c r="A357" s="10" t="inlineStr">
        <is>
          <t>PRJ-12</t>
        </is>
      </c>
      <c r="B357" s="11" t="inlineStr">
        <is>
          <t>DPO approves the project, which publishes and freezes its notice</t>
        </is>
      </c>
      <c r="C357" s="11" t="n">
        <v>1</v>
      </c>
      <c r="D357" s="11" t="inlineStr">
        <is>
          <t>Click the project name link at the top of the notice page ('UAT Study 01') to return to the project.</t>
        </is>
      </c>
      <c r="E357" s="11" t="inlineStr">
        <is>
          <t>The project page opens with status 'Pending Approval'.</t>
        </is>
      </c>
      <c r="F357" s="16" t="n"/>
      <c r="G357" s="16" t="n"/>
    </row>
    <row r="358">
      <c r="A358" s="10" t="inlineStr">
        <is>
          <t>PRJ-12</t>
        </is>
      </c>
      <c r="B358" s="11" t="inlineStr">
        <is>
          <t>DPO approves the project, which publishes and freezes its notice</t>
        </is>
      </c>
      <c r="C358" s="11" t="n">
        <v>2</v>
      </c>
      <c r="D358" s="11" t="inlineStr">
        <is>
          <t>Look at 'Moves the project to Approved' in 'What happens next'.</t>
        </is>
      </c>
      <c r="E358" s="11" t="inlineStr">
        <is>
          <t>No warning lines remain; the 'Approve project' button is active and the row carries the tag 'publishes the notice'.</t>
        </is>
      </c>
      <c r="F358" s="16" t="n"/>
      <c r="G358" s="16" t="n"/>
    </row>
    <row r="359">
      <c r="A359" s="10" t="inlineStr">
        <is>
          <t>PRJ-12</t>
        </is>
      </c>
      <c r="B359" s="11" t="inlineStr">
        <is>
          <t>DPO approves the project, which publishes and freezes its notice</t>
        </is>
      </c>
      <c r="C359" s="11" t="n">
        <v>3</v>
      </c>
      <c r="D359" s="11" t="inlineStr">
        <is>
          <t>Click 'Approve project'.</t>
        </is>
      </c>
      <c r="E359" s="11" t="inlineStr">
        <is>
          <t>A panel 'Approve project' opens with a yellow warning: 'This publishes the project's notice. Its text and hash are frozen at that moment and cannot be edited afterwards - a correction requires a new version...' and an optional 'Note (optional)' box.</t>
        </is>
      </c>
      <c r="F359" s="16" t="n"/>
      <c r="G359" s="16" t="n"/>
    </row>
    <row r="360">
      <c r="A360" s="10" t="inlineStr">
        <is>
          <t>PRJ-12</t>
        </is>
      </c>
      <c r="B360" s="11" t="inlineStr">
        <is>
          <t>DPO approves the project, which publishes and freezes its notice</t>
        </is>
      </c>
      <c r="C360" s="11" t="n">
        <v>4</v>
      </c>
      <c r="D360" s="11" t="inlineStr">
        <is>
          <t>Type the note and click 'Approve project' in the panel.</t>
        </is>
      </c>
      <c r="E360" s="11" t="inlineStr">
        <is>
          <t>Toast 'Moved to Approved' says 'The notice has been published and its text is now frozen.'</t>
        </is>
      </c>
      <c r="F360" s="16" t="n"/>
      <c r="G360" s="16" t="n"/>
    </row>
    <row r="361">
      <c r="A361" s="10" t="inlineStr">
        <is>
          <t>PRJ-12</t>
        </is>
      </c>
      <c r="B361" s="11" t="inlineStr">
        <is>
          <t>DPO approves the project, which publishes and freezes its notice</t>
        </is>
      </c>
      <c r="C361" s="11" t="n">
        <v>5</v>
      </c>
      <c r="D361" s="11" t="inlineStr">
        <is>
          <t>Check the page header and progress bar.</t>
        </is>
      </c>
      <c r="E361" s="11" t="inlineStr">
        <is>
          <t>Status badge 'Approved'; progress bar at the last step.</t>
        </is>
      </c>
      <c r="F361" s="16" t="n"/>
      <c r="G361" s="16" t="n"/>
    </row>
    <row r="362">
      <c r="A362" s="10" t="inlineStr">
        <is>
          <t>PRJ-12</t>
        </is>
      </c>
      <c r="B362" s="11" t="inlineStr">
        <is>
          <t>DPO approves the project, which publishes and freezes its notice</t>
        </is>
      </c>
      <c r="C362" s="11" t="n">
        <v>6</v>
      </c>
      <c r="D362" s="11" t="inlineStr">
        <is>
          <t>Look at the 'Notices' card.</t>
        </is>
      </c>
      <c r="E362" s="11" t="inlineStr">
        <is>
          <t>'NTC-UAT-STUDY-01-2026 v1' shows the badge 'Published' and '· published &lt;date/time&gt;'.</t>
        </is>
      </c>
      <c r="F362" s="16" t="n"/>
      <c r="G362" s="16" t="n"/>
    </row>
    <row r="363">
      <c r="A363" s="10" t="inlineStr">
        <is>
          <t>PRJ-12</t>
        </is>
      </c>
      <c r="B363" s="11" t="inlineStr">
        <is>
          <t>DPO approves the project, which publishes and freezes its notice</t>
        </is>
      </c>
      <c r="C363" s="11" t="n">
        <v>7</v>
      </c>
      <c r="D363" s="11" t="inlineStr">
        <is>
          <t>Look at the 'History' card.</t>
        </is>
      </c>
      <c r="E363" s="11" t="inlineStr">
        <is>
          <t>The newest entry is 'Pending Approval → Approved' by 'Priya Menon (Dpo)' with the note shown in quotes.</t>
        </is>
      </c>
      <c r="F363" s="16" t="n"/>
      <c r="G363" s="16" t="n"/>
    </row>
    <row r="364">
      <c r="A364" s="10" t="inlineStr">
        <is>
          <t>PRJ-12</t>
        </is>
      </c>
      <c r="B364" s="11" t="inlineStr">
        <is>
          <t>DPO approves the project, which publishes and freezes its notice</t>
        </is>
      </c>
      <c r="C364" s="11" t="n">
        <v>8</v>
      </c>
      <c r="D364" s="11" t="inlineStr">
        <is>
          <t>Look at the right-hand column.</t>
        </is>
      </c>
      <c r="E364" s="11" t="inlineStr">
        <is>
          <t>An info note reads 'Adding a site now is a material change: it adds a recipient to a published notice, so it requires a new notice version before collection starts there.'</t>
        </is>
      </c>
      <c r="F364" s="16" t="n"/>
      <c r="G364" s="16" t="n"/>
    </row>
    <row r="365">
      <c r="A365" s="10" t="inlineStr">
        <is>
          <t>PRJ-13</t>
        </is>
      </c>
      <c r="B365" s="11" t="inlineStr">
        <is>
          <t>A published notice is frozen - no edits, and an upload cannot replace it</t>
        </is>
      </c>
      <c r="C365" s="11" t="n">
        <v>1</v>
      </c>
      <c r="D365" s="11" t="inlineStr">
        <is>
          <t>As the DPO open 'Notices' in the sidebar and click 'NTC-UAT-STUDY-01-2026'.</t>
        </is>
      </c>
      <c r="E365" s="11" t="inlineStr">
        <is>
          <t>The notice page shows 'Published &lt;date&gt;. This text is frozen.' and the badge 'Published'.</t>
        </is>
      </c>
      <c r="F365" s="16" t="n"/>
      <c r="G365" s="16" t="n"/>
    </row>
    <row r="366">
      <c r="A366" s="10" t="inlineStr">
        <is>
          <t>PRJ-13</t>
        </is>
      </c>
      <c r="B366" s="11" t="inlineStr">
        <is>
          <t>A published notice is frozen - no edits, and an upload cannot replace it</t>
        </is>
      </c>
      <c r="C366" s="11" t="n">
        <v>2</v>
      </c>
      <c r="D366" s="11" t="inlineStr">
        <is>
          <t>Look for editing controls across the page.</t>
        </is>
      </c>
      <c r="E366" s="11" t="inlineStr">
        <is>
          <t>There is NO 'Edit' in the header, NO 'Edit English text', NO 'Manage', NO 'Activate', NO 'Customise for this notice', NO 'Add language' and NO 'Publish this notice'. The 'Publication checklist' card is not shown.</t>
        </is>
      </c>
      <c r="F366" s="16" t="n"/>
      <c r="G366" s="16" t="n"/>
    </row>
    <row r="367">
      <c r="A367" s="10" t="inlineStr">
        <is>
          <t>PRJ-13</t>
        </is>
      </c>
      <c r="B367" s="11" t="inlineStr">
        <is>
          <t>A published notice is frozen - no edits, and an upload cannot replace it</t>
        </is>
      </c>
      <c r="C367" s="11" t="n">
        <v>3</v>
      </c>
      <c r="D367" s="11" t="inlineStr">
        <is>
          <t>Read the info note in the right-hand column.</t>
        </is>
      </c>
      <c r="E367" s="11" t="inlineStr">
        <is>
          <t>'This notice is published. Its text and hashes are immutable — the database refuses an edit. To change anything, publish a new version.'</t>
        </is>
      </c>
      <c r="F367" s="16" t="n"/>
      <c r="G367" s="16" t="n"/>
    </row>
    <row r="368">
      <c r="A368" s="10" t="inlineStr">
        <is>
          <t>PRJ-13</t>
        </is>
      </c>
      <c r="B368" s="11" t="inlineStr">
        <is>
          <t>A published notice is frozen - no edits, and an upload cannot replace it</t>
        </is>
      </c>
      <c r="C368" s="11" t="n">
        <v>4</v>
      </c>
      <c r="D368" s="11" t="inlineStr">
        <is>
          <t>Look at 'Rule 3 elements' &gt; 'Recipients'.</t>
        </is>
      </c>
      <c r="E368" s="11" t="inlineStr">
        <is>
          <t>It shows the recipient text fixed at publication (no longer 'Generated from the project's sites at publication').</t>
        </is>
      </c>
      <c r="F368" s="16" t="n"/>
      <c r="G368" s="16" t="n"/>
    </row>
    <row r="369">
      <c r="A369" s="10" t="inlineStr">
        <is>
          <t>PRJ-13</t>
        </is>
      </c>
      <c r="B369" s="11" t="inlineStr">
        <is>
          <t>A published notice is frozen - no edits, and an upload cannot replace it</t>
        </is>
      </c>
      <c r="C369" s="11" t="n">
        <v>5</v>
      </c>
      <c r="D369" s="11" t="inlineStr">
        <is>
          <t>Sign out and sign in as rnd@cmp.local. Open project 'UAT Study 01' and click 'Upload a notice document'.</t>
        </is>
      </c>
      <c r="E369" s="11" t="inlineStr">
        <is>
          <t>The 'Upload a notice document' dialog opens.</t>
        </is>
      </c>
      <c r="F369" s="16" t="n"/>
      <c r="G369" s="16" t="n"/>
    </row>
    <row r="370">
      <c r="A370" s="10" t="inlineStr">
        <is>
          <t>PRJ-13</t>
        </is>
      </c>
      <c r="B370" s="11" t="inlineStr">
        <is>
          <t>A published notice is frozen - no edits, and an upload cannot replace it</t>
        </is>
      </c>
      <c r="C370" s="11" t="n">
        <v>6</v>
      </c>
      <c r="D370" s="11" t="inlineStr">
        <is>
          <t>Choose the filled .docx and click 'Check the document'.</t>
        </is>
      </c>
      <c r="E370" s="11" t="inlineStr">
        <is>
          <t>A red message says 'This project already has the published notice NTC-UAT-STUDY-01-2026. Its text is hashed into every consent taken against it, so an upload cannot replace it - create a new version of the notice instead.' 'Create the notice' stays disabled.</t>
        </is>
      </c>
      <c r="F370" s="16" t="n"/>
      <c r="G370" s="16" t="n"/>
    </row>
    <row r="371">
      <c r="A371" s="10" t="inlineStr">
        <is>
          <t>PRJ-13</t>
        </is>
      </c>
      <c r="B371" s="11" t="inlineStr">
        <is>
          <t>A published notice is frozen - no edits, and an upload cannot replace it</t>
        </is>
      </c>
      <c r="C371" s="11" t="n">
        <v>7</v>
      </c>
      <c r="D371" s="11" t="inlineStr">
        <is>
          <t>Click 'Cancel'.</t>
        </is>
      </c>
      <c r="E371" s="11" t="inlineStr">
        <is>
          <t>The dialog closes; the Notices card still shows only v1 'Published'.</t>
        </is>
      </c>
      <c r="F371" s="16" t="n"/>
      <c r="G371" s="16" t="n"/>
    </row>
    <row r="372">
      <c r="A372" s="10" t="inlineStr">
        <is>
          <t>PRJ-14</t>
        </is>
      </c>
      <c r="B372" s="11" t="inlineStr">
        <is>
          <t>Third-party routing: DCO Admin registers the partner's collection site and it passes to the DCO</t>
        </is>
      </c>
      <c r="C372" s="11" t="n">
        <v>1</v>
      </c>
      <c r="D372" s="11" t="inlineStr">
        <is>
          <t>Click 'Projects' in the sidebar, set 'Status' to 'Approved' and open 'UAT Study 01'.</t>
        </is>
      </c>
      <c r="E372" s="11" t="inlineStr">
        <is>
          <t>The project is visible to the DCO Admin (it names a third-party processor). Status 'Approved'.</t>
        </is>
      </c>
      <c r="F372" s="16" t="n"/>
      <c r="G372" s="16" t="n"/>
    </row>
    <row r="373">
      <c r="A373" s="10" t="inlineStr">
        <is>
          <t>PRJ-14</t>
        </is>
      </c>
      <c r="B373" s="11" t="inlineStr">
        <is>
          <t>Third-party routing: DCO Admin registers the partner's collection site and it passes to the DCO</t>
        </is>
      </c>
      <c r="C373" s="11" t="n">
        <v>2</v>
      </c>
      <c r="D373" s="11" t="inlineStr">
        <is>
          <t>Look at the 'Who is collecting' card.</t>
        </is>
      </c>
      <c r="E373" s="11" t="inlineStr">
        <is>
          <t>SEED shows 'approved', 'collected by a third party' and '· no collection set up yet'.</t>
        </is>
      </c>
      <c r="F373" s="16" t="n"/>
      <c r="G373" s="16" t="n"/>
    </row>
    <row r="374">
      <c r="A374" s="10" t="inlineStr">
        <is>
          <t>PRJ-14</t>
        </is>
      </c>
      <c r="B374" s="11" t="inlineStr">
        <is>
          <t>Third-party routing: DCO Admin registers the partner's collection site and it passes to the DCO</t>
        </is>
      </c>
      <c r="C374" s="11" t="n">
        <v>3</v>
      </c>
      <c r="D374" s="11" t="inlineStr">
        <is>
          <t>Click 'Add site' at the top of the page.</t>
        </is>
      </c>
      <c r="E374" s="11" t="inlineStr">
        <is>
          <t>A dialog 'Add a collection site' opens with a yellow note that the notice is already published and adding a site is a material change requiring a new notice version; fields 'Data source' and 'Location'. There is no site-name or processor field.</t>
        </is>
      </c>
      <c r="F374" s="16" t="n"/>
      <c r="G374" s="16" t="n"/>
    </row>
    <row r="375">
      <c r="A375" s="10" t="inlineStr">
        <is>
          <t>PRJ-14</t>
        </is>
      </c>
      <c r="B375" s="11" t="inlineStr">
        <is>
          <t>Third-party routing: DCO Admin registers the partner's collection site and it passes to the DCO</t>
        </is>
      </c>
      <c r="C375" s="11" t="n">
        <v>4</v>
      </c>
      <c r="D375" s="11" t="inlineStr">
        <is>
          <t>Open 'Data source'.</t>
        </is>
      </c>
      <c r="E375" s="11" t="inlineStr">
        <is>
          <t>Only sources under this project's processors (SEED, SRIB) are offered, each as '&lt;name&gt; · &lt;processor&gt; · &lt;owner or unowned&gt;'. Sources of other processors are not listed.</t>
        </is>
      </c>
      <c r="F375" s="16" t="n"/>
      <c r="G375" s="16" t="n"/>
    </row>
    <row r="376">
      <c r="A376" s="10" t="inlineStr">
        <is>
          <t>PRJ-14</t>
        </is>
      </c>
      <c r="B376" s="11" t="inlineStr">
        <is>
          <t>Third-party routing: DCO Admin registers the partner's collection site and it passes to the DCO</t>
        </is>
      </c>
      <c r="C376" s="11" t="n">
        <v>5</v>
      </c>
      <c r="D376" s="11" t="inlineStr">
        <is>
          <t>Choose 'CIT · SEED · Arun Shetty'.</t>
        </is>
      </c>
      <c r="E376" s="11" t="inlineStr">
        <is>
          <t>A blue note reads 'Arun Shetty owns SRC-SEED-CIT and will pick up this site.'</t>
        </is>
      </c>
      <c r="F376" s="16" t="n"/>
      <c r="G376" s="16" t="n"/>
    </row>
    <row r="377">
      <c r="A377" s="10" t="inlineStr">
        <is>
          <t>PRJ-14</t>
        </is>
      </c>
      <c r="B377" s="11" t="inlineStr">
        <is>
          <t>Third-party routing: DCO Admin registers the partner's collection site and it passes to the DCO</t>
        </is>
      </c>
      <c r="C377" s="11" t="n">
        <v>6</v>
      </c>
      <c r="D377" s="11" t="inlineStr">
        <is>
          <t>Type the Location and click 'Add collection site'.</t>
        </is>
      </c>
      <c r="E377" s="11" t="inlineStr">
        <is>
          <t>Toast 'Collection site added' says 'This adds a recipient the published notice does not name. A new notice version is required before collecting here.'</t>
        </is>
      </c>
      <c r="F377" s="16" t="n"/>
      <c r="G377" s="16" t="n"/>
    </row>
    <row r="378">
      <c r="A378" s="10" t="inlineStr">
        <is>
          <t>PRJ-14</t>
        </is>
      </c>
      <c r="B378" s="11" t="inlineStr">
        <is>
          <t>Third-party routing: DCO Admin registers the partner's collection site and it passes to the DCO</t>
        </is>
      </c>
      <c r="C378" s="11" t="n">
        <v>7</v>
      </c>
      <c r="D378" s="11" t="inlineStr">
        <is>
          <t>Look at the 'Collection sites' card.</t>
        </is>
      </c>
      <c r="E378" s="11" t="inlineStr">
        <is>
          <t>A row 'CIT' with 'CIT campus, Coimbatore · operated by SEED', owner line 'CIT · Arun Shetty' with a 'decides' tag, status 'Active', and the buttons 'Change source' and 'Who runs it'.</t>
        </is>
      </c>
      <c r="F378" s="16" t="n"/>
      <c r="G378" s="16" t="n"/>
    </row>
    <row r="379">
      <c r="A379" s="10" t="inlineStr">
        <is>
          <t>PRJ-14</t>
        </is>
      </c>
      <c r="B379" s="11" t="inlineStr">
        <is>
          <t>Third-party routing: DCO Admin registers the partner's collection site and it passes to the DCO</t>
        </is>
      </c>
      <c r="C379" s="11" t="n">
        <v>8</v>
      </c>
      <c r="D379" s="11" t="inlineStr">
        <is>
          <t>Look at 'Details' on the right.</t>
        </is>
      </c>
      <c r="E379" s="11" t="inlineStr">
        <is>
          <t>'Data Collection Owner' now reads 'Arun Shetty'.</t>
        </is>
      </c>
      <c r="F379" s="16" t="n"/>
      <c r="G379" s="16" t="n"/>
    </row>
    <row r="380">
      <c r="A380" s="10" t="inlineStr">
        <is>
          <t>PRJ-14</t>
        </is>
      </c>
      <c r="B380" s="11" t="inlineStr">
        <is>
          <t>Third-party routing: DCO Admin registers the partner's collection site and it passes to the DCO</t>
        </is>
      </c>
      <c r="C380" s="11" t="n">
        <v>9</v>
      </c>
      <c r="D380" s="11" t="inlineStr">
        <is>
          <t>Click 'Who runs it' on the CIT row.</t>
        </is>
      </c>
      <c r="E380" s="11" t="inlineStr">
        <is>
          <t>A dialog 'Who runs CIT?' opens: 'Only on this project. The data source keeps its own owner.' It explains 'Arun Shetty owns SRC-SEED-CIT and runs this site by default... every other project collecting from it is untouched.' The field is labelled 'Data Collection Owner' with the default 'No exception — Arun Shetty runs it'. The 'Name them'/'Clear the exception' button is disabled until the choice changes.</t>
        </is>
      </c>
      <c r="F380" s="16" t="n"/>
      <c r="G380" s="16" t="n"/>
    </row>
    <row r="381">
      <c r="A381" s="10" t="inlineStr">
        <is>
          <t>PRJ-14</t>
        </is>
      </c>
      <c r="B381" s="11" t="inlineStr">
        <is>
          <t>Third-party routing: DCO Admin registers the partner's collection site and it passes to the DCO</t>
        </is>
      </c>
      <c r="C381" s="11" t="n">
        <v>10</v>
      </c>
      <c r="D381" s="11" t="inlineStr">
        <is>
          <t>Click 'Cancel'.</t>
        </is>
      </c>
      <c r="E381" s="11" t="inlineStr">
        <is>
          <t>The dialog closes with nothing changed.</t>
        </is>
      </c>
      <c r="F381" s="16" t="n"/>
      <c r="G381" s="16" t="n"/>
    </row>
    <row r="382">
      <c r="A382" s="10" t="inlineStr">
        <is>
          <t>PRJ-15</t>
        </is>
      </c>
      <c r="B382" s="11" t="inlineStr">
        <is>
          <t>In-house routing: the R&amp;D owner names the in-house source and the RCO sees only her site</t>
        </is>
      </c>
      <c r="C382" s="11" t="n">
        <v>1</v>
      </c>
      <c r="D382" s="11" t="inlineStr">
        <is>
          <t>As Kavya Rao open project 'UAT Study 01'.</t>
        </is>
      </c>
      <c r="E382" s="11" t="inlineStr">
        <is>
          <t>Status 'Approved'. 'What happens next' says 'There is nothing for your role to do at this stage.' The 'Who is collecting' button now reads 'Request a collector'.</t>
        </is>
      </c>
      <c r="F382" s="16" t="n"/>
      <c r="G382" s="16" t="n"/>
    </row>
    <row r="383">
      <c r="A383" s="10" t="inlineStr">
        <is>
          <t>PRJ-15</t>
        </is>
      </c>
      <c r="B383" s="11" t="inlineStr">
        <is>
          <t>In-house routing: the R&amp;D owner names the in-house source and the RCO sees only her site</t>
        </is>
      </c>
      <c r="C383" s="11" t="n">
        <v>2</v>
      </c>
      <c r="D383" s="11" t="inlineStr">
        <is>
          <t>Click 'Add site'.</t>
        </is>
      </c>
      <c r="E383" s="11" t="inlineStr">
        <is>
          <t>The 'Add a collection site' dialog opens with the material-change note.</t>
        </is>
      </c>
      <c r="F383" s="16" t="n"/>
      <c r="G383" s="16" t="n"/>
    </row>
    <row r="384">
      <c r="A384" s="10" t="inlineStr">
        <is>
          <t>PRJ-15</t>
        </is>
      </c>
      <c r="B384" s="11" t="inlineStr">
        <is>
          <t>In-house routing: the R&amp;D owner names the in-house source and the RCO sees only her site</t>
        </is>
      </c>
      <c r="C384" s="11" t="n">
        <v>3</v>
      </c>
      <c r="D384" s="11" t="inlineStr">
        <is>
          <t>Choose Data source 'SE · SRIB · Meera Iyer', enter the Location, and click 'Add collection site'.</t>
        </is>
      </c>
      <c r="E384" s="11" t="inlineStr">
        <is>
          <t>Before saving the note reads 'Meera Iyer owns SRC-SRIB-SE and will pick up this site.' After saving, toast 'Collection site added'.</t>
        </is>
      </c>
      <c r="F384" s="16" t="n"/>
      <c r="G384" s="16" t="n"/>
    </row>
    <row r="385">
      <c r="A385" s="10" t="inlineStr">
        <is>
          <t>PRJ-15</t>
        </is>
      </c>
      <c r="B385" s="11" t="inlineStr">
        <is>
          <t>In-house routing: the R&amp;D owner names the in-house source and the RCO sees only her site</t>
        </is>
      </c>
      <c r="C385" s="11" t="n">
        <v>4</v>
      </c>
      <c r="D385" s="11" t="inlineStr">
        <is>
          <t>Look at the new 'SE' row in 'Collection sites'.</t>
        </is>
      </c>
      <c r="E385" s="11" t="inlineStr">
        <is>
          <t>Owner line 'SE · Meera Iyer' with the tag 'in-house'; buttons 'Change source' and 'Who runs it' are available to the R&amp;D owner. There is NO 'Create link' button for the R&amp;D User.</t>
        </is>
      </c>
      <c r="F385" s="16" t="n"/>
      <c r="G385" s="16" t="n"/>
    </row>
    <row r="386">
      <c r="A386" s="10" t="inlineStr">
        <is>
          <t>PRJ-15</t>
        </is>
      </c>
      <c r="B386" s="11" t="inlineStr">
        <is>
          <t>In-house routing: the R&amp;D owner names the in-house source and the RCO sees only her site</t>
        </is>
      </c>
      <c r="C386" s="11" t="n">
        <v>5</v>
      </c>
      <c r="D386" s="11" t="inlineStr">
        <is>
          <t>Click 'Who runs it' on the SE row.</t>
        </is>
      </c>
      <c r="E386" s="11" t="inlineStr">
        <is>
          <t>Dialog 'Who runs SE?' opens; the field is labelled 'R&amp;D Collection Owner' and lists R&amp;D Collection Owners (e.g. Meera Iyer · rco@cmp.local), not Data Collection Owners. Click 'Cancel'.</t>
        </is>
      </c>
      <c r="F386" s="16" t="n"/>
      <c r="G386" s="16" t="n"/>
    </row>
    <row r="387">
      <c r="A387" s="10" t="inlineStr">
        <is>
          <t>PRJ-15</t>
        </is>
      </c>
      <c r="B387" s="11" t="inlineStr">
        <is>
          <t>In-house routing: the R&amp;D owner names the in-house source and the RCO sees only her site</t>
        </is>
      </c>
      <c r="C387" s="11" t="n">
        <v>6</v>
      </c>
      <c r="D387" s="11" t="inlineStr">
        <is>
          <t>Sign out, sign in as rco@cmp.local and click 'Collection sites' in the sidebar.</t>
        </is>
      </c>
      <c r="E387" s="11" t="inlineStr">
        <is>
          <t>The list includes 'SE' with project 'UAT Study 01', 'Operated by' SRIB. The 'CIT' site of UAT Study 01 is NOT listed.</t>
        </is>
      </c>
      <c r="F387" s="16" t="n"/>
      <c r="G387" s="16" t="n"/>
    </row>
    <row r="388">
      <c r="A388" s="10" t="inlineStr">
        <is>
          <t>PRJ-15</t>
        </is>
      </c>
      <c r="B388" s="11" t="inlineStr">
        <is>
          <t>In-house routing: the R&amp;D owner names the in-house source and the RCO sees only her site</t>
        </is>
      </c>
      <c r="C388" s="11" t="n">
        <v>7</v>
      </c>
      <c r="D388" s="11" t="inlineStr">
        <is>
          <t>Click 'UAT Study 01' on the SE row.</t>
        </is>
      </c>
      <c r="E388" s="11" t="inlineStr">
        <is>
          <t>The project page opens. In 'Collection sites', the SE row shows a 'Create link' button; Meera has no link control for CIT.</t>
        </is>
      </c>
      <c r="F388" s="16" t="n"/>
      <c r="G388" s="16" t="n"/>
    </row>
    <row r="389">
      <c r="A389" s="10" t="inlineStr">
        <is>
          <t>PRJ-16</t>
        </is>
      </c>
      <c r="B389" s="11" t="inlineStr">
        <is>
          <t>A correction after publication is made as a new notice version, which supersedes the old one</t>
        </is>
      </c>
      <c r="C389" s="11" t="n">
        <v>1</v>
      </c>
      <c r="D389" s="11" t="inlineStr">
        <is>
          <t>Open project 'UAT Study 01' and click 'New notice' (DPO only).</t>
        </is>
      </c>
      <c r="E389" s="11" t="inlineStr">
        <is>
          <t>Dialog 'New notice' opens: 'Every Rule 3 element is required before it can be published.' It says 'The notice code is generated for you' with a link 'Set the code myself'.</t>
        </is>
      </c>
      <c r="F389" s="16" t="n"/>
      <c r="G389" s="16" t="n"/>
    </row>
    <row r="390">
      <c r="A390" s="10" t="inlineStr">
        <is>
          <t>PRJ-16</t>
        </is>
      </c>
      <c r="B390" s="11" t="inlineStr">
        <is>
          <t>A correction after publication is made as a new notice version, which supersedes the old one</t>
        </is>
      </c>
      <c r="C390" s="11" t="n">
        <v>2</v>
      </c>
      <c r="D390" s="11" t="inlineStr">
        <is>
          <t>Click 'Set the code myself' and type NTC-UAT-STUDY-01-2026 in 'Notice code'. Fill 'DPO contact', 'Applies to', the three URLs, 'Language' and 'Notice text' from the test data. Click 'Create notice'.</t>
        </is>
      </c>
      <c r="E390" s="11" t="inlineStr">
        <is>
          <t>Toast 'Notice NTC-UAT-STUDY-01-2026 created' with 'Attach purposes, then approve the text and publish.' The Notices card lists 'NTC-UAT-STUDY-01-2026 v2' as 'Draft' and v1 as 'Published'.</t>
        </is>
      </c>
      <c r="F390" s="16" t="n"/>
      <c r="G390" s="16" t="n"/>
    </row>
    <row r="391">
      <c r="A391" s="10" t="inlineStr">
        <is>
          <t>PRJ-16</t>
        </is>
      </c>
      <c r="B391" s="11" t="inlineStr">
        <is>
          <t>A correction after publication is made as a new notice version, which supersedes the old one</t>
        </is>
      </c>
      <c r="C391" s="11" t="n">
        <v>3</v>
      </c>
      <c r="D391" s="11" t="inlineStr">
        <is>
          <t>Open v2. In 'Purposes' click 'Attach a purpose' (or 'Manage').</t>
        </is>
      </c>
      <c r="E391" s="11" t="inlineStr">
        <is>
          <t>Dialog 'Purposes on this notice' opens with 'Attach a purpose' (only active purposes listed), a 'Cannot be refused' tick box, and 'Attach'.</t>
        </is>
      </c>
      <c r="F391" s="16" t="n"/>
      <c r="G391" s="16" t="n"/>
    </row>
    <row r="392">
      <c r="A392" s="10" t="inlineStr">
        <is>
          <t>PRJ-16</t>
        </is>
      </c>
      <c r="B392" s="11" t="inlineStr">
        <is>
          <t>A correction after publication is made as a new notice version, which supersedes the old one</t>
        </is>
      </c>
      <c r="C392" s="11" t="n">
        <v>4</v>
      </c>
      <c r="D392" s="11" t="inlineStr">
        <is>
          <t>Attach each of the 9 purposes that v1 carries, one by one: choose it and click 'Attach'. The dialog stays open after each - there is no 'Done' button - so close it with the × at its top right when all 9 are attached.</t>
        </is>
      </c>
      <c r="E392" s="11" t="inlineStr">
        <is>
          <t>Toast 'Purpose attached' each time; the Purposes card lists 9 purposes, all 'Active'.</t>
        </is>
      </c>
      <c r="F392" s="16" t="n"/>
      <c r="G392" s="16" t="n"/>
    </row>
    <row r="393">
      <c r="A393" s="10" t="inlineStr">
        <is>
          <t>PRJ-16</t>
        </is>
      </c>
      <c r="B393" s="11" t="inlineStr">
        <is>
          <t>A correction after publication is made as a new notice version, which supersedes the old one</t>
        </is>
      </c>
      <c r="C393" s="11" t="n">
        <v>5</v>
      </c>
      <c r="D393" s="11" t="inlineStr">
        <is>
          <t>In 'Legal approval, per language' click 'Approve' on the English row.</t>
        </is>
      </c>
      <c r="E393" s="11" t="inlineStr">
        <is>
          <t>Toast 'english approved'. The checklist reads 'This notice is complete and ready to publish.' and the 'Sites' stat shows 2.</t>
        </is>
      </c>
      <c r="F393" s="16" t="n"/>
      <c r="G393" s="16" t="n"/>
    </row>
    <row r="394">
      <c r="A394" s="10" t="inlineStr">
        <is>
          <t>PRJ-16</t>
        </is>
      </c>
      <c r="B394" s="11" t="inlineStr">
        <is>
          <t>A correction after publication is made as a new notice version, which supersedes the old one</t>
        </is>
      </c>
      <c r="C394" s="11" t="n">
        <v>6</v>
      </c>
      <c r="D394" s="11" t="inlineStr">
        <is>
          <t>Click 'Publish this notice'.</t>
        </is>
      </c>
      <c r="E394" s="11" t="inlineStr">
        <is>
          <t>A box 'Publishing is not reversible' explains the text is hashed and frozen and the recipient list is generated from the project's active sites; buttons 'Publish and freeze' and 'Cancel'.</t>
        </is>
      </c>
      <c r="F394" s="16" t="n"/>
      <c r="G394" s="16" t="n"/>
    </row>
    <row r="395">
      <c r="A395" s="10" t="inlineStr">
        <is>
          <t>PRJ-16</t>
        </is>
      </c>
      <c r="B395" s="11" t="inlineStr">
        <is>
          <t>A correction after publication is made as a new notice version, which supersedes the old one</t>
        </is>
      </c>
      <c r="C395" s="11" t="n">
        <v>7</v>
      </c>
      <c r="D395" s="11" t="inlineStr">
        <is>
          <t>Click 'Publish and freeze'.</t>
        </is>
      </c>
      <c r="E395" s="11" t="inlineStr">
        <is>
          <t>Toast 'Notice published' says 'The text and its hash are frozen. Edits now require a new version.' Title 'NTC-UAT-STUDY-01-2026 · version 2', badge 'Published'; 'Recipients' now names CIT and SE.</t>
        </is>
      </c>
      <c r="F395" s="16" t="n"/>
      <c r="G395" s="16" t="n"/>
    </row>
    <row r="396">
      <c r="A396" s="10" t="inlineStr">
        <is>
          <t>PRJ-16</t>
        </is>
      </c>
      <c r="B396" s="11" t="inlineStr">
        <is>
          <t>A correction after publication is made as a new notice version, which supersedes the old one</t>
        </is>
      </c>
      <c r="C396" s="11" t="n">
        <v>8</v>
      </c>
      <c r="D396" s="11" t="inlineStr">
        <is>
          <t>Return to the project (breadcrumb 'UAT Study 01') and look at the 'Notices' card.</t>
        </is>
      </c>
      <c r="E396" s="11" t="inlineStr">
        <is>
          <t>v2 shows 'Published'; v1 shows 'Superseded' - only one notice on the project is ever 'Published'. Opening v1 still shows its original frozen text.</t>
        </is>
      </c>
      <c r="F396" s="16" t="n"/>
      <c r="G396" s="16" t="n"/>
    </row>
    <row r="397">
      <c r="A397" s="10" t="inlineStr">
        <is>
          <t>PRJ-17</t>
        </is>
      </c>
      <c r="B397" s="11" t="inlineStr">
        <is>
          <t>A consent link cannot be created without a future expiry</t>
        </is>
      </c>
      <c r="C397" s="11" t="n">
        <v>1</v>
      </c>
      <c r="D397" s="11" t="inlineStr">
        <is>
          <t>Click 'Collection sites' in the sidebar.</t>
        </is>
      </c>
      <c r="E397" s="11" t="inlineStr">
        <is>
          <t>The list shows 'CIT' for project 'UAT Study 01'. The 'SE' site of UAT Study 01 is NOT listed for the DCO.</t>
        </is>
      </c>
      <c r="F397" s="16" t="n"/>
      <c r="G397" s="16" t="n"/>
    </row>
    <row r="398">
      <c r="A398" s="10" t="inlineStr">
        <is>
          <t>PRJ-17</t>
        </is>
      </c>
      <c r="B398" s="11" t="inlineStr">
        <is>
          <t>A consent link cannot be created without a future expiry</t>
        </is>
      </c>
      <c r="C398" s="11" t="n">
        <v>2</v>
      </c>
      <c r="D398" s="11" t="inlineStr">
        <is>
          <t>Click 'UAT Study 01' on the CIT row.</t>
        </is>
      </c>
      <c r="E398" s="11" t="inlineStr">
        <is>
          <t>The project page opens. The CIT site row shows a 'Create link' button.</t>
        </is>
      </c>
      <c r="F398" s="16" t="n"/>
      <c r="G398" s="16" t="n"/>
    </row>
    <row r="399">
      <c r="A399" s="10" t="inlineStr">
        <is>
          <t>PRJ-17</t>
        </is>
      </c>
      <c r="B399" s="11" t="inlineStr">
        <is>
          <t>A consent link cannot be created without a future expiry</t>
        </is>
      </c>
      <c r="C399" s="11" t="n">
        <v>3</v>
      </c>
      <c r="D399" s="11" t="inlineStr">
        <is>
          <t>Click 'Create link'.</t>
        </is>
      </c>
      <c r="E399" s="11" t="inlineStr">
        <is>
          <t>Dialog 'Consent link for CIT' opens: 'The token is shown once and cannot be retrieved again.' Fields 'Expires at' (required; hint 'Required, with no default and no maximum...'), 'Maximum uses', 'Field agent reference'. 'Expires at' is empty - there is no default.</t>
        </is>
      </c>
      <c r="F399" s="16" t="n"/>
      <c r="G399" s="16" t="n"/>
    </row>
    <row r="400">
      <c r="A400" s="10" t="inlineStr">
        <is>
          <t>PRJ-17</t>
        </is>
      </c>
      <c r="B400" s="11" t="inlineStr">
        <is>
          <t>A consent link cannot be created without a future expiry</t>
        </is>
      </c>
      <c r="C400" s="11" t="n">
        <v>4</v>
      </c>
      <c r="D400" s="11" t="inlineStr">
        <is>
          <t>Leave 'Expires at' empty and click 'Create link'.</t>
        </is>
      </c>
      <c r="E400" s="11" t="inlineStr">
        <is>
          <t>The dialog stays open with 'The expiry is required' under 'Expires at'. No link is created.</t>
        </is>
      </c>
      <c r="F400" s="16" t="n"/>
      <c r="G400" s="16" t="n"/>
    </row>
    <row r="401">
      <c r="A401" s="10" t="inlineStr">
        <is>
          <t>PRJ-17</t>
        </is>
      </c>
      <c r="B401" s="11" t="inlineStr">
        <is>
          <t>A consent link cannot be created without a future expiry</t>
        </is>
      </c>
      <c r="C401" s="11" t="n">
        <v>5</v>
      </c>
      <c r="D401" s="11" t="inlineStr">
        <is>
          <t>Set 'Expires at' to yesterday and click 'Create link'.</t>
        </is>
      </c>
      <c r="E401" s="11" t="inlineStr">
        <is>
          <t>'The expiry has to be in the future' is shown. No link is created.</t>
        </is>
      </c>
      <c r="F401" s="16" t="n"/>
      <c r="G401" s="16" t="n"/>
    </row>
    <row r="402">
      <c r="A402" s="10" t="inlineStr">
        <is>
          <t>PRJ-17</t>
        </is>
      </c>
      <c r="B402" s="11" t="inlineStr">
        <is>
          <t>A consent link cannot be created without a future expiry</t>
        </is>
      </c>
      <c r="C402" s="11" t="n">
        <v>6</v>
      </c>
      <c r="D402" s="11" t="inlineStr">
        <is>
          <t>Set 'Expires at' to 7 days ahead, enter 0 in 'Maximum uses' and click 'Create link'.</t>
        </is>
      </c>
      <c r="E402" s="11" t="inlineStr">
        <is>
          <t>'A link that can be used zero times is not worth minting' is shown under 'Maximum uses'.</t>
        </is>
      </c>
      <c r="F402" s="16" t="n"/>
      <c r="G402" s="16" t="n"/>
    </row>
    <row r="403">
      <c r="A403" s="10" t="inlineStr">
        <is>
          <t>PRJ-17</t>
        </is>
      </c>
      <c r="B403" s="11" t="inlineStr">
        <is>
          <t>A consent link cannot be created without a future expiry</t>
        </is>
      </c>
      <c r="C403" s="11" t="n">
        <v>7</v>
      </c>
      <c r="D403" s="11" t="inlineStr">
        <is>
          <t>Click 'Cancel'.</t>
        </is>
      </c>
      <c r="E403" s="11" t="inlineStr">
        <is>
          <t>The dialog closes; the CIT row still shows 'Create link' and no active link count.</t>
        </is>
      </c>
      <c r="F403" s="16" t="n"/>
      <c r="G403" s="16" t="n"/>
    </row>
    <row r="404">
      <c r="A404" s="10" t="inlineStr">
        <is>
          <t>PRJ-18</t>
        </is>
      </c>
      <c r="B404" s="11" t="inlineStr">
        <is>
          <t>DCO creates a consent link for the site, copies it, and it opens on the portal</t>
        </is>
      </c>
      <c r="C404" s="11" t="n">
        <v>1</v>
      </c>
      <c r="D404" s="11" t="inlineStr">
        <is>
          <t>On project 'UAT Study 01' click 'Create link' on the CIT row.</t>
        </is>
      </c>
      <c r="E404" s="11" t="inlineStr">
        <is>
          <t>Dialog 'Consent link for CIT' opens.</t>
        </is>
      </c>
      <c r="F404" s="16" t="n"/>
      <c r="G404" s="16" t="n"/>
    </row>
    <row r="405">
      <c r="A405" s="10" t="inlineStr">
        <is>
          <t>PRJ-18</t>
        </is>
      </c>
      <c r="B405" s="11" t="inlineStr">
        <is>
          <t>DCO creates a consent link for the site, copies it, and it opens on the portal</t>
        </is>
      </c>
      <c r="C405" s="11" t="n">
        <v>2</v>
      </c>
      <c r="D405" s="11" t="inlineStr">
        <is>
          <t>Fill in the test data and click 'Create link'.</t>
        </is>
      </c>
      <c r="E405" s="11" t="inlineStr">
        <is>
          <t>Toast 'Consent link created'. The dialog now shows a yellow box titled 'Copy this now' and the full URL.</t>
        </is>
      </c>
      <c r="F405" s="16" t="n"/>
      <c r="G405" s="16" t="n"/>
    </row>
    <row r="406">
      <c r="A406" s="10" t="inlineStr">
        <is>
          <t>PRJ-18</t>
        </is>
      </c>
      <c r="B406" s="11" t="inlineStr">
        <is>
          <t>DCO creates a consent link for the site, copies it, and it opens on the portal</t>
        </is>
      </c>
      <c r="C406" s="11" t="n">
        <v>3</v>
      </c>
      <c r="D406" s="11" t="inlineStr">
        <is>
          <t>Read the URL.</t>
        </is>
      </c>
      <c r="E406" s="11" t="inlineStr">
        <is>
          <t>It begins with the data-principal portal address http://localhost:3001/c/ followed by a long token - NOT http://localhost:3000.</t>
        </is>
      </c>
      <c r="F406" s="16" t="n"/>
      <c r="G406" s="16" t="n"/>
    </row>
    <row r="407">
      <c r="A407" s="10" t="inlineStr">
        <is>
          <t>PRJ-18</t>
        </is>
      </c>
      <c r="B407" s="11" t="inlineStr">
        <is>
          <t>DCO creates a consent link for the site, copies it, and it opens on the portal</t>
        </is>
      </c>
      <c r="C407" s="11" t="n">
        <v>4</v>
      </c>
      <c r="D407" s="11" t="inlineStr">
        <is>
          <t>Click 'Copy link'.</t>
        </is>
      </c>
      <c r="E407" s="11" t="inlineStr">
        <is>
          <t>The button changes to 'Copied' for a moment. Paste into a notepad to confirm the same URL.</t>
        </is>
      </c>
      <c r="F407" s="16" t="n"/>
      <c r="G407" s="16" t="n"/>
    </row>
    <row r="408">
      <c r="A408" s="10" t="inlineStr">
        <is>
          <t>PRJ-18</t>
        </is>
      </c>
      <c r="B408" s="11" t="inlineStr">
        <is>
          <t>DCO creates a consent link for the site, copies it, and it opens on the portal</t>
        </is>
      </c>
      <c r="C408" s="11" t="n">
        <v>5</v>
      </c>
      <c r="D408" s="11" t="inlineStr">
        <is>
          <t>Click 'Done'.</t>
        </is>
      </c>
      <c r="E408" s="11" t="inlineStr">
        <is>
          <t>The dialog closes. The CIT row now shows '1 active link(s)', 'Copy link' and 'Replace link' instead of 'Create link' (refresh the page if the count has not updated).</t>
        </is>
      </c>
      <c r="F408" s="16" t="n"/>
      <c r="G408" s="16" t="n"/>
    </row>
    <row r="409">
      <c r="A409" s="10" t="inlineStr">
        <is>
          <t>PRJ-18</t>
        </is>
      </c>
      <c r="B409" s="11" t="inlineStr">
        <is>
          <t>DCO creates a consent link for the site, copies it, and it opens on the portal</t>
        </is>
      </c>
      <c r="C409" s="11" t="n">
        <v>6</v>
      </c>
      <c r="D409" s="11" t="inlineStr">
        <is>
          <t>Look at the 'Consent links' card on the right.</t>
        </is>
      </c>
      <c r="E409" s="11" t="inlineStr">
        <is>
          <t>A row 'CIT' with the badge 'Active' and '0 of 50 used · expires &lt;date/time&gt;'.</t>
        </is>
      </c>
      <c r="F409" s="16" t="n"/>
      <c r="G409" s="16" t="n"/>
    </row>
    <row r="410">
      <c r="A410" s="10" t="inlineStr">
        <is>
          <t>PRJ-18</t>
        </is>
      </c>
      <c r="B410" s="11" t="inlineStr">
        <is>
          <t>DCO creates a consent link for the site, copies it, and it opens on the portal</t>
        </is>
      </c>
      <c r="C410" s="11" t="n">
        <v>7</v>
      </c>
      <c r="D410" s="11" t="inlineStr">
        <is>
          <t>Click 'Copy link' on the CIT row.</t>
        </is>
      </c>
      <c r="E410" s="11" t="inlineStr">
        <is>
          <t>It shows 'Copied'; the pasted URL is the same one you saved.</t>
        </is>
      </c>
      <c r="F410" s="16" t="n"/>
      <c r="G410" s="16" t="n"/>
    </row>
    <row r="411">
      <c r="A411" s="10" t="inlineStr">
        <is>
          <t>PRJ-18</t>
        </is>
      </c>
      <c r="B411" s="11" t="inlineStr">
        <is>
          <t>DCO creates a consent link for the site, copies it, and it opens on the portal</t>
        </is>
      </c>
      <c r="C411" s="11" t="n">
        <v>8</v>
      </c>
      <c r="D411" s="11" t="inlineStr">
        <is>
          <t>Open the saved URL in a private/incognito browser window.</t>
        </is>
      </c>
      <c r="E411" s="11" t="inlineStr">
        <is>
          <t>The portal opens a consent page with 'UAT Study 01' and 'CIT' in the top banner and the steps 'Your details', 'Confirm', 'The notice', 'Done', asking for a 'Mobile number'. Close the window without continuing.</t>
        </is>
      </c>
      <c r="F411" s="16" t="n"/>
      <c r="G411" s="16" t="n"/>
    </row>
    <row r="412">
      <c r="A412" s="10" t="inlineStr">
        <is>
          <t>PRJ-19</t>
        </is>
      </c>
      <c r="B412" s="11" t="inlineStr">
        <is>
          <t>DCO replaces a consent link; the old URL stops working and the new one works</t>
        </is>
      </c>
      <c r="C412" s="11" t="n">
        <v>1</v>
      </c>
      <c r="D412" s="11" t="inlineStr">
        <is>
          <t>Click 'Consent links' in the sidebar.</t>
        </is>
      </c>
      <c r="E412" s="11" t="inlineStr">
        <is>
          <t>Page 'Consent links' opens with the info box 'The link is a credential' and a table with Site, Project, Status, Uses, Registrations, Expires, Actions.</t>
        </is>
      </c>
      <c r="F412" s="16" t="n"/>
      <c r="G412" s="16" t="n"/>
    </row>
    <row r="413">
      <c r="A413" s="10" t="inlineStr">
        <is>
          <t>PRJ-19</t>
        </is>
      </c>
      <c r="B413" s="11" t="inlineStr">
        <is>
          <t>DCO replaces a consent link; the old URL stops working and the new one works</t>
        </is>
      </c>
      <c r="C413" s="11" t="n">
        <v>2</v>
      </c>
      <c r="D413" s="11" t="inlineStr">
        <is>
          <t>Set the 'Status' filter to 'Active' and find the CIT row for UAT Study 01.</t>
        </is>
      </c>
      <c r="E413" s="11" t="inlineStr">
        <is>
          <t>The row shows 'Active', 'Copy link', 'Replace' and 'Revoke'.</t>
        </is>
      </c>
      <c r="F413" s="16" t="n"/>
      <c r="G413" s="16" t="n"/>
    </row>
    <row r="414">
      <c r="A414" s="10" t="inlineStr">
        <is>
          <t>PRJ-19</t>
        </is>
      </c>
      <c r="B414" s="11" t="inlineStr">
        <is>
          <t>DCO replaces a consent link; the old URL stops working and the new one works</t>
        </is>
      </c>
      <c r="C414" s="11" t="n">
        <v>3</v>
      </c>
      <c r="D414" s="11" t="inlineStr">
        <is>
          <t>Click 'Replace' on that row.</t>
        </is>
      </c>
      <c r="E414" s="11" t="inlineStr">
        <is>
          <t>Dialog 'Replace the link for CIT?' opens: 'The old link stops working immediately. The new URL is shown once.', a yellow box 'This revokes the current link', Site/Expires/Uses, and 'The replacement inherits the same expiry and use limit...'. Buttons 'Cancel' and 'Revoke and replace'.</t>
        </is>
      </c>
      <c r="F414" s="16" t="n"/>
      <c r="G414" s="16" t="n"/>
    </row>
    <row r="415">
      <c r="A415" s="10" t="inlineStr">
        <is>
          <t>PRJ-19</t>
        </is>
      </c>
      <c r="B415" s="11" t="inlineStr">
        <is>
          <t>DCO replaces a consent link; the old URL stops working and the new one works</t>
        </is>
      </c>
      <c r="C415" s="11" t="n">
        <v>4</v>
      </c>
      <c r="D415" s="11" t="inlineStr">
        <is>
          <t>Click 'Revoke and replace'.</t>
        </is>
      </c>
      <c r="E415" s="11" t="inlineStr">
        <is>
          <t>The dialog changes to 'Copy this now' with a yellow box 'This is the only time you will see this' and the new URL (starting http://localhost:3001/c/).</t>
        </is>
      </c>
      <c r="F415" s="16" t="n"/>
      <c r="G415" s="16" t="n"/>
    </row>
    <row r="416">
      <c r="A416" s="10" t="inlineStr">
        <is>
          <t>PRJ-19</t>
        </is>
      </c>
      <c r="B416" s="11" t="inlineStr">
        <is>
          <t>DCO replaces a consent link; the old URL stops working and the new one works</t>
        </is>
      </c>
      <c r="C416" s="11" t="n">
        <v>5</v>
      </c>
      <c r="D416" s="11" t="inlineStr">
        <is>
          <t>Click 'Copy link', save it as 'new URL', then click 'I have copied it'.</t>
        </is>
      </c>
      <c r="E416" s="11" t="inlineStr">
        <is>
          <t>The dialog closes.</t>
        </is>
      </c>
      <c r="F416" s="16" t="n"/>
      <c r="G416" s="16" t="n"/>
    </row>
    <row r="417">
      <c r="A417" s="10" t="inlineStr">
        <is>
          <t>PRJ-19</t>
        </is>
      </c>
      <c r="B417" s="11" t="inlineStr">
        <is>
          <t>DCO replaces a consent link; the old URL stops working and the new one works</t>
        </is>
      </c>
      <c r="C417" s="11" t="n">
        <v>6</v>
      </c>
      <c r="D417" s="11" t="inlineStr">
        <is>
          <t>Set 'Status' to 'All statuses' and look at the CIT rows.</t>
        </is>
      </c>
      <c r="E417" s="11" t="inlineStr">
        <is>
          <t>The old link shows 'Revoked' (with 'New link' offered instead of Replace); a new link shows 'Active' with the same expiry and use limit.</t>
        </is>
      </c>
      <c r="F417" s="16" t="n"/>
      <c r="G417" s="16" t="n"/>
    </row>
    <row r="418">
      <c r="A418" s="10" t="inlineStr">
        <is>
          <t>PRJ-19</t>
        </is>
      </c>
      <c r="B418" s="11" t="inlineStr">
        <is>
          <t>DCO replaces a consent link; the old URL stops working and the new one works</t>
        </is>
      </c>
      <c r="C418" s="11" t="n">
        <v>7</v>
      </c>
      <c r="D418" s="11" t="inlineStr">
        <is>
          <t>Open the old URL in a private window.</t>
        </is>
      </c>
      <c r="E418" s="11" t="inlineStr">
        <is>
          <t>The portal shows 'This link is not valid' and 'It may have expired, been withdrawn, or been mistyped. Please ask the person who gave it to you for a current one.' No project or notice details are shown.</t>
        </is>
      </c>
      <c r="F418" s="16" t="n"/>
      <c r="G418" s="16" t="n"/>
    </row>
    <row r="419">
      <c r="A419" s="10" t="inlineStr">
        <is>
          <t>PRJ-19</t>
        </is>
      </c>
      <c r="B419" s="11" t="inlineStr">
        <is>
          <t>DCO replaces a consent link; the old URL stops working and the new one works</t>
        </is>
      </c>
      <c r="C419" s="11" t="n">
        <v>8</v>
      </c>
      <c r="D419" s="11" t="inlineStr">
        <is>
          <t>Open the new URL in a private window.</t>
        </is>
      </c>
      <c r="E419" s="11" t="inlineStr">
        <is>
          <t>The consent page for 'UAT Study 01' / 'CIT' opens at 'Your details'.</t>
        </is>
      </c>
      <c r="F419" s="16" t="n"/>
      <c r="G419" s="16" t="n"/>
    </row>
    <row r="420">
      <c r="A420" s="10" t="inlineStr">
        <is>
          <t>PRJ-20</t>
        </is>
      </c>
      <c r="B420" s="11" t="inlineStr">
        <is>
          <t>A revoked consent link shows 'This link is not valid' on the portal</t>
        </is>
      </c>
      <c r="C420" s="11" t="n">
        <v>1</v>
      </c>
      <c r="D420" s="11" t="inlineStr">
        <is>
          <t>Open 'Collection sites', click 'UAT Study 01' on the SE row, and click 'Create link' on SE.</t>
        </is>
      </c>
      <c r="E420" s="11" t="inlineStr">
        <is>
          <t>Dialog 'Consent link for SE' opens.</t>
        </is>
      </c>
      <c r="F420" s="16" t="n"/>
      <c r="G420" s="16" t="n"/>
    </row>
    <row r="421">
      <c r="A421" s="10" t="inlineStr">
        <is>
          <t>PRJ-20</t>
        </is>
      </c>
      <c r="B421" s="11" t="inlineStr">
        <is>
          <t>A revoked consent link shows 'This link is not valid' on the portal</t>
        </is>
      </c>
      <c r="C421" s="11" t="n">
        <v>2</v>
      </c>
      <c r="D421" s="11" t="inlineStr">
        <is>
          <t>Set 'Expires at' and click 'Create link'. Copy the URL, then click 'Done'.</t>
        </is>
      </c>
      <c r="E421" s="11" t="inlineStr">
        <is>
          <t>Toast 'Consent link created'; the URL starts http://localhost:3001/c/. The SE row shows 'Copy link' and 'Replace link'.</t>
        </is>
      </c>
      <c r="F421" s="16" t="n"/>
      <c r="G421" s="16" t="n"/>
    </row>
    <row r="422">
      <c r="A422" s="10" t="inlineStr">
        <is>
          <t>PRJ-20</t>
        </is>
      </c>
      <c r="B422" s="11" t="inlineStr">
        <is>
          <t>A revoked consent link shows 'This link is not valid' on the portal</t>
        </is>
      </c>
      <c r="C422" s="11" t="n">
        <v>3</v>
      </c>
      <c r="D422" s="11" t="inlineStr">
        <is>
          <t>Open the URL in a private window.</t>
        </is>
      </c>
      <c r="E422" s="11" t="inlineStr">
        <is>
          <t>The consent page for 'UAT Study 01' / 'SE' opens. Close it.</t>
        </is>
      </c>
      <c r="F422" s="16" t="n"/>
      <c r="G422" s="16" t="n"/>
    </row>
    <row r="423">
      <c r="A423" s="10" t="inlineStr">
        <is>
          <t>PRJ-20</t>
        </is>
      </c>
      <c r="B423" s="11" t="inlineStr">
        <is>
          <t>A revoked consent link shows 'This link is not valid' on the portal</t>
        </is>
      </c>
      <c r="C423" s="11" t="n">
        <v>4</v>
      </c>
      <c r="D423" s="11" t="inlineStr">
        <is>
          <t>Click 'Consent links' in the sidebar and find the SE row for UAT Study 01.</t>
        </is>
      </c>
      <c r="E423" s="11" t="inlineStr">
        <is>
          <t>The row shows 'Active' with 'Copy link', 'Replace' and 'Revoke'. Meera does not see the CIT link of UAT Study 01.</t>
        </is>
      </c>
      <c r="F423" s="16" t="n"/>
      <c r="G423" s="16" t="n"/>
    </row>
    <row r="424">
      <c r="A424" s="10" t="inlineStr">
        <is>
          <t>PRJ-20</t>
        </is>
      </c>
      <c r="B424" s="11" t="inlineStr">
        <is>
          <t>A revoked consent link shows 'This link is not valid' on the portal</t>
        </is>
      </c>
      <c r="C424" s="11" t="n">
        <v>5</v>
      </c>
      <c r="D424" s="11" t="inlineStr">
        <is>
          <t>Click 'Revoke'.</t>
        </is>
      </c>
      <c r="E424" s="11" t="inlineStr">
        <is>
          <t>Toast 'Link revoked' says 'SE no longer resolves for anyone holding it.' The status changes to 'Revoked'; 'Copy link', 'Replace' and 'Revoke' disappear and 'New link' is offered.</t>
        </is>
      </c>
      <c r="F424" s="16" t="n"/>
      <c r="G424" s="16" t="n"/>
    </row>
    <row r="425">
      <c r="A425" s="10" t="inlineStr">
        <is>
          <t>PRJ-20</t>
        </is>
      </c>
      <c r="B425" s="11" t="inlineStr">
        <is>
          <t>A revoked consent link shows 'This link is not valid' on the portal</t>
        </is>
      </c>
      <c r="C425" s="11" t="n">
        <v>6</v>
      </c>
      <c r="D425" s="11" t="inlineStr">
        <is>
          <t>Open the same URL again in a private window.</t>
        </is>
      </c>
      <c r="E425" s="11" t="inlineStr">
        <is>
          <t>The portal shows only 'This link is not valid' with 'It may have expired, been withdrawn, or been mistyped...'. It does not say the link was revoked and shows no project or notice.</t>
        </is>
      </c>
      <c r="F425" s="16" t="n"/>
      <c r="G425" s="16" t="n"/>
    </row>
    <row r="426">
      <c r="A426" s="10" t="inlineStr">
        <is>
          <t>PRJ-21</t>
        </is>
      </c>
      <c r="B426" s="11" t="inlineStr">
        <is>
          <t>An expired consent link shows 'This link is not valid' on the portal</t>
        </is>
      </c>
      <c r="C426" s="11" t="n">
        <v>1</v>
      </c>
      <c r="D426" s="11" t="inlineStr">
        <is>
          <t>On 'Consent links', click 'New link' on the revoked SE row.</t>
        </is>
      </c>
      <c r="E426" s="11" t="inlineStr">
        <is>
          <t>Dialog 'New link for SE' opens: 'The URL is shown once and then only its digest is kept. Copy it before closing.'</t>
        </is>
      </c>
      <c r="F426" s="16" t="n"/>
      <c r="G426" s="16" t="n"/>
    </row>
    <row r="427">
      <c r="A427" s="10" t="inlineStr">
        <is>
          <t>PRJ-21</t>
        </is>
      </c>
      <c r="B427" s="11" t="inlineStr">
        <is>
          <t>An expired consent link shows 'This link is not valid' on the portal</t>
        </is>
      </c>
      <c r="C427" s="11" t="n">
        <v>2</v>
      </c>
      <c r="D427" s="11" t="inlineStr">
        <is>
          <t>Set 'Expires at' to about 3 minutes from now and click 'Create link'.</t>
        </is>
      </c>
      <c r="E427" s="11" t="inlineStr">
        <is>
          <t>Toast 'Consent link created' and the URL is shown under 'Copy this now'.</t>
        </is>
      </c>
      <c r="F427" s="16" t="n"/>
      <c r="G427" s="16" t="n"/>
    </row>
    <row r="428">
      <c r="A428" s="10" t="inlineStr">
        <is>
          <t>PRJ-21</t>
        </is>
      </c>
      <c r="B428" s="11" t="inlineStr">
        <is>
          <t>An expired consent link shows 'This link is not valid' on the portal</t>
        </is>
      </c>
      <c r="C428" s="11" t="n">
        <v>3</v>
      </c>
      <c r="D428" s="11" t="inlineStr">
        <is>
          <t>Click 'Copy link', save the URL, click 'Done', and open the URL in a private window straight away.</t>
        </is>
      </c>
      <c r="E428" s="11" t="inlineStr">
        <is>
          <t>Before the expiry time, the consent page for 'UAT Study 01' / 'SE' opens. Close it.</t>
        </is>
      </c>
      <c r="F428" s="16" t="n"/>
      <c r="G428" s="16" t="n"/>
    </row>
    <row r="429">
      <c r="A429" s="10" t="inlineStr">
        <is>
          <t>PRJ-21</t>
        </is>
      </c>
      <c r="B429" s="11" t="inlineStr">
        <is>
          <t>An expired consent link shows 'This link is not valid' on the portal</t>
        </is>
      </c>
      <c r="C429" s="11" t="n">
        <v>4</v>
      </c>
      <c r="D429" s="11" t="inlineStr">
        <is>
          <t>Wait until the expiry time has passed (about 4 minutes), then open the same URL again.</t>
        </is>
      </c>
      <c r="E429" s="11" t="inlineStr">
        <is>
          <t>The portal shows 'This link is not valid' with 'It may have expired, been withdrawn, or been mistyped...'. It does not say it expired.</t>
        </is>
      </c>
      <c r="F429" s="16" t="n"/>
      <c r="G429" s="16" t="n"/>
    </row>
    <row r="430">
      <c r="A430" s="10" t="inlineStr">
        <is>
          <t>PRJ-21</t>
        </is>
      </c>
      <c r="B430" s="11" t="inlineStr">
        <is>
          <t>An expired consent link shows 'This link is not valid' on the portal</t>
        </is>
      </c>
      <c r="C430" s="11" t="n">
        <v>5</v>
      </c>
      <c r="D430" s="11" t="inlineStr">
        <is>
          <t>Back in the console, refresh 'Consent links'.</t>
        </is>
      </c>
      <c r="E430" s="11" t="inlineStr">
        <is>
          <t>The link row's 'Expires' time is in the past. Its status turns to 'Expired' when the platform's periodic clean-up runs (every 15 minutes where scheduled); until then it may still read 'Active' - that is not a failure, the portal already refuses it.</t>
        </is>
      </c>
      <c r="F430" s="16" t="n"/>
      <c r="G430" s="16" t="n"/>
    </row>
    <row r="431">
      <c r="A431" s="10" t="inlineStr">
        <is>
          <t>PRJ-22</t>
        </is>
      </c>
      <c r="B431" s="11" t="inlineStr">
        <is>
          <t>Publishing a replacement notice under a new code keeps one notice in force, and the consent links follow it</t>
        </is>
      </c>
      <c r="C431" s="11" t="n">
        <v>1</v>
      </c>
      <c r="D431" s="11" t="inlineStr">
        <is>
          <t>Open project 'UAT Study 01'. In the header click 'Copy an existing notice', choose 'NTC-GAIT-2026 v1 — Gait Identification Study 2026' and click 'Copy into this project'.</t>
        </is>
      </c>
      <c r="E431" s="11" t="inlineStr">
        <is>
          <t>A toast 'Copied into NTC-UAT-STUDY-01-2026-2' (the code may end differently) says it is a fresh draft. The 'Notices' card now lists it as 'Draft' beside v2 'Published'.</t>
        </is>
      </c>
      <c r="F431" s="16" t="n"/>
      <c r="G431" s="16" t="n"/>
    </row>
    <row r="432">
      <c r="A432" s="10" t="inlineStr">
        <is>
          <t>PRJ-22</t>
        </is>
      </c>
      <c r="B432" s="11" t="inlineStr">
        <is>
          <t>Publishing a replacement notice under a new code keeps one notice in force, and the consent links follow it</t>
        </is>
      </c>
      <c r="C432" s="11" t="n">
        <v>2</v>
      </c>
      <c r="D432" s="11" t="inlineStr">
        <is>
          <t>Open the new notice. In 'Legal approval, per language' click 'Approve' on each language row.</t>
        </is>
      </c>
      <c r="E432" s="11" t="inlineStr">
        <is>
          <t>Each row shows 'Approved'. The 'Publication checklist' reads 'This notice is complete and ready to publish.'</t>
        </is>
      </c>
      <c r="F432" s="16" t="n"/>
      <c r="G432" s="16" t="n"/>
    </row>
    <row r="433">
      <c r="A433" s="10" t="inlineStr">
        <is>
          <t>PRJ-22</t>
        </is>
      </c>
      <c r="B433" s="11" t="inlineStr">
        <is>
          <t>Publishing a replacement notice under a new code keeps one notice in force, and the consent links follow it</t>
        </is>
      </c>
      <c r="C433" s="11" t="n">
        <v>3</v>
      </c>
      <c r="D433" s="11" t="inlineStr">
        <is>
          <t>Click 'Publish this notice', then 'Publish and freeze'.</t>
        </is>
      </c>
      <c r="E433" s="11" t="inlineStr">
        <is>
          <t>Toast 'Notice published'. The notice's badge reads 'Published'.</t>
        </is>
      </c>
      <c r="F433" s="16" t="n"/>
      <c r="G433" s="16" t="n"/>
    </row>
    <row r="434">
      <c r="A434" s="10" t="inlineStr">
        <is>
          <t>PRJ-22</t>
        </is>
      </c>
      <c r="B434" s="11" t="inlineStr">
        <is>
          <t>Publishing a replacement notice under a new code keeps one notice in force, and the consent links follow it</t>
        </is>
      </c>
      <c r="C434" s="11" t="n">
        <v>4</v>
      </c>
      <c r="D434" s="11" t="inlineStr">
        <is>
          <t>Return to the project and look at the 'Notices' card.</t>
        </is>
      </c>
      <c r="E434" s="11" t="inlineStr">
        <is>
          <t>The new notice shows 'Published'. NTC-UAT-STUDY-01-2026 v2 now shows 'Superseded', and v1 'Superseded'. Only one notice on the project is 'Published'.</t>
        </is>
      </c>
      <c r="F434" s="16" t="n"/>
      <c r="G434" s="16" t="n"/>
    </row>
    <row r="435">
      <c r="A435" s="10" t="inlineStr">
        <is>
          <t>PRJ-22</t>
        </is>
      </c>
      <c r="B435" s="11" t="inlineStr">
        <is>
          <t>Publishing a replacement notice under a new code keeps one notice in force, and the consent links follow it</t>
        </is>
      </c>
      <c r="C435" s="11" t="n">
        <v>5</v>
      </c>
      <c r="D435" s="11" t="inlineStr">
        <is>
          <t>In a private window open the CIT 'new URL' saved in PRJ-19. Send a code to +91 90000 00001, type the relayed code and click 'Verify and continue'.</t>
        </is>
      </c>
      <c r="E435" s="11" t="inlineStr">
        <is>
          <t>The link still works - it is not 'This link is not valid'. The notice shown is the new one's wording (the Gait notice, starting 'NOTICE UNDER SECTION 5'), not v2's. Close the window without recording a choice.</t>
        </is>
      </c>
      <c r="F435" s="16" t="n"/>
      <c r="G435" s="16" t="n"/>
    </row>
    <row r="436">
      <c r="A436" s="10" t="inlineStr">
        <is>
          <t>PRJ-22</t>
        </is>
      </c>
      <c r="B436" s="11" t="inlineStr">
        <is>
          <t>Publishing a replacement notice under a new code keeps one notice in force, and the consent links follow it</t>
        </is>
      </c>
      <c r="C436" s="11" t="n">
        <v>6</v>
      </c>
      <c r="D436" s="11" t="inlineStr">
        <is>
          <t>Back in the console, on 'UAT Study 01' click 'New notice', then 'Set the code myself', type NTC-GAIT-2026 in 'Notice code', fill the other required fields and click 'Create notice'.</t>
        </is>
      </c>
      <c r="E436" s="11" t="inlineStr">
        <is>
          <t>The notice is not created. Under 'Notice code' a message reads 'NTC-GAIT-2026 is another project's notice code. Leave the code empty to have one generated, or use this project's own.' Close the dialog.</t>
        </is>
      </c>
      <c r="F436" s="16" t="n"/>
      <c r="G436" s="16" t="n"/>
    </row>
    <row r="437">
      <c r="A437" s="10" t="inlineStr">
        <is>
          <t>CON-01</t>
        </is>
      </c>
      <c r="B437" s="11" t="inlineStr">
        <is>
          <t>A registered data principal gives consent through the link using her mobile</t>
        </is>
      </c>
      <c r="C437" s="11" t="n">
        <v>1</v>
      </c>
      <c r="D437" s="11" t="inlineStr">
        <is>
          <t>Open the CIT consent link.</t>
        </is>
      </c>
      <c r="E437" s="11" t="inlineStr">
        <is>
          <t>The page opens with a coloured banner showing 'Gait Identification Study 2026' and 'CIT'. A step bar shows 'Your details', 'Confirm', 'The notice', 'Done' with 'Your details' current. A card 'Your details' says 'Confirm your mobile number or email to read the notice and make your choices.' Because this notice is in more than one language, a 'Read the notice in' drop-down showing 'English' is above 'Send my code to'.</t>
        </is>
      </c>
      <c r="F437" s="16" t="n"/>
      <c r="G437" s="16" t="n"/>
    </row>
    <row r="438">
      <c r="A438" s="10" t="inlineStr">
        <is>
          <t>CON-01</t>
        </is>
      </c>
      <c r="B438" s="11" t="inlineStr">
        <is>
          <t>A registered data principal gives consent through the link using her mobile</t>
        </is>
      </c>
      <c r="C438" s="11" t="n">
        <v>2</v>
      </c>
      <c r="D438" s="11" t="inlineStr">
        <is>
          <t>Look at the form before typing anything.</t>
        </is>
      </c>
      <c r="E438" s="11" t="inlineStr">
        <is>
          <t>Under 'Send my code to' the 'Mobile' option is already selected ('Email' is the other option). There is ONE box, 'Mobile number', with the hint 'The one your account is registered with.' There is no box for a name, date of birth or a second contact. 'Send the code' is greyed out. Below it: 'No account yet? Create one — it takes a minute, and this page will be waiting when you come back.'</t>
        </is>
      </c>
      <c r="F438" s="16" t="n"/>
      <c r="G438" s="16" t="n"/>
    </row>
    <row r="439">
      <c r="A439" s="10" t="inlineStr">
        <is>
          <t>CON-01</t>
        </is>
      </c>
      <c r="B439" s="11" t="inlineStr">
        <is>
          <t>A registered data principal gives consent through the link using her mobile</t>
        </is>
      </c>
      <c r="C439" s="11" t="n">
        <v>3</v>
      </c>
      <c r="D439" s="11" t="inlineStr">
        <is>
          <t>Type +91 90000 00001 in 'Mobile number' and click 'Send the code'.</t>
        </is>
      </c>
      <c r="E439" s="11" t="inlineStr">
        <is>
          <t>The card changes to 'Confirm your mobile': 'We have sent a six-digit code to +91 90000 00001. It expires in ten minutes.' Below the code box are 'Send a new code' and 'Use a different contact'. The step bar moves to 'Confirm'.</t>
        </is>
      </c>
      <c r="F439" s="16" t="n"/>
      <c r="G439" s="16" t="n"/>
    </row>
    <row r="440">
      <c r="A440" s="10" t="inlineStr">
        <is>
          <t>CON-01</t>
        </is>
      </c>
      <c r="B440" s="11" t="inlineStr">
        <is>
          <t>A registered data principal gives consent through the link using her mobile</t>
        </is>
      </c>
      <c r="C440" s="11" t="n">
        <v>4</v>
      </c>
      <c r="D440" s="11" t="inlineStr">
        <is>
          <t>Type only five digits in 'Six-digit code'.</t>
        </is>
      </c>
      <c r="E440" s="11" t="inlineStr">
        <is>
          <t>The box accepts digits only, and 'Verify and continue' stays greyed out.</t>
        </is>
      </c>
      <c r="F440" s="16" t="n"/>
      <c r="G440" s="16" t="n"/>
    </row>
    <row r="441">
      <c r="A441" s="10" t="inlineStr">
        <is>
          <t>CON-01</t>
        </is>
      </c>
      <c r="B441" s="11" t="inlineStr">
        <is>
          <t>A registered data principal gives consent through the link using her mobile</t>
        </is>
      </c>
      <c r="C441" s="11" t="n">
        <v>5</v>
      </c>
      <c r="D441" s="11" t="inlineStr">
        <is>
          <t>Complete the code with the one the coordinator relays and click 'Verify and continue'.</t>
        </is>
      </c>
      <c r="E441" s="11" t="inlineStr">
        <is>
          <t>No date-of-birth question appears (Anjali already gave one). The step bar moves to 'The notice'. A 'Read this in' dropdown shows 'English'. A card 'The notice' shows the notice text (starting 'NOTICE UNDER SECTION 5, DIGITAL PERSONAL DATA PROTECTION ACT 2023'), then 'Data Protection Officer:', 'Who else sees your data:', the links 'Exercise your rights', 'Withdraw consent', 'Complain to the Data Protection Board', and 'Version 1 · content hash …'.</t>
        </is>
      </c>
      <c r="F441" s="16" t="n"/>
      <c r="G441" s="16" t="n"/>
    </row>
    <row r="442">
      <c r="A442" s="10" t="inlineStr">
        <is>
          <t>CON-01</t>
        </is>
      </c>
      <c r="B442" s="11" t="inlineStr">
        <is>
          <t>A registered data principal gives consent through the link using her mobile</t>
        </is>
      </c>
      <c r="C442" s="11" t="n">
        <v>6</v>
      </c>
      <c r="D442" s="11" t="inlineStr">
        <is>
          <t>Scroll to the card 'What are you agreeing to?'.</t>
        </is>
      </c>
      <c r="E442" s="11" t="inlineStr">
        <is>
          <t>Two purposes are listed: 'Gait model training' and 'Recording quality assurance'. Each shows a description, 'What this allows:', 'Data collected:' and 'Kept for:', and two buttons of the same size, 'I agree' and 'I do not agree'. NEITHER button is selected on either purpose. 'Record my choices' is greyed out and the line 'Answer every purpose above, or decline the whole notice.' is shown. 'Decline everything' is active and the same size as 'Record my choices'.</t>
        </is>
      </c>
      <c r="F442" s="16" t="n"/>
      <c r="G442" s="16" t="n"/>
    </row>
    <row r="443">
      <c r="A443" s="10" t="inlineStr">
        <is>
          <t>CON-01</t>
        </is>
      </c>
      <c r="B443" s="11" t="inlineStr">
        <is>
          <t>A registered data principal gives consent through the link using her mobile</t>
        </is>
      </c>
      <c r="C443" s="11" t="n">
        <v>7</v>
      </c>
      <c r="D443" s="11" t="inlineStr">
        <is>
          <t>Click 'I agree' on 'Gait model training' only.</t>
        </is>
      </c>
      <c r="E443" s="11" t="inlineStr">
        <is>
          <t>That choice is highlighted. 'Record my choices' is still greyed out and the line 'Answer every purpose above, or decline the whole notice.' is still shown.</t>
        </is>
      </c>
      <c r="F443" s="16" t="n"/>
      <c r="G443" s="16" t="n"/>
    </row>
    <row r="444">
      <c r="A444" s="10" t="inlineStr">
        <is>
          <t>CON-01</t>
        </is>
      </c>
      <c r="B444" s="11" t="inlineStr">
        <is>
          <t>A registered data principal gives consent through the link using her mobile</t>
        </is>
      </c>
      <c r="C444" s="11" t="n">
        <v>8</v>
      </c>
      <c r="D444" s="11" t="inlineStr">
        <is>
          <t>On 'Recording quality assurance' click 'I do not agree', then change your mind and click 'I agree'.</t>
        </is>
      </c>
      <c r="E444" s="11" t="inlineStr">
        <is>
          <t>The highlight moves from 'I do not agree' to 'I agree'. 'Record my choices' becomes active and the 'Answer every purpose above…' line disappears.</t>
        </is>
      </c>
      <c r="F444" s="16" t="n"/>
      <c r="G444" s="16" t="n"/>
    </row>
    <row r="445">
      <c r="A445" s="10" t="inlineStr">
        <is>
          <t>CON-01</t>
        </is>
      </c>
      <c r="B445" s="11" t="inlineStr">
        <is>
          <t>A registered data principal gives consent through the link using her mobile</t>
        </is>
      </c>
      <c r="C445" s="11" t="n">
        <v>9</v>
      </c>
      <c r="D445" s="11" t="inlineStr">
        <is>
          <t>Click 'Record my choices'.</t>
        </is>
      </c>
      <c r="E445" s="11" t="inlineStr">
        <is>
          <t>The step bar moves to 'Done'. A green tick and the heading 'Your choices are recorded' appear, with 'A receipt is on its way to you. You can review or withdraw your consent at any time - withdrawing is as easy as this was.' Below: 'Your reference:' followed by a long code (write it down), and the links 'Review your consents' and 'Your rights'.</t>
        </is>
      </c>
      <c r="F445" s="16" t="n"/>
      <c r="G445" s="16" t="n"/>
    </row>
    <row r="446">
      <c r="A446" s="10" t="inlineStr">
        <is>
          <t>CON-01</t>
        </is>
      </c>
      <c r="B446" s="11" t="inlineStr">
        <is>
          <t>A registered data principal gives consent through the link using her mobile</t>
        </is>
      </c>
      <c r="C446" s="11" t="n">
        <v>10</v>
      </c>
      <c r="D446" s="11" t="inlineStr">
        <is>
          <t>Ask the coordinator to look in the test outbox for +91 90000 00001.</t>
        </is>
      </c>
      <c r="E446" s="11" t="inlineStr">
        <is>
          <t>A receipt message for this consent is in the outbox.</t>
        </is>
      </c>
      <c r="F446" s="16" t="n"/>
      <c r="G446" s="16" t="n"/>
    </row>
    <row r="447">
      <c r="A447" s="10" t="inlineStr">
        <is>
          <t>CON-01</t>
        </is>
      </c>
      <c r="B447" s="11" t="inlineStr">
        <is>
          <t>A registered data principal gives consent through the link using her mobile</t>
        </is>
      </c>
      <c r="C447" s="11" t="n">
        <v>11</v>
      </c>
      <c r="D447" s="11" t="inlineStr">
        <is>
          <t>Click 'Review your consents'.</t>
        </is>
      </c>
      <c r="E447" s="11" t="inlineStr">
        <is>
          <t>The portal page 'My consents' opens, signed in as Anjali, with a card 'Gait Identification Study 2026', status 'Consented' and the line 'You agreed to both purposes.'</t>
        </is>
      </c>
      <c r="F447" s="16" t="n"/>
      <c r="G447" s="16" t="n"/>
    </row>
    <row r="448">
      <c r="A448" s="10" t="inlineStr">
        <is>
          <t>CON-02</t>
        </is>
      </c>
      <c r="B448" s="11" t="inlineStr">
        <is>
          <t>The link never reveals whether a contact is registered, and a wrong code is refused</t>
        </is>
      </c>
      <c r="C448" s="11" t="n">
        <v>1</v>
      </c>
      <c r="D448" s="11" t="inlineStr">
        <is>
          <t>Open the CIT consent link and look at the 'Your details' card.</t>
        </is>
      </c>
      <c r="E448" s="11" t="inlineStr">
        <is>
          <t>The line 'No account yet? Create one — …' is already shown, before anything is typed (it is offered to everybody).</t>
        </is>
      </c>
      <c r="F448" s="16" t="n"/>
      <c r="G448" s="16" t="n"/>
    </row>
    <row r="449">
      <c r="A449" s="10" t="inlineStr">
        <is>
          <t>CON-02</t>
        </is>
      </c>
      <c r="B449" s="11" t="inlineStr">
        <is>
          <t>The link never reveals whether a contact is registered, and a wrong code is refused</t>
        </is>
      </c>
      <c r="C449" s="11" t="n">
        <v>2</v>
      </c>
      <c r="D449" s="11" t="inlineStr">
        <is>
          <t>With 'Mobile' selected, type +91 98100 00002 in 'Mobile number' and click 'Send the code'.</t>
        </is>
      </c>
      <c r="E449" s="11" t="inlineStr">
        <is>
          <t>The card changes to 'Confirm your mobile' with 'We have sent a six-digit code to +91 98100 00002. It expires in ten minutes.' There is NO message saying the number is unknown or not registered.</t>
        </is>
      </c>
      <c r="F449" s="16" t="n"/>
      <c r="G449" s="16" t="n"/>
    </row>
    <row r="450">
      <c r="A450" s="10" t="inlineStr">
        <is>
          <t>CON-02</t>
        </is>
      </c>
      <c r="B450" s="11" t="inlineStr">
        <is>
          <t>The link never reveals whether a contact is registered, and a wrong code is refused</t>
        </is>
      </c>
      <c r="C450" s="11" t="n">
        <v>3</v>
      </c>
      <c r="D450" s="11" t="inlineStr">
        <is>
          <t>Ask the coordinator to check the test outbox for +91 98100 00002.</t>
        </is>
      </c>
      <c r="E450" s="11" t="inlineStr">
        <is>
          <t>No message was sent to that number.</t>
        </is>
      </c>
      <c r="F450" s="16" t="n"/>
      <c r="G450" s="16" t="n"/>
    </row>
    <row r="451">
      <c r="A451" s="10" t="inlineStr">
        <is>
          <t>CON-02</t>
        </is>
      </c>
      <c r="B451" s="11" t="inlineStr">
        <is>
          <t>The link never reveals whether a contact is registered, and a wrong code is refused</t>
        </is>
      </c>
      <c r="C451" s="11" t="n">
        <v>4</v>
      </c>
      <c r="D451" s="11" t="inlineStr">
        <is>
          <t>Type 123456 in 'Six-digit code' and click 'Verify and continue'.</t>
        </is>
      </c>
      <c r="E451" s="11" t="inlineStr">
        <is>
          <t>A red message 'Invalid or expired code' appears. The page stays on 'Confirm your mobile' with the code box; no notice is shown.</t>
        </is>
      </c>
      <c r="F451" s="16" t="n"/>
      <c r="G451" s="16" t="n"/>
    </row>
    <row r="452">
      <c r="A452" s="10" t="inlineStr">
        <is>
          <t>CON-02</t>
        </is>
      </c>
      <c r="B452" s="11" t="inlineStr">
        <is>
          <t>The link never reveals whether a contact is registered, and a wrong code is refused</t>
        </is>
      </c>
      <c r="C452" s="11" t="n">
        <v>5</v>
      </c>
      <c r="D452" s="11" t="inlineStr">
        <is>
          <t>Reload the page. Under 'Send my code to' select 'Email', type tester09@example.org in 'Email address' and click 'Send the code'.</t>
        </is>
      </c>
      <c r="E452" s="11" t="inlineStr">
        <is>
          <t>The card 'Confirm your email' says 'We have sent a six-digit code to tester09@example.org. It expires in ten minutes.' Nothing hints that the address is unknown.</t>
        </is>
      </c>
      <c r="F452" s="16" t="n"/>
      <c r="G452" s="16" t="n"/>
    </row>
    <row r="453">
      <c r="A453" s="10" t="inlineStr">
        <is>
          <t>CON-02</t>
        </is>
      </c>
      <c r="B453" s="11" t="inlineStr">
        <is>
          <t>The link never reveals whether a contact is registered, and a wrong code is refused</t>
        </is>
      </c>
      <c r="C453" s="11" t="n">
        <v>6</v>
      </c>
      <c r="D453" s="11" t="inlineStr">
        <is>
          <t>Reload the page. With 'Mobile' selected type +91 90000 00001 (a registered number) and click 'Send the code'.</t>
        </is>
      </c>
      <c r="E453" s="11" t="inlineStr">
        <is>
          <t>The screen and wording are exactly the same as in step 2; only the number differs. A visitor cannot tell a registered number from an unregistered one.</t>
        </is>
      </c>
      <c r="F453" s="16" t="n"/>
      <c r="G453" s="16" t="n"/>
    </row>
    <row r="454">
      <c r="A454" s="10" t="inlineStr">
        <is>
          <t>CON-02</t>
        </is>
      </c>
      <c r="B454" s="11" t="inlineStr">
        <is>
          <t>The link never reveals whether a contact is registered, and a wrong code is refused</t>
        </is>
      </c>
      <c r="C454" s="11" t="n">
        <v>7</v>
      </c>
      <c r="D454" s="11" t="inlineStr">
        <is>
          <t>Type 123456 (not the code that was sent) and click 'Verify and continue'.</t>
        </is>
      </c>
      <c r="E454" s="11" t="inlineStr">
        <is>
          <t>The red message 'Invalid or expired code' appears and the page stays on the code step.</t>
        </is>
      </c>
      <c r="F454" s="16" t="n"/>
      <c r="G454" s="16" t="n"/>
    </row>
    <row r="455">
      <c r="A455" s="10" t="inlineStr">
        <is>
          <t>CON-02</t>
        </is>
      </c>
      <c r="B455" s="11" t="inlineStr">
        <is>
          <t>The link never reveals whether a contact is registered, and a wrong code is refused</t>
        </is>
      </c>
      <c r="C455" s="11" t="n">
        <v>8</v>
      </c>
      <c r="D455" s="11" t="inlineStr">
        <is>
          <t>Clear the box, type the correct code relayed by the coordinator and click 'Verify and continue'.</t>
        </is>
      </c>
      <c r="E455" s="11" t="inlineStr">
        <is>
          <t>The notice opens, proving the earlier wrong attempt did not break the flow. Close the browser tab WITHOUT clicking 'Record my choices' or 'Decline everything'.</t>
        </is>
      </c>
      <c r="F455" s="16" t="n"/>
      <c r="G455" s="16" t="n"/>
    </row>
    <row r="456">
      <c r="A456" s="10" t="inlineStr">
        <is>
          <t>CON-03</t>
        </is>
      </c>
      <c r="B456" s="11" t="inlineStr">
        <is>
          <t>A person with no account uses 'Create one', signs up and returns to the link, then consents in Hindi to one purpose</t>
        </is>
      </c>
      <c r="C456" s="11" t="n">
        <v>1</v>
      </c>
      <c r="D456" s="11" t="inlineStr">
        <is>
          <t>Open the CIT consent link and click 'Create one' on the 'Your details' card.</t>
        </is>
      </c>
      <c r="E456" s="11" t="inlineStr">
        <is>
          <t>The page 'Create your account' opens ('For people whose data is being collected. Staff accounts are issued by your administrator.'). The address bar shows /sign-up?next= followed by the consent link's address.</t>
        </is>
      </c>
      <c r="F456" s="16" t="n"/>
      <c r="G456" s="16" t="n"/>
    </row>
    <row r="457">
      <c r="A457" s="10" t="inlineStr">
        <is>
          <t>CON-03</t>
        </is>
      </c>
      <c r="B457" s="11" t="inlineStr">
        <is>
          <t>A person with no account uses 'Create one', signs up and returns to the link, then consents in Hindi to one purpose</t>
        </is>
      </c>
      <c r="C457" s="11" t="n">
        <v>2</v>
      </c>
      <c r="D457" s="11" t="inlineStr">
        <is>
          <t>Fill in 'Full name', 'Mobile number', 'Email address' and 'Date of birth' with the test data and click 'Create account'.</t>
        </is>
      </c>
      <c r="E457" s="11" t="inlineStr">
        <is>
          <t>The page 'Confirm your contacts' opens: 'If those details are new to us, a code has gone to your mobile and another to your email. Enter both.' Two boxes are shown: 'Code sent to your mobile' and 'Code sent to your email'.</t>
        </is>
      </c>
      <c r="F457" s="16" t="n"/>
      <c r="G457" s="16" t="n"/>
    </row>
    <row r="458">
      <c r="A458" s="10" t="inlineStr">
        <is>
          <t>CON-03</t>
        </is>
      </c>
      <c r="B458" s="11" t="inlineStr">
        <is>
          <t>A person with no account uses 'Create one', signs up and returns to the link, then consents in Hindi to one purpose</t>
        </is>
      </c>
      <c r="C458" s="11" t="n">
        <v>3</v>
      </c>
      <c r="D458" s="11" t="inlineStr">
        <is>
          <t>Type only the mobile code the coordinator relays.</t>
        </is>
      </c>
      <c r="E458" s="11" t="inlineStr">
        <is>
          <t>'Confirm and sign in' stays greyed out until both six-digit codes are entered.</t>
        </is>
      </c>
      <c r="F458" s="16" t="n"/>
      <c r="G458" s="16" t="n"/>
    </row>
    <row r="459">
      <c r="A459" s="10" t="inlineStr">
        <is>
          <t>CON-03</t>
        </is>
      </c>
      <c r="B459" s="11" t="inlineStr">
        <is>
          <t>A person with no account uses 'Create one', signs up and returns to the link, then consents in Hindi to one purpose</t>
        </is>
      </c>
      <c r="C459" s="11" t="n">
        <v>4</v>
      </c>
      <c r="D459" s="11" t="inlineStr">
        <is>
          <t>Type the email code as well and click 'Confirm and sign in'.</t>
        </is>
      </c>
      <c r="E459" s="11" t="inlineStr">
        <is>
          <t>You are taken straight back to the same consent link page (banner 'Gait Identification Study 2026' / 'CIT', card 'Your details'), not to your consents page.</t>
        </is>
      </c>
      <c r="F459" s="16" t="n"/>
      <c r="G459" s="16" t="n"/>
    </row>
    <row r="460">
      <c r="A460" s="10" t="inlineStr">
        <is>
          <t>CON-03</t>
        </is>
      </c>
      <c r="B460" s="11" t="inlineStr">
        <is>
          <t>A person with no account uses 'Create one', signs up and returns to the link, then consents in Hindi to one purpose</t>
        </is>
      </c>
      <c r="C460" s="11" t="n">
        <v>5</v>
      </c>
      <c r="D460" s="11" t="inlineStr">
        <is>
          <t>On the 'Your details' card select 'Email' under 'Send my code to', type tester01@example.org in 'Email address' and click 'Send the code'.</t>
        </is>
      </c>
      <c r="E460" s="11" t="inlineStr">
        <is>
          <t>The card changes to 'Confirm your email' and says 'We have sent a six-digit code to tester01@example.org. It expires in ten minutes.' The step bar at the top moves from 'Your details' to 'Confirm'.</t>
        </is>
      </c>
      <c r="F460" s="16" t="n"/>
      <c r="G460" s="16" t="n"/>
    </row>
    <row r="461">
      <c r="A461" s="10" t="inlineStr">
        <is>
          <t>CON-03</t>
        </is>
      </c>
      <c r="B461" s="11" t="inlineStr">
        <is>
          <t>A person with no account uses 'Create one', signs up and returns to the link, then consents in Hindi to one purpose</t>
        </is>
      </c>
      <c r="C461" s="11" t="n">
        <v>6</v>
      </c>
      <c r="D461" s="11" t="inlineStr">
        <is>
          <t>Type the code the coordinator relays and click 'Verify and continue'.</t>
        </is>
      </c>
      <c r="E461" s="11" t="inlineStr">
        <is>
          <t>The notice opens directly. No 'Your date of birth' question appears, because it was given at sign-up.</t>
        </is>
      </c>
      <c r="F461" s="16" t="n"/>
      <c r="G461" s="16" t="n"/>
    </row>
    <row r="462">
      <c r="A462" s="10" t="inlineStr">
        <is>
          <t>CON-03</t>
        </is>
      </c>
      <c r="B462" s="11" t="inlineStr">
        <is>
          <t>A person with no account uses 'Create one', signs up and returns to the link, then consents in Hindi to one purpose</t>
        </is>
      </c>
      <c r="C462" s="11" t="n">
        <v>7</v>
      </c>
      <c r="D462" s="11" t="inlineStr">
        <is>
          <t>In 'Read this in' choose 'हिन्दी'.</t>
        </is>
      </c>
      <c r="E462" s="11" t="inlineStr">
        <is>
          <t>The notice text changes to Hindi (it starts 'धारा 5, डिजिटल व्यक्तिगत डेटा संरक्षण अधिनियम 2023'). The purposes and the 'I agree' / 'I do not agree' buttons are still shown.</t>
        </is>
      </c>
      <c r="F462" s="16" t="n"/>
      <c r="G462" s="16" t="n"/>
    </row>
    <row r="463">
      <c r="A463" s="10" t="inlineStr">
        <is>
          <t>CON-03</t>
        </is>
      </c>
      <c r="B463" s="11" t="inlineStr">
        <is>
          <t>A person with no account uses 'Create one', signs up and returns to the link, then consents in Hindi to one purpose</t>
        </is>
      </c>
      <c r="C463" s="11" t="n">
        <v>8</v>
      </c>
      <c r="D463" s="11" t="inlineStr">
        <is>
          <t>Switch 'Read this in' to 'English', then back to 'हिन्दी'.</t>
        </is>
      </c>
      <c r="E463" s="11" t="inlineStr">
        <is>
          <t>The text switches each time without any error message. Hindi is showing at the end.</t>
        </is>
      </c>
      <c r="F463" s="16" t="n"/>
      <c r="G463" s="16" t="n"/>
    </row>
    <row r="464">
      <c r="A464" s="10" t="inlineStr">
        <is>
          <t>CON-03</t>
        </is>
      </c>
      <c r="B464" s="11" t="inlineStr">
        <is>
          <t>A person with no account uses 'Create one', signs up and returns to the link, then consents in Hindi to one purpose</t>
        </is>
      </c>
      <c r="C464" s="11" t="n">
        <v>9</v>
      </c>
      <c r="D464" s="11" t="inlineStr">
        <is>
          <t>With Hindi showing, click 'I agree' on 'Gait model training' and 'I do not agree' on 'Recording quality assurance', then click 'Record my choices'.</t>
        </is>
      </c>
      <c r="E464" s="11" t="inlineStr">
        <is>
          <t>The Done step shows 'Your choices are recorded' and 'Your reference:' with a code.</t>
        </is>
      </c>
      <c r="F464" s="16" t="n"/>
      <c r="G464" s="16" t="n"/>
    </row>
    <row r="465">
      <c r="A465" s="10" t="inlineStr">
        <is>
          <t>CON-03</t>
        </is>
      </c>
      <c r="B465" s="11" t="inlineStr">
        <is>
          <t>A person with no account uses 'Create one', signs up and returns to the link, then consents in Hindi to one purpose</t>
        </is>
      </c>
      <c r="C465" s="11" t="n">
        <v>10</v>
      </c>
      <c r="D465" s="11" t="inlineStr">
        <is>
          <t>Click 'Review your consents'.</t>
        </is>
      </c>
      <c r="E465" s="11" t="inlineStr">
        <is>
          <t>'My consents' opens with a card 'Gait Identification Study 2026' whose small line reads 'NTC-GAIT-2026 v1 · hindi · &lt;date and time&gt;', status 'Partial', and 'You agreed to 1 of 2 purposes.'</t>
        </is>
      </c>
      <c r="F465" s="16" t="n"/>
      <c r="G465" s="16" t="n"/>
    </row>
    <row r="466">
      <c r="A466" s="10" t="inlineStr">
        <is>
          <t>CON-04</t>
        </is>
      </c>
      <c r="B466" s="11" t="inlineStr">
        <is>
          <t>A person signs up on the portal first, then declines everything at the link</t>
        </is>
      </c>
      <c r="C466" s="11" t="n">
        <v>1</v>
      </c>
      <c r="D466" s="11" t="inlineStr">
        <is>
          <t>Open http://localhost:3001/sign-in and click 'Create an account' (under 'Never registered with us?').</t>
        </is>
      </c>
      <c r="E466" s="11" t="inlineStr">
        <is>
          <t>The page 'Create your account' opens with 'Full name', 'Mobile number', 'Email address' (hint starts 'Optional.') and 'Date of birth', and a 'Create account' button.</t>
        </is>
      </c>
      <c r="F466" s="16" t="n"/>
      <c r="G466" s="16" t="n"/>
    </row>
    <row r="467">
      <c r="A467" s="10" t="inlineStr">
        <is>
          <t>CON-04</t>
        </is>
      </c>
      <c r="B467" s="11" t="inlineStr">
        <is>
          <t>A person signs up on the portal first, then declines everything at the link</t>
        </is>
      </c>
      <c r="C467" s="11" t="n">
        <v>2</v>
      </c>
      <c r="D467" s="11" t="inlineStr">
        <is>
          <t>Click 'Create account' with every field empty.</t>
        </is>
      </c>
      <c r="E467" s="11" t="inlineStr">
        <is>
          <t>Nothing is sent. Messages appear under the fields, including 'Enter your full name' and 'Enter your date of birth'.</t>
        </is>
      </c>
      <c r="F467" s="16" t="n"/>
      <c r="G467" s="16" t="n"/>
    </row>
    <row r="468">
      <c r="A468" s="10" t="inlineStr">
        <is>
          <t>CON-04</t>
        </is>
      </c>
      <c r="B468" s="11" t="inlineStr">
        <is>
          <t>A person signs up on the portal first, then declines everything at the link</t>
        </is>
      </c>
      <c r="C468" s="11" t="n">
        <v>3</v>
      </c>
      <c r="D468" s="11" t="inlineStr">
        <is>
          <t>Fill in 'Full name', 'Mobile number' and 'Date of birth' from the test data, leave 'Email address' empty and click 'Create account'.</t>
        </is>
      </c>
      <c r="E468" s="11" t="inlineStr">
        <is>
          <t>'Confirm your contacts' opens with 'If that number is new to us, a code has gone to your mobile. Enter it to finish.' and only one box, 'Code sent to your mobile'.</t>
        </is>
      </c>
      <c r="F468" s="16" t="n"/>
      <c r="G468" s="16" t="n"/>
    </row>
    <row r="469">
      <c r="A469" s="10" t="inlineStr">
        <is>
          <t>CON-04</t>
        </is>
      </c>
      <c r="B469" s="11" t="inlineStr">
        <is>
          <t>A person signs up on the portal first, then declines everything at the link</t>
        </is>
      </c>
      <c r="C469" s="11" t="n">
        <v>4</v>
      </c>
      <c r="D469" s="11" t="inlineStr">
        <is>
          <t>Type the code the coordinator relays and click 'Confirm and sign in'.</t>
        </is>
      </c>
      <c r="E469" s="11" t="inlineStr">
        <is>
          <t>You are signed in and 'My consents' opens with the empty message 'No consent records' / 'When you agree to a notice, it will appear here.'</t>
        </is>
      </c>
      <c r="F469" s="16" t="n"/>
      <c r="G469" s="16" t="n"/>
    </row>
    <row r="470">
      <c r="A470" s="10" t="inlineStr">
        <is>
          <t>CON-04</t>
        </is>
      </c>
      <c r="B470" s="11" t="inlineStr">
        <is>
          <t>A person signs up on the portal first, then declines everything at the link</t>
        </is>
      </c>
      <c r="C470" s="11" t="n">
        <v>5</v>
      </c>
      <c r="D470" s="11" t="inlineStr">
        <is>
          <t>In the same browser window open the CIT consent link. Leave 'Mobile' selected, type +91 98100 00022, click 'Send the code', type the relayed code and click 'Verify and continue'.</t>
        </is>
      </c>
      <c r="E470" s="11" t="inlineStr">
        <is>
          <t>The notice opens with the two purposes, neither pre-selected.</t>
        </is>
      </c>
      <c r="F470" s="16" t="n"/>
      <c r="G470" s="16" t="n"/>
    </row>
    <row r="471">
      <c r="A471" s="10" t="inlineStr">
        <is>
          <t>CON-04</t>
        </is>
      </c>
      <c r="B471" s="11" t="inlineStr">
        <is>
          <t>A person signs up on the portal first, then declines everything at the link</t>
        </is>
      </c>
      <c r="C471" s="11" t="n">
        <v>6</v>
      </c>
      <c r="D471" s="11" t="inlineStr">
        <is>
          <t>Without answering any purpose, click 'Decline everything'.</t>
        </is>
      </c>
      <c r="E471" s="11" t="inlineStr">
        <is>
          <t>The Done step shows a grey cross, the heading 'You have declined' and 'Nothing will be collected from you for this project. You can come back to this link if you change your mind.' plus 'Your reference:' with a code. It does not look like an error.</t>
        </is>
      </c>
      <c r="F471" s="16" t="n"/>
      <c r="G471" s="16" t="n"/>
    </row>
    <row r="472">
      <c r="A472" s="10" t="inlineStr">
        <is>
          <t>CON-04</t>
        </is>
      </c>
      <c r="B472" s="11" t="inlineStr">
        <is>
          <t>A person signs up on the portal first, then declines everything at the link</t>
        </is>
      </c>
      <c r="C472" s="11" t="n">
        <v>7</v>
      </c>
      <c r="D472" s="11" t="inlineStr">
        <is>
          <t>Click 'Review your consents'.</t>
        </is>
      </c>
      <c r="E472" s="11" t="inlineStr">
        <is>
          <t>The card 'Gait Identification Study 2026' shows status 'Declined' and 'You were asked about 2 purposes and agreed to none.' The first button reads 'See what you were asked'. There is no 'Withdraw everything' button.</t>
        </is>
      </c>
      <c r="F472" s="16" t="n"/>
      <c r="G472" s="16" t="n"/>
    </row>
    <row r="473">
      <c r="A473" s="10" t="inlineStr">
        <is>
          <t>CON-04</t>
        </is>
      </c>
      <c r="B473" s="11" t="inlineStr">
        <is>
          <t>A person signs up on the portal first, then declines everything at the link</t>
        </is>
      </c>
      <c r="C473" s="11" t="n">
        <v>8</v>
      </c>
      <c r="D473" s="11" t="inlineStr">
        <is>
          <t>Click 'See what you were asked'.</t>
        </is>
      </c>
      <c r="E473" s="11" t="inlineStr">
        <is>
          <t>Both purposes are listed with the badge 'Declined' and no 'Withdraw just this one' button.</t>
        </is>
      </c>
      <c r="F473" s="16" t="n"/>
      <c r="G473" s="16" t="n"/>
    </row>
    <row r="474">
      <c r="A474" s="10" t="inlineStr">
        <is>
          <t>CON-05</t>
        </is>
      </c>
      <c r="B474" s="11" t="inlineStr">
        <is>
          <t>An account with no date of birth is asked for it before the notice is shown</t>
        </is>
      </c>
      <c r="C474" s="11" t="n">
        <v>1</v>
      </c>
      <c r="D474" s="11" t="inlineStr">
        <is>
          <t>Open the CIT consent link. On the 'Your details' card select 'Email' under 'Send my code to', type dcoadmin@cmp.local in 'Email address' and click 'Send the code'.</t>
        </is>
      </c>
      <c r="E474" s="11" t="inlineStr">
        <is>
          <t>The card changes to 'Confirm your email' and says 'We have sent a six-digit code to dcoadmin@cmp.local. It expires in ten minutes.' The step bar at the top moves from 'Your details' to 'Confirm'.</t>
        </is>
      </c>
      <c r="F474" s="16" t="n"/>
      <c r="G474" s="16" t="n"/>
    </row>
    <row r="475">
      <c r="A475" s="10" t="inlineStr">
        <is>
          <t>CON-05</t>
        </is>
      </c>
      <c r="B475" s="11" t="inlineStr">
        <is>
          <t>An account with no date of birth is asked for it before the notice is shown</t>
        </is>
      </c>
      <c r="C475" s="11" t="n">
        <v>2</v>
      </c>
      <c r="D475" s="11" t="inlineStr">
        <is>
          <t>Type the code the coordinator relays and click 'Verify and continue'.</t>
        </is>
      </c>
      <c r="E475" s="11" t="inlineStr">
        <is>
          <t>Instead of the notice, a card 'Your date of birth' appears: 'The law protects people under 18 differently, and we do not have your date of birth yet. We need it before you can give a new consent.' with a 'Date of birth' field and a 'Save and continue' button. The step bar still shows 'Confirm'. No notice text is visible yet.</t>
        </is>
      </c>
      <c r="F475" s="16" t="n"/>
      <c r="G475" s="16" t="n"/>
    </row>
    <row r="476">
      <c r="A476" s="10" t="inlineStr">
        <is>
          <t>CON-05</t>
        </is>
      </c>
      <c r="B476" s="11" t="inlineStr">
        <is>
          <t>An account with no date of birth is asked for it before the notice is shown</t>
        </is>
      </c>
      <c r="C476" s="11" t="n">
        <v>3</v>
      </c>
      <c r="D476" s="11" t="inlineStr">
        <is>
          <t>Click 'Save and continue' with the field empty.</t>
        </is>
      </c>
      <c r="E476" s="11" t="inlineStr">
        <is>
          <t>The message 'Enter your date of birth' appears and nothing is saved.</t>
        </is>
      </c>
      <c r="F476" s="16" t="n"/>
      <c r="G476" s="16" t="n"/>
    </row>
    <row r="477">
      <c r="A477" s="10" t="inlineStr">
        <is>
          <t>CON-05</t>
        </is>
      </c>
      <c r="B477" s="11" t="inlineStr">
        <is>
          <t>An account with no date of birth is asked for it before the notice is shown</t>
        </is>
      </c>
      <c r="C477" s="11" t="n">
        <v>4</v>
      </c>
      <c r="D477" s="11" t="inlineStr">
        <is>
          <t>Enter tomorrow's date in 'Date of birth' and click 'Save and continue'.</t>
        </is>
      </c>
      <c r="E477" s="11" t="inlineStr">
        <is>
          <t>The message 'Date of birth must be in the past' appears (or the date picker will not allow a future date). The notice is not shown.</t>
        </is>
      </c>
      <c r="F477" s="16" t="n"/>
      <c r="G477" s="16" t="n"/>
    </row>
    <row r="478">
      <c r="A478" s="10" t="inlineStr">
        <is>
          <t>CON-05</t>
        </is>
      </c>
      <c r="B478" s="11" t="inlineStr">
        <is>
          <t>An account with no date of birth is asked for it before the notice is shown</t>
        </is>
      </c>
      <c r="C478" s="11" t="n">
        <v>5</v>
      </c>
      <c r="D478" s="11" t="inlineStr">
        <is>
          <t>Enter 21/07/1985 and click 'Save and continue'.</t>
        </is>
      </c>
      <c r="E478" s="11" t="inlineStr">
        <is>
          <t>The step bar moves to 'The notice' and the notice with its two purposes is shown.</t>
        </is>
      </c>
      <c r="F478" s="16" t="n"/>
      <c r="G478" s="16" t="n"/>
    </row>
    <row r="479">
      <c r="A479" s="10" t="inlineStr">
        <is>
          <t>CON-05</t>
        </is>
      </c>
      <c r="B479" s="11" t="inlineStr">
        <is>
          <t>An account with no date of birth is asked for it before the notice is shown</t>
        </is>
      </c>
      <c r="C479" s="11" t="n">
        <v>6</v>
      </c>
      <c r="D479" s="11" t="inlineStr">
        <is>
          <t>Click 'I agree' on both purposes and click 'Record my choices'.</t>
        </is>
      </c>
      <c r="E479" s="11" t="inlineStr">
        <is>
          <t>The Done step shows 'Your choices are recorded' with a reference.</t>
        </is>
      </c>
      <c r="F479" s="16" t="n"/>
      <c r="G479" s="16" t="n"/>
    </row>
    <row r="480">
      <c r="A480" s="10" t="inlineStr">
        <is>
          <t>CON-05</t>
        </is>
      </c>
      <c r="B480" s="11" t="inlineStr">
        <is>
          <t>An account with no date of birth is asked for it before the notice is shown</t>
        </is>
      </c>
      <c r="C480" s="11" t="n">
        <v>7</v>
      </c>
      <c r="D480" s="11" t="inlineStr">
        <is>
          <t>Click 'Review your consents'.</t>
        </is>
      </c>
      <c r="E480" s="11" t="inlineStr">
        <is>
          <t>'My consents' shows the card 'Gait Identification Study 2026' with status 'Consented' and 'You agreed to both purposes.'</t>
        </is>
      </c>
      <c r="F480" s="16" t="n"/>
      <c r="G480" s="16" t="n"/>
    </row>
    <row r="481">
      <c r="A481" s="10" t="inlineStr">
        <is>
          <t>CON-05</t>
        </is>
      </c>
      <c r="B481" s="11" t="inlineStr">
        <is>
          <t>An account with no date of birth is asked for it before the notice is shown</t>
        </is>
      </c>
      <c r="C481" s="11" t="n">
        <v>8</v>
      </c>
      <c r="D481" s="11" t="inlineStr">
        <is>
          <t>Open the CIT consent link again in a new private window, identify with dcoadmin@cmp.local and the new code, and click 'Verify and continue'.</t>
        </is>
      </c>
      <c r="E481" s="11" t="inlineStr">
        <is>
          <t>The notice opens directly; the date-of-birth question is NOT asked again. Close the tab without recording anything.</t>
        </is>
      </c>
      <c r="F481" s="16" t="n"/>
      <c r="G481" s="16" t="n"/>
    </row>
    <row r="482">
      <c r="A482" s="10" t="inlineStr">
        <is>
          <t>CON-06</t>
        </is>
      </c>
      <c r="B482" s="11" t="inlineStr">
        <is>
          <t>A person under 18 cannot sign up, and no guardian route is offered</t>
        </is>
      </c>
      <c r="C482" s="11" t="n">
        <v>1</v>
      </c>
      <c r="D482" s="11" t="inlineStr">
        <is>
          <t>Open the CIT consent link and click 'Create one'. Read the hint under 'Date of birth'.</t>
        </is>
      </c>
      <c r="E482" s="11" t="inlineStr">
        <is>
          <t>'Create your account' opens. The hint reads 'The law protects people under 18 differently, so we ask before an account is opened.' It does not mention a parent or guardian.</t>
        </is>
      </c>
      <c r="F482" s="16" t="n"/>
      <c r="G482" s="16" t="n"/>
    </row>
    <row r="483">
      <c r="A483" s="10" t="inlineStr">
        <is>
          <t>CON-06</t>
        </is>
      </c>
      <c r="B483" s="11" t="inlineStr">
        <is>
          <t>A person under 18 cannot sign up, and no guardian route is offered</t>
        </is>
      </c>
      <c r="C483" s="11" t="n">
        <v>2</v>
      </c>
      <c r="D483" s="11" t="inlineStr">
        <is>
          <t>Fill in all four fields with the test data (date of birth 15/03/2010) and click 'Create account'.</t>
        </is>
      </c>
      <c r="E483" s="11" t="inlineStr">
        <is>
          <t>The page stays on 'Create your account' and a red message refuses the registration. Expected wording: 'We cannot register or record consent for a person under eighteen. If you think your date of birth is wrong, contact the Privacy Office.' The 'Confirm your contacts' step does NOT appear. Write down the exact message you see.</t>
        </is>
      </c>
      <c r="F483" s="16" t="n"/>
      <c r="G483" s="16" t="n"/>
    </row>
    <row r="484">
      <c r="A484" s="10" t="inlineStr">
        <is>
          <t>CON-06</t>
        </is>
      </c>
      <c r="B484" s="11" t="inlineStr">
        <is>
          <t>A person under 18 cannot sign up, and no guardian route is offered</t>
        </is>
      </c>
      <c r="C484" s="11" t="n">
        <v>3</v>
      </c>
      <c r="D484" s="11" t="inlineStr">
        <is>
          <t>Look over the whole page.</t>
        </is>
      </c>
      <c r="E484" s="11" t="inlineStr">
        <is>
          <t>There is no link, button, form or field for a parent or guardian to consent on the person's behalf. Only the sign-up fields, 'Create account' and the 'Sign in' link are offered.</t>
        </is>
      </c>
      <c r="F484" s="16" t="n"/>
      <c r="G484" s="16" t="n"/>
    </row>
    <row r="485">
      <c r="A485" s="10" t="inlineStr">
        <is>
          <t>CON-06</t>
        </is>
      </c>
      <c r="B485" s="11" t="inlineStr">
        <is>
          <t>A person under 18 cannot sign up, and no guardian route is offered</t>
        </is>
      </c>
      <c r="C485" s="11" t="n">
        <v>4</v>
      </c>
      <c r="D485" s="11" t="inlineStr">
        <is>
          <t>Ask the coordinator to check the test outbox for +91 98100 00066 and tester06@example.org.</t>
        </is>
      </c>
      <c r="E485" s="11" t="inlineStr">
        <is>
          <t>No registration codes were sent.</t>
        </is>
      </c>
      <c r="F485" s="16" t="n"/>
      <c r="G485" s="16" t="n"/>
    </row>
    <row r="486">
      <c r="A486" s="10" t="inlineStr">
        <is>
          <t>CON-06</t>
        </is>
      </c>
      <c r="B486" s="11" t="inlineStr">
        <is>
          <t>A person under 18 cannot sign up, and no guardian route is offered</t>
        </is>
      </c>
      <c r="C486" s="11" t="n">
        <v>5</v>
      </c>
      <c r="D486" s="11" t="inlineStr">
        <is>
          <t>Go back to the CIT consent link, leave 'Mobile' selected, type +91 98100 00066 and click 'Send the code'.</t>
        </is>
      </c>
      <c r="E486" s="11" t="inlineStr">
        <is>
          <t>The neutral 'Confirm your mobile' screen appears as for anyone, and the outbox shows no code was sent (no account exists).</t>
        </is>
      </c>
      <c r="F486" s="16" t="n"/>
      <c r="G486" s="16" t="n"/>
    </row>
    <row r="487">
      <c r="A487" s="10" t="inlineStr">
        <is>
          <t>CON-06</t>
        </is>
      </c>
      <c r="B487" s="11" t="inlineStr">
        <is>
          <t>A person under 18 cannot sign up, and no guardian route is offered</t>
        </is>
      </c>
      <c r="C487" s="11" t="n">
        <v>6</v>
      </c>
      <c r="D487" s="11" t="inlineStr">
        <is>
          <t>Return to 'Create your account' and submit the same name, mobile and email with the adult date of birth 01/01/1990.</t>
        </is>
      </c>
      <c r="E487" s="11" t="inlineStr">
        <is>
          <t>'Confirm your contacts' opens, proving nothing was half-created by the refused attempt (the mobile is not reported as already registered). Stop here; do not enter the codes.</t>
        </is>
      </c>
      <c r="F487" s="16" t="n"/>
      <c r="G487" s="16" t="n"/>
    </row>
    <row r="488">
      <c r="A488" s="10" t="inlineStr">
        <is>
          <t>CON-07</t>
        </is>
      </c>
      <c r="B488" s="11" t="inlineStr">
        <is>
          <t>A person who gives an under-18 date of birth at the link cannot record any choice, and no guardian route is offered</t>
        </is>
      </c>
      <c r="C488" s="11" t="n">
        <v>1</v>
      </c>
      <c r="D488" s="11" t="inlineStr">
        <is>
          <t>Open the CIT consent link. On the 'Your details' card select 'Email' under 'Send my code to', type tester07@example.org in 'Email address' and click 'Send the code'.</t>
        </is>
      </c>
      <c r="E488" s="11" t="inlineStr">
        <is>
          <t>The card changes to 'Confirm your email' and says 'We have sent a six-digit code to tester07@example.org. It expires in ten minutes.' The step bar at the top moves from 'Your details' to 'Confirm'.</t>
        </is>
      </c>
      <c r="F488" s="16" t="n"/>
      <c r="G488" s="16" t="n"/>
    </row>
    <row r="489">
      <c r="A489" s="10" t="inlineStr">
        <is>
          <t>CON-07</t>
        </is>
      </c>
      <c r="B489" s="11" t="inlineStr">
        <is>
          <t>A person who gives an under-18 date of birth at the link cannot record any choice, and no guardian route is offered</t>
        </is>
      </c>
      <c r="C489" s="11" t="n">
        <v>2</v>
      </c>
      <c r="D489" s="11" t="inlineStr">
        <is>
          <t>Type the relayed code and click 'Verify and continue'.</t>
        </is>
      </c>
      <c r="E489" s="11" t="inlineStr">
        <is>
          <t>The card 'Your date of birth' appears (the account has no date of birth).</t>
        </is>
      </c>
      <c r="F489" s="16" t="n"/>
      <c r="G489" s="16" t="n"/>
    </row>
    <row r="490">
      <c r="A490" s="10" t="inlineStr">
        <is>
          <t>CON-07</t>
        </is>
      </c>
      <c r="B490" s="11" t="inlineStr">
        <is>
          <t>A person who gives an under-18 date of birth at the link cannot record any choice, and no guardian route is offered</t>
        </is>
      </c>
      <c r="C490" s="11" t="n">
        <v>3</v>
      </c>
      <c r="D490" s="11" t="inlineStr">
        <is>
          <t>Enter 01/06/2011 and click 'Save and continue'.</t>
        </is>
      </c>
      <c r="E490" s="11" t="inlineStr">
        <is>
          <t>The notice with its two purposes is shown.</t>
        </is>
      </c>
      <c r="F490" s="16" t="n"/>
      <c r="G490" s="16" t="n"/>
    </row>
    <row r="491">
      <c r="A491" s="10" t="inlineStr">
        <is>
          <t>CON-07</t>
        </is>
      </c>
      <c r="B491" s="11" t="inlineStr">
        <is>
          <t>A person who gives an under-18 date of birth at the link cannot record any choice, and no guardian route is offered</t>
        </is>
      </c>
      <c r="C491" s="11" t="n">
        <v>4</v>
      </c>
      <c r="D491" s="11" t="inlineStr">
        <is>
          <t>Click 'I agree' on both purposes and click 'Record my choices'.</t>
        </is>
      </c>
      <c r="E491" s="11" t="inlineStr">
        <is>
          <t>A red message appears at the top of the page: 'We cannot register or record consent for a person under eighteen. If you think your date of birth is wrong, contact the Privacy Office.' The page stays on the notice. No Done step and no reference are shown.</t>
        </is>
      </c>
      <c r="F491" s="16" t="n"/>
      <c r="G491" s="16" t="n"/>
    </row>
    <row r="492">
      <c r="A492" s="10" t="inlineStr">
        <is>
          <t>CON-07</t>
        </is>
      </c>
      <c r="B492" s="11" t="inlineStr">
        <is>
          <t>A person who gives an under-18 date of birth at the link cannot record any choice, and no guardian route is offered</t>
        </is>
      </c>
      <c r="C492" s="11" t="n">
        <v>5</v>
      </c>
      <c r="D492" s="11" t="inlineStr">
        <is>
          <t>Click 'Decline everything'.</t>
        </is>
      </c>
      <c r="E492" s="11" t="inlineStr">
        <is>
          <t>The same refusal message appears. There is no 'You have declined' screen: a child's refusal is not recorded either.</t>
        </is>
      </c>
      <c r="F492" s="16" t="n"/>
      <c r="G492" s="16" t="n"/>
    </row>
    <row r="493">
      <c r="A493" s="10" t="inlineStr">
        <is>
          <t>CON-07</t>
        </is>
      </c>
      <c r="B493" s="11" t="inlineStr">
        <is>
          <t>A person who gives an under-18 date of birth at the link cannot record any choice, and no guardian route is offered</t>
        </is>
      </c>
      <c r="C493" s="11" t="n">
        <v>6</v>
      </c>
      <c r="D493" s="11" t="inlineStr">
        <is>
          <t>Look over the whole page, including the notice links.</t>
        </is>
      </c>
      <c r="E493" s="11" t="inlineStr">
        <is>
          <t>Nothing offers a parent or guardian route: no link, button, form or contact field for a guardian.</t>
        </is>
      </c>
      <c r="F493" s="16" t="n"/>
      <c r="G493" s="16" t="n"/>
    </row>
    <row r="494">
      <c r="A494" s="10" t="inlineStr">
        <is>
          <t>CON-07</t>
        </is>
      </c>
      <c r="B494" s="11" t="inlineStr">
        <is>
          <t>A person who gives an under-18 date of birth at the link cannot record any choice, and no guardian route is offered</t>
        </is>
      </c>
      <c r="C494" s="11" t="n">
        <v>7</v>
      </c>
      <c r="D494" s="11" t="inlineStr">
        <is>
          <t>Open http://localhost:3001/my-consents in the same window.</t>
        </is>
      </c>
      <c r="E494" s="11" t="inlineStr">
        <is>
          <t>'My consents' shows 'No consent records'.</t>
        </is>
      </c>
      <c r="F494" s="16" t="n"/>
      <c r="G494" s="16" t="n"/>
    </row>
    <row r="495">
      <c r="A495" s="10" t="inlineStr">
        <is>
          <t>CON-07</t>
        </is>
      </c>
      <c r="B495" s="11" t="inlineStr">
        <is>
          <t>A person who gives an under-18 date of birth at the link cannot record any choice, and no guardian route is offered</t>
        </is>
      </c>
      <c r="C495" s="11" t="n">
        <v>8</v>
      </c>
      <c r="D495" s="11" t="inlineStr">
        <is>
          <t>Click your name at the top right to open the account menu, click 'My profile' and look at 'Date of birth'.</t>
        </is>
      </c>
      <c r="E495" s="11" t="inlineStr">
        <is>
          <t>It shows the date entered, marked as under 18. Nothing on the page offers a way for a parent or guardian to consent. The badge reads 'Under 18 — we cannot record consent from you'.</t>
        </is>
      </c>
      <c r="F495" s="16" t="n"/>
      <c r="G495" s="16" t="n"/>
    </row>
    <row r="496">
      <c r="A496" s="10" t="inlineStr">
        <is>
          <t>CON-07</t>
        </is>
      </c>
      <c r="B496" s="11" t="inlineStr">
        <is>
          <t>A person who gives an under-18 date of birth at the link cannot record any choice, and no guardian route is offered</t>
        </is>
      </c>
      <c r="C496" s="11" t="n">
        <v>9</v>
      </c>
      <c r="D496" s="11" t="inlineStr">
        <is>
          <t>In the console, as the DPO, open 'Consents' and look for this account's name.</t>
        </is>
      </c>
      <c r="E496" s="11" t="inlineStr">
        <is>
          <t>There is no consent record for this account.</t>
        </is>
      </c>
      <c r="F496" s="16" t="n"/>
      <c r="G496" s="16" t="n"/>
    </row>
    <row r="497">
      <c r="A497" s="10" t="inlineStr">
        <is>
          <t>CON-08</t>
        </is>
      </c>
      <c r="B497" s="11" t="inlineStr">
        <is>
          <t>An invalid, altered, revoked or expired link shows 'This link is not valid' and nothing else</t>
        </is>
      </c>
      <c r="C497" s="11" t="n">
        <v>1</v>
      </c>
      <c r="D497" s="11" t="inlineStr">
        <is>
          <t>Open http://localhost:3001/c/not-a-real-link.</t>
        </is>
      </c>
      <c r="E497" s="11" t="inlineStr">
        <is>
          <t>A card with the heading 'This link is not valid' and 'It may have expired, been withdrawn, or been mistyped. Please ask the person who gave it to you for a current one.' and a link 'Your rights under the DPDP Act'. The banner shows only 'Consent' and 'Digital Personal Data Protection Act 2023' — no project or site name. There is no step bar, no contact box and no notice text.</t>
        </is>
      </c>
      <c r="F497" s="16" t="n"/>
      <c r="G497" s="16" t="n"/>
    </row>
    <row r="498">
      <c r="A498" s="10" t="inlineStr">
        <is>
          <t>CON-08</t>
        </is>
      </c>
      <c r="B498" s="11" t="inlineStr">
        <is>
          <t>An invalid, altered, revoked or expired link shows 'This link is not valid' and nothing else</t>
        </is>
      </c>
      <c r="C498" s="11" t="n">
        <v>2</v>
      </c>
      <c r="D498" s="11" t="inlineStr">
        <is>
          <t>Open the CIT link with its last character changed.</t>
        </is>
      </c>
      <c r="E498" s="11" t="inlineStr">
        <is>
          <t>Exactly the same page and wording as step 1.</t>
        </is>
      </c>
      <c r="F498" s="16" t="n"/>
      <c r="G498" s="16" t="n"/>
    </row>
    <row r="499">
      <c r="A499" s="10" t="inlineStr">
        <is>
          <t>CON-08</t>
        </is>
      </c>
      <c r="B499" s="11" t="inlineStr">
        <is>
          <t>An invalid, altered, revoked or expired link shows 'This link is not valid' and nothing else</t>
        </is>
      </c>
      <c r="C499" s="11" t="n">
        <v>3</v>
      </c>
      <c r="D499" s="11" t="inlineStr">
        <is>
          <t>If the coordinator supplied a revoked/replaced link, open it.</t>
        </is>
      </c>
      <c r="E499" s="11" t="inlineStr">
        <is>
          <t>Exactly the same page and wording; it does not say whether the link was revoked, expired or mistyped.</t>
        </is>
      </c>
      <c r="F499" s="16" t="n"/>
      <c r="G499" s="16" t="n"/>
    </row>
    <row r="500">
      <c r="A500" s="10" t="inlineStr">
        <is>
          <t>CON-08</t>
        </is>
      </c>
      <c r="B500" s="11" t="inlineStr">
        <is>
          <t>An invalid, altered, revoked or expired link shows 'This link is not valid' and nothing else</t>
        </is>
      </c>
      <c r="C500" s="11" t="n">
        <v>4</v>
      </c>
      <c r="D500" s="11" t="inlineStr">
        <is>
          <t>If the coordinator supplied an expired link, open it.</t>
        </is>
      </c>
      <c r="E500" s="11" t="inlineStr">
        <is>
          <t>Exactly the same page and wording.</t>
        </is>
      </c>
      <c r="F500" s="16" t="n"/>
      <c r="G500" s="16" t="n"/>
    </row>
    <row r="501">
      <c r="A501" s="10" t="inlineStr">
        <is>
          <t>CON-08</t>
        </is>
      </c>
      <c r="B501" s="11" t="inlineStr">
        <is>
          <t>An invalid, altered, revoked or expired link shows 'This link is not valid' and nothing else</t>
        </is>
      </c>
      <c r="C501" s="11" t="n">
        <v>5</v>
      </c>
      <c r="D501" s="11" t="inlineStr">
        <is>
          <t>Click 'Your rights under the DPDP Act'.</t>
        </is>
      </c>
      <c r="E501" s="11" t="inlineStr">
        <is>
          <t>A page explaining the data principal's rights opens.</t>
        </is>
      </c>
      <c r="F501" s="16" t="n"/>
      <c r="G501" s="16" t="n"/>
    </row>
    <row r="502">
      <c r="A502" s="10" t="inlineStr">
        <is>
          <t>CON-08</t>
        </is>
      </c>
      <c r="B502" s="11" t="inlineStr">
        <is>
          <t>An invalid, altered, revoked or expired link shows 'This link is not valid' and nothing else</t>
        </is>
      </c>
      <c r="C502" s="11" t="n">
        <v>6</v>
      </c>
      <c r="D502" s="11" t="inlineStr">
        <is>
          <t>Open the original, correct CIT link.</t>
        </is>
      </c>
      <c r="E502" s="11" t="inlineStr">
        <is>
          <t>The normal 'Your details' page opens with the project banner, so the earlier attempts did not affect the valid link.</t>
        </is>
      </c>
      <c r="F502" s="16" t="n"/>
      <c r="G502" s="16" t="n"/>
    </row>
    <row r="503">
      <c r="A503" s="10" t="inlineStr">
        <is>
          <t>CON-09</t>
        </is>
      </c>
      <c r="B503" s="11" t="inlineStr">
        <is>
          <t>On My consents the principal sees her choices, the exact notice she was served and the record</t>
        </is>
      </c>
      <c r="C503" s="11" t="n">
        <v>1</v>
      </c>
      <c r="D503" s="11" t="inlineStr">
        <is>
          <t>Open http://localhost:3001/sign-in. Under 'Sign in with' select 'Email', type tester01@example.org in 'Email address' and click 'Send me a code'. Then type the code the coordinator relays into 'Six-digit code' and click 'Verify'.</t>
        </is>
      </c>
      <c r="E503" s="11" t="inlineStr">
        <is>
          <t>After 'Send me a code' a blue box 'Check your messages' says 'If tester01@example.org is registered with us, a six-digit code is on its way. It expires in ten minutes.' After 'Verify' the page 'My consents' opens and 'My consents' is highlighted in the sidebar.</t>
        </is>
      </c>
      <c r="F503" s="16" t="n"/>
      <c r="G503" s="16" t="n"/>
    </row>
    <row r="504">
      <c r="A504" s="10" t="inlineStr">
        <is>
          <t>CON-09</t>
        </is>
      </c>
      <c r="B504" s="11" t="inlineStr">
        <is>
          <t>On My consents the principal sees her choices, the exact notice she was served and the record</t>
        </is>
      </c>
      <c r="C504" s="11" t="n">
        <v>2</v>
      </c>
      <c r="D504" s="11" t="inlineStr">
        <is>
          <t>Read the page header and the card for 'Gait Identification Study 2026'.</t>
        </is>
      </c>
      <c r="E504" s="11" t="inlineStr">
        <is>
          <t>Description: 'Everything you have agreed to, the exact wording you were shown, and who it has been shared with. You can withdraw at any time.' The card shows 'NTC-GAIT-2026 v1 · hindi · &lt;date and time&gt;', status 'Partial', 'You agreed to 1 of 2 purposes.' and the buttons 'See what you agreed to', 'What was recorded', 'Withdraw everything' and 'Ask about this consent'.</t>
        </is>
      </c>
      <c r="F504" s="16" t="n"/>
      <c r="G504" s="16" t="n"/>
    </row>
    <row r="505">
      <c r="A505" s="10" t="inlineStr">
        <is>
          <t>CON-09</t>
        </is>
      </c>
      <c r="B505" s="11" t="inlineStr">
        <is>
          <t>On My consents the principal sees her choices, the exact notice she was served and the record</t>
        </is>
      </c>
      <c r="C505" s="11" t="n">
        <v>3</v>
      </c>
      <c r="D505" s="11" t="inlineStr">
        <is>
          <t>Click 'See what you agreed to'.</t>
        </is>
      </c>
      <c r="E505" s="11" t="inlineStr">
        <is>
          <t>The button changes to 'Hide details'. 'Gait model training' shows the badge 'Consented' and a 'Withdraw just this one' button; 'Recording quality assurance' shows 'Declined' and no withdraw button. Each shows 'Data:' and 'Kept for:'.</t>
        </is>
      </c>
      <c r="F505" s="16" t="n"/>
      <c r="G505" s="16" t="n"/>
    </row>
    <row r="506">
      <c r="A506" s="10" t="inlineStr">
        <is>
          <t>CON-09</t>
        </is>
      </c>
      <c r="B506" s="11" t="inlineStr">
        <is>
          <t>On My consents the principal sees her choices, the exact notice she was served and the record</t>
        </is>
      </c>
      <c r="C506" s="11" t="n">
        <v>4</v>
      </c>
      <c r="D506" s="11" t="inlineStr">
        <is>
          <t>Click 'Show the exact notice I was given'.</t>
        </is>
      </c>
      <c r="E506" s="11" t="inlineStr">
        <is>
          <t>A box shows 'Served &lt;date and time&gt;', a green 'Integrity verified', the Hindi notice text exactly as it was shown at the link (starting 'धारा 5'), and 'Hash recorded at capture:' with a code.</t>
        </is>
      </c>
      <c r="F506" s="16" t="n"/>
      <c r="G506" s="16" t="n"/>
    </row>
    <row r="507">
      <c r="A507" s="10" t="inlineStr">
        <is>
          <t>CON-09</t>
        </is>
      </c>
      <c r="B507" s="11" t="inlineStr">
        <is>
          <t>On My consents the principal sees her choices, the exact notice she was served and the record</t>
        </is>
      </c>
      <c r="C507" s="11" t="n">
        <v>5</v>
      </c>
      <c r="D507" s="11" t="inlineStr">
        <is>
          <t>Click 'What was recorded'.</t>
        </is>
      </c>
      <c r="E507" s="11" t="inlineStr">
        <is>
          <t>A panel 'What was recorded' opens ('The same record the Privacy Office sees, for this consent and every change to it. Oldest first.') listing at least the consent being given. The button now reads 'Hide the record'.</t>
        </is>
      </c>
      <c r="F507" s="16" t="n"/>
      <c r="G507" s="16" t="n"/>
    </row>
    <row r="508">
      <c r="A508" s="10" t="inlineStr">
        <is>
          <t>CON-09</t>
        </is>
      </c>
      <c r="B508" s="11" t="inlineStr">
        <is>
          <t>On My consents the principal sees her choices, the exact notice she was served and the record</t>
        </is>
      </c>
      <c r="C508" s="11" t="n">
        <v>6</v>
      </c>
      <c r="D508" s="11" t="inlineStr">
        <is>
          <t>Scroll to 'Who your data has been shared with'.</t>
        </is>
      </c>
      <c r="E508" s="11" t="inlineStr">
        <is>
          <t>Before any export (CON-14): 'No sharing recorded here' / 'This lists every file of your details this platform has sent to a processor. None has been sent.' After CON-14: an entry naming the processor 'SEED' with the project name and date.</t>
        </is>
      </c>
      <c r="F508" s="16" t="n"/>
      <c r="G508" s="16" t="n"/>
    </row>
    <row r="509">
      <c r="A509" s="10" t="inlineStr">
        <is>
          <t>CON-09</t>
        </is>
      </c>
      <c r="B509" s="11" t="inlineStr">
        <is>
          <t>On My consents the principal sees her choices, the exact notice she was served and the record</t>
        </is>
      </c>
      <c r="C509" s="11" t="n">
        <v>7</v>
      </c>
      <c r="D509" s="11" t="inlineStr">
        <is>
          <t>Click 'Hide details' and 'Hide the record'.</t>
        </is>
      </c>
      <c r="E509" s="11" t="inlineStr">
        <is>
          <t>Both sections close. Nothing has changed: the status is still 'Partial'.</t>
        </is>
      </c>
      <c r="F509" s="16" t="n"/>
      <c r="G509" s="16" t="n"/>
    </row>
    <row r="510">
      <c r="A510" s="10" t="inlineStr">
        <is>
          <t>CON-10</t>
        </is>
      </c>
      <c r="B510" s="11" t="inlineStr">
        <is>
          <t>The principal withdraws everything, with a confirmation she can cancel</t>
        </is>
      </c>
      <c r="C510" s="11" t="n">
        <v>1</v>
      </c>
      <c r="D510" s="11" t="inlineStr">
        <is>
          <t>Open http://localhost:3001/sign-in. Under 'Sign in with' select 'Email', type dcoadmin@cmp.local in 'Email address' and click 'Send me a code'. Then type the code the coordinator relays into 'Six-digit code' and click 'Verify'.</t>
        </is>
      </c>
      <c r="E510" s="11" t="inlineStr">
        <is>
          <t>After 'Send me a code' a blue box 'Check your messages' says 'If dcoadmin@cmp.local is registered with us, a six-digit code is on its way. It expires in ten minutes.' After 'Verify' the page 'My consents' opens and 'My consents' is highlighted in the sidebar.</t>
        </is>
      </c>
      <c r="F510" s="16" t="n"/>
      <c r="G510" s="16" t="n"/>
    </row>
    <row r="511">
      <c r="A511" s="10" t="inlineStr">
        <is>
          <t>CON-10</t>
        </is>
      </c>
      <c r="B511" s="11" t="inlineStr">
        <is>
          <t>The principal withdraws everything, with a confirmation she can cancel</t>
        </is>
      </c>
      <c r="C511" s="11" t="n">
        <v>2</v>
      </c>
      <c r="D511" s="11" t="inlineStr">
        <is>
          <t>On the card 'Gait Identification Study 2026' (status 'Consented', 'You agreed to both purposes.') click 'Withdraw everything'.</t>
        </is>
      </c>
      <c r="E511" s="11" t="inlineStr">
        <is>
          <t>A warning 'Withdraw all purposes?' appears: 'Processing for these purposes will stop. Data already collected is not deleted by a withdrawal — if you want it erased, make a rights request.' with the buttons 'Withdraw' and 'Keep my consent'.</t>
        </is>
      </c>
      <c r="F511" s="16" t="n"/>
      <c r="G511" s="16" t="n"/>
    </row>
    <row r="512">
      <c r="A512" s="10" t="inlineStr">
        <is>
          <t>CON-10</t>
        </is>
      </c>
      <c r="B512" s="11" t="inlineStr">
        <is>
          <t>The principal withdraws everything, with a confirmation she can cancel</t>
        </is>
      </c>
      <c r="C512" s="11" t="n">
        <v>3</v>
      </c>
      <c r="D512" s="11" t="inlineStr">
        <is>
          <t>Click 'Keep my consent'.</t>
        </is>
      </c>
      <c r="E512" s="11" t="inlineStr">
        <is>
          <t>The warning closes and the status is still 'Consented'.</t>
        </is>
      </c>
      <c r="F512" s="16" t="n"/>
      <c r="G512" s="16" t="n"/>
    </row>
    <row r="513">
      <c r="A513" s="10" t="inlineStr">
        <is>
          <t>CON-10</t>
        </is>
      </c>
      <c r="B513" s="11" t="inlineStr">
        <is>
          <t>The principal withdraws everything, with a confirmation she can cancel</t>
        </is>
      </c>
      <c r="C513" s="11" t="n">
        <v>4</v>
      </c>
      <c r="D513" s="11" t="inlineStr">
        <is>
          <t>Click 'Withdraw everything' again, then 'Withdraw'.</t>
        </is>
      </c>
      <c r="E513" s="11" t="inlineStr">
        <is>
          <t>A notice 'Withdrawal recorded' appears with 'Stopped: Gait model training, Recording quality assurance.' (the order may differ).</t>
        </is>
      </c>
      <c r="F513" s="16" t="n"/>
      <c r="G513" s="16" t="n"/>
    </row>
    <row r="514">
      <c r="A514" s="10" t="inlineStr">
        <is>
          <t>CON-10</t>
        </is>
      </c>
      <c r="B514" s="11" t="inlineStr">
        <is>
          <t>The principal withdraws everything, with a confirmation she can cancel</t>
        </is>
      </c>
      <c r="C514" s="11" t="n">
        <v>5</v>
      </c>
      <c r="D514" s="11" t="inlineStr">
        <is>
          <t>Look at the card.</t>
        </is>
      </c>
      <c r="E514" s="11" t="inlineStr">
        <is>
          <t>The status is 'Withdrawn' and the text reads 'You were asked about 2 purposes and agreed to none.' The 'Withdraw everything' button is gone.</t>
        </is>
      </c>
      <c r="F514" s="16" t="n"/>
      <c r="G514" s="16" t="n"/>
    </row>
    <row r="515">
      <c r="A515" s="10" t="inlineStr">
        <is>
          <t>CON-10</t>
        </is>
      </c>
      <c r="B515" s="11" t="inlineStr">
        <is>
          <t>The principal withdraws everything, with a confirmation she can cancel</t>
        </is>
      </c>
      <c r="C515" s="11" t="n">
        <v>6</v>
      </c>
      <c r="D515" s="11" t="inlineStr">
        <is>
          <t>Click 'See what you were asked', then 'Show the exact notice I was given'.</t>
        </is>
      </c>
      <c r="E515" s="11" t="inlineStr">
        <is>
          <t>Both purposes show 'Declined'. The notice box still shows the English text originally served, with 'Integrity verified'.</t>
        </is>
      </c>
      <c r="F515" s="16" t="n"/>
      <c r="G515" s="16" t="n"/>
    </row>
    <row r="516">
      <c r="A516" s="10" t="inlineStr">
        <is>
          <t>CON-10</t>
        </is>
      </c>
      <c r="B516" s="11" t="inlineStr">
        <is>
          <t>The principal withdraws everything, with a confirmation she can cancel</t>
        </is>
      </c>
      <c r="C516" s="11" t="n">
        <v>7</v>
      </c>
      <c r="D516" s="11" t="inlineStr">
        <is>
          <t>Click 'What was recorded'.</t>
        </is>
      </c>
      <c r="E516" s="11" t="inlineStr">
        <is>
          <t>The list shows the consent and, after it, the withdrawal.</t>
        </is>
      </c>
      <c r="F516" s="16" t="n"/>
      <c r="G516" s="16" t="n"/>
    </row>
    <row r="517">
      <c r="A517" s="10" t="inlineStr">
        <is>
          <t>CON-10</t>
        </is>
      </c>
      <c r="B517" s="11" t="inlineStr">
        <is>
          <t>The principal withdraws everything, with a confirmation she can cancel</t>
        </is>
      </c>
      <c r="C517" s="11" t="n">
        <v>8</v>
      </c>
      <c r="D517" s="11" t="inlineStr">
        <is>
          <t>Ask the coordinator to check the outbox for dcoadmin@cmp.local.</t>
        </is>
      </c>
      <c r="E517" s="11" t="inlineStr">
        <is>
          <t>A withdrawal confirmation message is present.</t>
        </is>
      </c>
      <c r="F517" s="16" t="n"/>
      <c r="G517" s="16" t="n"/>
    </row>
    <row r="518">
      <c r="A518" s="10" t="inlineStr">
        <is>
          <t>CON-11</t>
        </is>
      </c>
      <c r="B518" s="11" t="inlineStr">
        <is>
          <t>Without a date of birth, My consents and My requests stay open while other pages ask for it</t>
        </is>
      </c>
      <c r="C518" s="11" t="n">
        <v>1</v>
      </c>
      <c r="D518" s="11" t="inlineStr">
        <is>
          <t>Open http://localhost:3001/sign-in. Under 'Sign in with' select 'Email', type admin@cmp.local in 'Email address' and click 'Send me a code'. Then type the code the coordinator relays into 'Six-digit code' and click 'Verify'.</t>
        </is>
      </c>
      <c r="E518" s="11" t="inlineStr">
        <is>
          <t>'My consents' opens — it is NOT replaced by a date-of-birth question. A blue note 'We need your date of birth' reads 'You can withdraw a consent or make a request without it, but we need it before you give a new consent.' with a link 'Add it now'.</t>
        </is>
      </c>
      <c r="F518" s="16" t="n"/>
      <c r="G518" s="16" t="n"/>
    </row>
    <row r="519">
      <c r="A519" s="10" t="inlineStr">
        <is>
          <t>CON-11</t>
        </is>
      </c>
      <c r="B519" s="11" t="inlineStr">
        <is>
          <t>Without a date of birth, My consents and My requests stay open while other pages ask for it</t>
        </is>
      </c>
      <c r="C519" s="11" t="n">
        <v>2</v>
      </c>
      <c r="D519" s="11" t="inlineStr">
        <is>
          <t>Look below the note.</t>
        </is>
      </c>
      <c r="E519" s="11" t="inlineStr">
        <is>
          <t>The page works normally; with no consents it shows 'No consent records'.</t>
        </is>
      </c>
      <c r="F519" s="16" t="n"/>
      <c r="G519" s="16" t="n"/>
    </row>
    <row r="520">
      <c r="A520" s="10" t="inlineStr">
        <is>
          <t>CON-11</t>
        </is>
      </c>
      <c r="B520" s="11" t="inlineStr">
        <is>
          <t>Without a date of birth, My consents and My requests stay open while other pages ask for it</t>
        </is>
      </c>
      <c r="C520" s="11" t="n">
        <v>3</v>
      </c>
      <c r="D520" s="11" t="inlineStr">
        <is>
          <t>Click 'Add it now' in the note.</t>
        </is>
      </c>
      <c r="E520" s="11" t="inlineStr">
        <is>
          <t>'My profile' opens and shows the card 'Your date of birth' with 'Save and continue'. Do not enter a date.</t>
        </is>
      </c>
      <c r="F520" s="16" t="n"/>
      <c r="G520" s="16" t="n"/>
    </row>
    <row r="521">
      <c r="A521" s="10" t="inlineStr">
        <is>
          <t>CON-11</t>
        </is>
      </c>
      <c r="B521" s="11" t="inlineStr">
        <is>
          <t>Without a date of birth, My consents and My requests stay open while other pages ask for it</t>
        </is>
      </c>
      <c r="C521" s="11" t="n">
        <v>4</v>
      </c>
      <c r="D521" s="11" t="inlineStr">
        <is>
          <t>Click 'My requests' in the sidebar.</t>
        </is>
      </c>
      <c r="E521" s="11" t="inlineStr">
        <is>
          <t>The requests page opens normally, with the same 'We need your date of birth' note.</t>
        </is>
      </c>
      <c r="F521" s="16" t="n"/>
      <c r="G521" s="16" t="n"/>
    </row>
    <row r="522">
      <c r="A522" s="10" t="inlineStr">
        <is>
          <t>CON-11</t>
        </is>
      </c>
      <c r="B522" s="11" t="inlineStr">
        <is>
          <t>Without a date of birth, My consents and My requests stay open while other pages ask for it</t>
        </is>
      </c>
      <c r="C522" s="11" t="n">
        <v>5</v>
      </c>
      <c r="D522" s="11" t="inlineStr">
        <is>
          <t>Click your name at the top right to open the account menu, then click 'My profile'.</t>
        </is>
      </c>
      <c r="E522" s="11" t="inlineStr">
        <is>
          <t>The page is replaced by the card 'Your date of birth' with 'Save and continue', and the line 'You can still withdraw a consent or make a request without it.'</t>
        </is>
      </c>
      <c r="F522" s="16" t="n"/>
      <c r="G522" s="16" t="n"/>
    </row>
    <row r="523">
      <c r="A523" s="10" t="inlineStr">
        <is>
          <t>CON-11</t>
        </is>
      </c>
      <c r="B523" s="11" t="inlineStr">
        <is>
          <t>Without a date of birth, My consents and My requests stay open while other pages ask for it</t>
        </is>
      </c>
      <c r="C523" s="11" t="n">
        <v>6</v>
      </c>
      <c r="D523" s="11" t="inlineStr">
        <is>
          <t>Click the 'withdraw a consent' link on that card.</t>
        </is>
      </c>
      <c r="E523" s="11" t="inlineStr">
        <is>
          <t>'My consents' opens again, with the note.</t>
        </is>
      </c>
      <c r="F523" s="16" t="n"/>
      <c r="G523" s="16" t="n"/>
    </row>
    <row r="524">
      <c r="A524" s="10" t="inlineStr">
        <is>
          <t>CON-11</t>
        </is>
      </c>
      <c r="B524" s="11" t="inlineStr">
        <is>
          <t>Without a date of birth, My consents and My requests stay open while other pages ask for it</t>
        </is>
      </c>
      <c r="C524" s="11" t="n">
        <v>7</v>
      </c>
      <c r="D524" s="11" t="inlineStr">
        <is>
          <t>Do not enter a date. Click 'Sign out'.</t>
        </is>
      </c>
      <c r="E524" s="11" t="inlineStr">
        <is>
          <t>You are signed out; no date of birth was saved.</t>
        </is>
      </c>
      <c r="F524" s="16" t="n"/>
      <c r="G524" s="16" t="n"/>
    </row>
    <row r="525">
      <c r="A525" s="10" t="inlineStr">
        <is>
          <t>CON-11</t>
        </is>
      </c>
      <c r="B525" s="11" t="inlineStr">
        <is>
          <t>Without a date of birth, My consents and My requests stay open while other pages ask for it</t>
        </is>
      </c>
      <c r="C525" s="11" t="n">
        <v>8</v>
      </c>
      <c r="D525" s="11" t="inlineStr">
        <is>
          <t>Only if the coordinator supplied an account with no date of birth and an active consent: sign in as it, click 'Withdraw everything' on its card, then 'Withdraw'.</t>
        </is>
      </c>
      <c r="E525" s="11" t="inlineStr">
        <is>
          <t>'Withdrawal recorded' appears and the card shows 'Withdrawn'. No date of birth was asked for at any point.</t>
        </is>
      </c>
      <c r="F525" s="16" t="n"/>
      <c r="G525" s="16" t="n"/>
    </row>
    <row r="526">
      <c r="A526" s="10" t="inlineStr">
        <is>
          <t>CON-12</t>
        </is>
      </c>
      <c r="B526" s="11" t="inlineStr">
        <is>
          <t>The DPO reads the consent register and a consent record as evidence</t>
        </is>
      </c>
      <c r="C526" s="11" t="n">
        <v>1</v>
      </c>
      <c r="D526" s="11" t="inlineStr">
        <is>
          <t>In the sidebar, under 'Consent', click 'Consents'.</t>
        </is>
      </c>
      <c r="E526" s="11" t="inlineStr">
        <is>
          <t>The page 'Consents' opens ('The current position for every data subject in scope…') with a 'Status' filter and the columns Data subject, Project, Site, Status, Purposes, Recorded.</t>
        </is>
      </c>
      <c r="F526" s="16" t="n"/>
      <c r="G526" s="16" t="n"/>
    </row>
    <row r="527">
      <c r="A527" s="10" t="inlineStr">
        <is>
          <t>CON-12</t>
        </is>
      </c>
      <c r="B527" s="11" t="inlineStr">
        <is>
          <t>The DPO reads the consent register and a consent record as evidence</t>
        </is>
      </c>
      <c r="C527" s="11" t="n">
        <v>2</v>
      </c>
      <c r="D527" s="11" t="inlineStr">
        <is>
          <t>Find the four test people on 'Gait Identification Study 2026', site 'CIT'.</t>
        </is>
      </c>
      <c r="E527" s="11" t="inlineStr">
        <is>
          <t>Each appears once (latest record only): Anjali Verma 'Consented' '2 of 2'; UAT Tester One 'Partial' '1 of 2'; UAT Tester Two 'Declined' '0 of 2'; Nikhil Bose 'Withdrawn'.</t>
        </is>
      </c>
      <c r="F527" s="16" t="n"/>
      <c r="G527" s="16" t="n"/>
    </row>
    <row r="528">
      <c r="A528" s="10" t="inlineStr">
        <is>
          <t>CON-12</t>
        </is>
      </c>
      <c r="B528" s="11" t="inlineStr">
        <is>
          <t>The DPO reads the consent register and a consent record as evidence</t>
        </is>
      </c>
      <c r="C528" s="11" t="n">
        <v>3</v>
      </c>
      <c r="D528" s="11" t="inlineStr">
        <is>
          <t>Set 'Status' to 'Partial', then 'Declined', then 'Withdrawn', then 'Consented', then back to 'All statuses'.</t>
        </is>
      </c>
      <c r="E528" s="11" t="inlineStr">
        <is>
          <t>Each time only rows with that status are listed, and the matching test person is among them. 'All statuses' shows everyone again.</t>
        </is>
      </c>
      <c r="F528" s="16" t="n"/>
      <c r="G528" s="16" t="n"/>
    </row>
    <row r="529">
      <c r="A529" s="10" t="inlineStr">
        <is>
          <t>CON-12</t>
        </is>
      </c>
      <c r="B529" s="11" t="inlineStr">
        <is>
          <t>The DPO reads the consent register and a consent record as evidence</t>
        </is>
      </c>
      <c r="C529" s="11" t="n">
        <v>4</v>
      </c>
      <c r="D529" s="11" t="inlineStr">
        <is>
          <t>Click 'UAT Tester One'.</t>
        </is>
      </c>
      <c r="E529" s="11" t="inlineStr">
        <is>
          <t>The record page opens: small heading 'Consent', title 'UAT Tester One', 'Gait Identification Study 2026 · CIT', the status 'Partial', an 'Audit trail' button and the back link 'All consents'.</t>
        </is>
      </c>
      <c r="F529" s="16" t="n"/>
      <c r="G529" s="16" t="n"/>
    </row>
    <row r="530">
      <c r="A530" s="10" t="inlineStr">
        <is>
          <t>CON-12</t>
        </is>
      </c>
      <c r="B530" s="11" t="inlineStr">
        <is>
          <t>The DPO reads the consent register and a consent record as evidence</t>
        </is>
      </c>
      <c r="C530" s="11" t="n">
        <v>5</v>
      </c>
      <c r="D530" s="11" t="inlineStr">
        <is>
          <t>Read the 'Purposes' card.</t>
        </is>
      </c>
      <c r="E530" s="11" t="inlineStr">
        <is>
          <t>'1 of 2 purposes agreed.' 'Gait model training' shows 'Agreed'; 'Recording quality assurance' shows 'Not agreed'. Each line shows 'Lawful basis:', 'Retention:' and 'Categories:'.</t>
        </is>
      </c>
      <c r="F530" s="16" t="n"/>
      <c r="G530" s="16" t="n"/>
    </row>
    <row r="531">
      <c r="A531" s="10" t="inlineStr">
        <is>
          <t>CON-12</t>
        </is>
      </c>
      <c r="B531" s="11" t="inlineStr">
        <is>
          <t>The DPO reads the consent register and a consent record as evidence</t>
        </is>
      </c>
      <c r="C531" s="11" t="n">
        <v>6</v>
      </c>
      <c r="D531" s="11" t="inlineStr">
        <is>
          <t>Read the 'Evidence' card.</t>
        </is>
      </c>
      <c r="E531" s="11" t="inlineStr">
        <is>
          <t>'Notice' NTC-GAIT-2026 v1 (a link), 'Language' Hindi, 'Content hash', 'Served at' and 'Acted at' (Served at is not later than Acted at), 'Action' Checkbox click. A note explains the gap between served and acted evidences s.5(1).</t>
        </is>
      </c>
      <c r="F531" s="16" t="n"/>
      <c r="G531" s="16" t="n"/>
    </row>
    <row r="532">
      <c r="A532" s="10" t="inlineStr">
        <is>
          <t>CON-12</t>
        </is>
      </c>
      <c r="B532" s="11" t="inlineStr">
        <is>
          <t>The DPO reads the consent register and a consent record as evidence</t>
        </is>
      </c>
      <c r="C532" s="11" t="n">
        <v>7</v>
      </c>
      <c r="D532" s="11" t="inlineStr">
        <is>
          <t>Read the 'Data subject' card and 'Assets containing this person'.</t>
        </is>
      </c>
      <c r="E532" s="11" t="inlineStr">
        <is>
          <t>'Data subject' shows Name, Email (tester01@example.org), Mobile, Site CIT, Project, Record and Recorded — no date of birth or other personal data. 'Assets containing this person' shows 'No assets mapped' (before CON-18).</t>
        </is>
      </c>
      <c r="F532" s="16" t="n"/>
      <c r="G532" s="16" t="n"/>
    </row>
    <row r="533">
      <c r="A533" s="10" t="inlineStr">
        <is>
          <t>CON-12</t>
        </is>
      </c>
      <c r="B533" s="11" t="inlineStr">
        <is>
          <t>The DPO reads the consent register and a consent record as evidence</t>
        </is>
      </c>
      <c r="C533" s="11" t="n">
        <v>8</v>
      </c>
      <c r="D533" s="11" t="inlineStr">
        <is>
          <t>Look for any control to edit or delete the record.</t>
        </is>
      </c>
      <c r="E533" s="11" t="inlineStr">
        <is>
          <t>There is none; the record is read-only.</t>
        </is>
      </c>
      <c r="F533" s="16" t="n"/>
      <c r="G533" s="16" t="n"/>
    </row>
    <row r="534">
      <c r="A534" s="10" t="inlineStr">
        <is>
          <t>CON-12</t>
        </is>
      </c>
      <c r="B534" s="11" t="inlineStr">
        <is>
          <t>The DPO reads the consent register and a consent record as evidence</t>
        </is>
      </c>
      <c r="C534" s="11" t="n">
        <v>9</v>
      </c>
      <c r="D534" s="11" t="inlineStr">
        <is>
          <t>Click 'All consents' and open 'Nikhil Bose'.</t>
        </is>
      </c>
      <c r="E534" s="11" t="inlineStr">
        <is>
          <t>A warning 'This record is a withdrawal' says it supersedes an earlier consent rather than replacing it. Both purposes show 'Not agreed' and 'Action' is 'Button press'.</t>
        </is>
      </c>
      <c r="F534" s="16" t="n"/>
      <c r="G534" s="16" t="n"/>
    </row>
    <row r="535">
      <c r="A535" s="10" t="inlineStr">
        <is>
          <t>CON-12</t>
        </is>
      </c>
      <c r="B535" s="11" t="inlineStr">
        <is>
          <t>The DPO reads the consent register and a consent record as evidence</t>
        </is>
      </c>
      <c r="C535" s="11" t="n">
        <v>10</v>
      </c>
      <c r="D535" s="11" t="inlineStr">
        <is>
          <t>Click 'Audit trail' on this record.</t>
        </is>
      </c>
      <c r="E535" s="11" t="inlineStr">
        <is>
          <t>The 'Audit trail' page opens already filtered to this record (a filter chip is shown) and lists 'Consent withdrawn'.</t>
        </is>
      </c>
      <c r="F535" s="16" t="n"/>
      <c r="G535" s="16" t="n"/>
    </row>
    <row r="536">
      <c r="A536" s="10" t="inlineStr">
        <is>
          <t>CON-13</t>
        </is>
      </c>
      <c r="B536" s="11" t="inlineStr">
        <is>
          <t>Consent records and exports are limited to the sites a role runs; other roles have no access</t>
        </is>
      </c>
      <c r="C536" s="11" t="n">
        <v>1</v>
      </c>
      <c r="D536" s="11" t="inlineStr">
        <is>
          <t>Sign in as dco@cmp.local and click 'Consents'.</t>
        </is>
      </c>
      <c r="E536" s="11" t="inlineStr">
        <is>
          <t>The CIT rows for Anjali Verma, UAT Tester One, UAT Tester Two and Nikhil Bose are listed.</t>
        </is>
      </c>
      <c r="F536" s="16" t="n"/>
      <c r="G536" s="16" t="n"/>
    </row>
    <row r="537">
      <c r="A537" s="10" t="inlineStr">
        <is>
          <t>CON-13</t>
        </is>
      </c>
      <c r="B537" s="11" t="inlineStr">
        <is>
          <t>Consent records and exports are limited to the sites a role runs; other roles have no access</t>
        </is>
      </c>
      <c r="C537" s="11" t="n">
        <v>2</v>
      </c>
      <c r="D537" s="11" t="inlineStr">
        <is>
          <t>Open one of them.</t>
        </is>
      </c>
      <c r="E537" s="11" t="inlineStr">
        <is>
          <t>The record opens read-only, as for the DPO.</t>
        </is>
      </c>
      <c r="F537" s="16" t="n"/>
      <c r="G537" s="16" t="n"/>
    </row>
    <row r="538">
      <c r="A538" s="10" t="inlineStr">
        <is>
          <t>CON-13</t>
        </is>
      </c>
      <c r="B538" s="11" t="inlineStr">
        <is>
          <t>Consent records and exports are limited to the sites a role runs; other roles have no access</t>
        </is>
      </c>
      <c r="C538" s="11" t="n">
        <v>3</v>
      </c>
      <c r="D538" s="11" t="inlineStr">
        <is>
          <t>Sign out, sign in as rco@cmp.local and click 'Consents'.</t>
        </is>
      </c>
      <c r="E538" s="11" t="inlineStr">
        <is>
          <t>None of the CIT test people are listed (the RCO runs only the SE site); the list is empty ('No consent records yet') unless someone consented at SE.</t>
        </is>
      </c>
      <c r="F538" s="16" t="n"/>
      <c r="G538" s="16" t="n"/>
    </row>
    <row r="539">
      <c r="A539" s="10" t="inlineStr">
        <is>
          <t>CON-13</t>
        </is>
      </c>
      <c r="B539" s="11" t="inlineStr">
        <is>
          <t>Consent records and exports are limited to the sites a role runs; other roles have no access</t>
        </is>
      </c>
      <c r="C539" s="11" t="n">
        <v>4</v>
      </c>
      <c r="D539" s="11" t="inlineStr">
        <is>
          <t>As the RCO click 'My projects', type 'Gait Identification' in 'Search' (the list updates as you type), open 'Gait Identification Study 2026', click 'Generate export' and then 'Generate the export'.</t>
        </is>
      </c>
      <c r="E539" s="11" t="inlineStr">
        <is>
          <t>The notice 'Export generated' says 'Nobody has consented on this project yet, so the file carries the project details only.' — the RCO's export contains none of the CIT people.</t>
        </is>
      </c>
      <c r="F539" s="16" t="n"/>
      <c r="G539" s="16" t="n"/>
    </row>
    <row r="540">
      <c r="A540" s="10" t="inlineStr">
        <is>
          <t>CON-13</t>
        </is>
      </c>
      <c r="B540" s="11" t="inlineStr">
        <is>
          <t>Consent records and exports are limited to the sites a role runs; other roles have no access</t>
        </is>
      </c>
      <c r="C540" s="11" t="n">
        <v>5</v>
      </c>
      <c r="D540" s="11" t="inlineStr">
        <is>
          <t>Sign out, sign in as rnd@cmp.local and look at the sidebar.</t>
        </is>
      </c>
      <c r="E540" s="11" t="inlineStr">
        <is>
          <t>There is no 'Consents', 'Consent links' or 'Exports' entry.</t>
        </is>
      </c>
      <c r="F540" s="16" t="n"/>
      <c r="G540" s="16" t="n"/>
    </row>
    <row r="541">
      <c r="A541" s="10" t="inlineStr">
        <is>
          <t>CON-13</t>
        </is>
      </c>
      <c r="B541" s="11" t="inlineStr">
        <is>
          <t>Consent records and exports are limited to the sites a role runs; other roles have no access</t>
        </is>
      </c>
      <c r="C541" s="11" t="n">
        <v>6</v>
      </c>
      <c r="D541" s="11" t="inlineStr">
        <is>
          <t>Type http://localhost:3000/consents in the address bar, then http://localhost:3000/exports.</t>
        </is>
      </c>
      <c r="E541" s="11" t="inlineStr">
        <is>
          <t>Each shows 'Not part of your account' ('This section belongs to a different role, so there is nothing here for you…'). No consent or export data is shown.</t>
        </is>
      </c>
      <c r="F541" s="16" t="n"/>
      <c r="G541" s="16" t="n"/>
    </row>
    <row r="542">
      <c r="A542" s="10" t="inlineStr">
        <is>
          <t>CON-13</t>
        </is>
      </c>
      <c r="B542" s="11" t="inlineStr">
        <is>
          <t>Consent records and exports are limited to the sites a role runs; other roles have no access</t>
        </is>
      </c>
      <c r="C542" s="11" t="n">
        <v>7</v>
      </c>
      <c r="D542" s="11" t="inlineStr">
        <is>
          <t>Sign out, sign in as admin@cmp.local and look at the sidebar; then open http://localhost:3000/consents.</t>
        </is>
      </c>
      <c r="E542" s="11" t="inlineStr">
        <is>
          <t>The sidebar has no 'Consents', 'Exports', 'Imports' or 'Collections'. The address shows 'Not part of your account'.</t>
        </is>
      </c>
      <c r="F542" s="16" t="n"/>
      <c r="G542" s="16" t="n"/>
    </row>
    <row r="543">
      <c r="A543" s="10" t="inlineStr">
        <is>
          <t>CON-14</t>
        </is>
      </c>
      <c r="B543" s="11" t="inlineStr">
        <is>
          <t>The DPO generates a project export for processors in India and downloads it</t>
        </is>
      </c>
      <c r="C543" s="11" t="n">
        <v>1</v>
      </c>
      <c r="D543" s="11" t="inlineStr">
        <is>
          <t>In the sidebar click 'Processors'.</t>
        </is>
      </c>
      <c r="E543" s="11" t="inlineStr">
        <is>
          <t>The 'Country' column shows 'IN' for 'SEED', 'SRIB' and 'Pune Motion Lab Pvt Ltd'. If any shows something else, set it back to IN (Edit, Country, Save changes) before continuing.</t>
        </is>
      </c>
      <c r="F543" s="16" t="n"/>
      <c r="G543" s="16" t="n"/>
    </row>
    <row r="544">
      <c r="A544" s="10" t="inlineStr">
        <is>
          <t>CON-14</t>
        </is>
      </c>
      <c r="B544" s="11" t="inlineStr">
        <is>
          <t>The DPO generates a project export for processors in India and downloads it</t>
        </is>
      </c>
      <c r="C544" s="11" t="n">
        <v>2</v>
      </c>
      <c r="D544" s="11" t="inlineStr">
        <is>
          <t>Click 'Projects', type 'Gait Identification' in 'Search' (the list updates as you type) and open 'Gait Identification Study 2026'.</t>
        </is>
      </c>
      <c r="E544" s="11" t="inlineStr">
        <is>
          <t>The project page opens with the status approved and a 'Generate export' button in the header.</t>
        </is>
      </c>
      <c r="F544" s="16" t="n"/>
      <c r="G544" s="16" t="n"/>
    </row>
    <row r="545">
      <c r="A545" s="10" t="inlineStr">
        <is>
          <t>CON-14</t>
        </is>
      </c>
      <c r="B545" s="11" t="inlineStr">
        <is>
          <t>The DPO generates a project export for processors in India and downloads it</t>
        </is>
      </c>
      <c r="C545" s="11" t="n">
        <v>3</v>
      </c>
      <c r="D545" s="11" t="inlineStr">
        <is>
          <t>Click 'Generate export'.</t>
        </is>
      </c>
      <c r="E545" s="11" t="inlineStr">
        <is>
          <t>A dialog 'Generate an export' opens with a warning ('This CSV contains personal data — name, email and mobile number for every person who consented. Generating it writes one disclosure row each…'), an information box ('One row per consent… People who have withdrawn are included and marked…') and the buttons 'Cancel' and 'Generate the export'. There is nothing to choose.</t>
        </is>
      </c>
      <c r="F545" s="16" t="n"/>
      <c r="G545" s="16" t="n"/>
    </row>
    <row r="546">
      <c r="A546" s="10" t="inlineStr">
        <is>
          <t>CON-14</t>
        </is>
      </c>
      <c r="B546" s="11" t="inlineStr">
        <is>
          <t>The DPO generates a project export for processors in India and downloads it</t>
        </is>
      </c>
      <c r="C546" s="11" t="n">
        <v>4</v>
      </c>
      <c r="D546" s="11" t="inlineStr">
        <is>
          <t>Click 'Cancel'.</t>
        </is>
      </c>
      <c r="E546" s="11" t="inlineStr">
        <is>
          <t>The dialog closes and nothing is generated.</t>
        </is>
      </c>
      <c r="F546" s="16" t="n"/>
      <c r="G546" s="16" t="n"/>
    </row>
    <row r="547">
      <c r="A547" s="10" t="inlineStr">
        <is>
          <t>CON-14</t>
        </is>
      </c>
      <c r="B547" s="11" t="inlineStr">
        <is>
          <t>The DPO generates a project export for processors in India and downloads it</t>
        </is>
      </c>
      <c r="C547" s="11" t="n">
        <v>5</v>
      </c>
      <c r="D547" s="11" t="inlineStr">
        <is>
          <t>Click 'Generate export' again, then 'Generate the export'.</t>
        </is>
      </c>
      <c r="E547" s="11" t="inlineStr">
        <is>
          <t>The notice 'Export generated' says '&lt;N&gt; consent(s). Download it from the Exports page — downloading is repeatable.' The dialog closes. Write down N.</t>
        </is>
      </c>
      <c r="F547" s="16" t="n"/>
      <c r="G547" s="16" t="n"/>
    </row>
    <row r="548">
      <c r="A548" s="10" t="inlineStr">
        <is>
          <t>CON-14</t>
        </is>
      </c>
      <c r="B548" s="11" t="inlineStr">
        <is>
          <t>The DPO generates a project export for processors in India and downloads it</t>
        </is>
      </c>
      <c r="C548" s="11" t="n">
        <v>6</v>
      </c>
      <c r="D548" s="11" t="inlineStr">
        <is>
          <t>In the sidebar click 'Exports'.</t>
        </is>
      </c>
      <c r="E548" s="11" t="inlineStr">
        <is>
          <t>The top row shows the time just now 'by Priya Menon', project 'Gait Identification Study 2026', Site 'Whole project', Type 'Project export', Subjects = N, a SHA-256 code and a 'Download' button.</t>
        </is>
      </c>
      <c r="F548" s="16" t="n"/>
      <c r="G548" s="16" t="n"/>
    </row>
    <row r="549">
      <c r="A549" s="10" t="inlineStr">
        <is>
          <t>CON-14</t>
        </is>
      </c>
      <c r="B549" s="11" t="inlineStr">
        <is>
          <t>The DPO generates a project export for processors in India and downloads it</t>
        </is>
      </c>
      <c r="C549" s="11" t="n">
        <v>7</v>
      </c>
      <c r="D549" s="11" t="inlineStr">
        <is>
          <t>Click 'Download' on that row.</t>
        </is>
      </c>
      <c r="E549" s="11" t="inlineStr">
        <is>
          <t>The notice 'Downloaded' with the file name appears and one .csv file is saved.</t>
        </is>
      </c>
      <c r="F549" s="16" t="n"/>
      <c r="G549" s="16" t="n"/>
    </row>
    <row r="550">
      <c r="A550" s="10" t="inlineStr">
        <is>
          <t>CON-14</t>
        </is>
      </c>
      <c r="B550" s="11" t="inlineStr">
        <is>
          <t>The DPO generates a project export for processors in India and downloads it</t>
        </is>
      </c>
      <c r="C550" s="11" t="n">
        <v>8</v>
      </c>
      <c r="D550" s="11" t="inlineStr">
        <is>
          <t>Open the CSV in a spreadsheet.</t>
        </is>
      </c>
      <c r="E550" s="11" t="inlineStr">
        <is>
          <t>One file with a header row including project_name, site_label, consent_uuid, full_name, email, mobile, consent_status, granted_purposes, notice_code and notice_version. Anjali Verma: consent_status 'consented', granted_purposes lists PUR-GAIT-TRAIN and PUR-QUALITY. UAT Tester One: 'partial', PUR-GAIT-TRAIN only. Nikhil Bose: 'withdrawn', granted_purposes empty. There is NO row for UAT Tester Two. Names and contacts are readable. Note Anjali's consent_uuid (needed in CON-18).</t>
        </is>
      </c>
      <c r="F550" s="16" t="n"/>
      <c r="G550" s="16" t="n"/>
    </row>
    <row r="551">
      <c r="A551" s="10" t="inlineStr">
        <is>
          <t>CON-14</t>
        </is>
      </c>
      <c r="B551" s="11" t="inlineStr">
        <is>
          <t>The DPO generates a project export for processors in India and downloads it</t>
        </is>
      </c>
      <c r="C551" s="11" t="n">
        <v>9</v>
      </c>
      <c r="D551" s="11" t="inlineStr">
        <is>
          <t>Click 'Download' on the same row again.</t>
        </is>
      </c>
      <c r="E551" s="11" t="inlineStr">
        <is>
          <t>The same file downloads again, and no new row appears on the Exports page (downloading does not create a new export).</t>
        </is>
      </c>
      <c r="F551" s="16" t="n"/>
      <c r="G551" s="16" t="n"/>
    </row>
    <row r="552">
      <c r="A552" s="10" t="inlineStr">
        <is>
          <t>CON-14</t>
        </is>
      </c>
      <c r="B552" s="11" t="inlineStr">
        <is>
          <t>The DPO generates a project export for processors in India and downloads it</t>
        </is>
      </c>
      <c r="C552" s="11" t="n">
        <v>10</v>
      </c>
      <c r="D552" s="11" t="inlineStr">
        <is>
          <t>Set the 'Type' filter to 'Project export (CSV, personal data)'.</t>
        </is>
      </c>
      <c r="E552" s="11" t="inlineStr">
        <is>
          <t>The new export is still listed.</t>
        </is>
      </c>
      <c r="F552" s="16" t="n"/>
      <c r="G552" s="16" t="n"/>
    </row>
    <row r="553">
      <c r="A553" s="10" t="inlineStr">
        <is>
          <t>CON-15</t>
        </is>
      </c>
      <c r="B553" s="11" t="inlineStr">
        <is>
          <t>An export is refused when a site's processor is in a restricted country</t>
        </is>
      </c>
      <c r="C553" s="11" t="n">
        <v>1</v>
      </c>
      <c r="D553" s="11" t="inlineStr">
        <is>
          <t>Click 'Processors'. On the 'SEED' row click 'Edit'.</t>
        </is>
      </c>
      <c r="E553" s="11" t="inlineStr">
        <is>
          <t>A dialog 'Edit processor' opens. 'Country' shows IN with the hint 'Where it is, as a two-letter code (IN for India). An export to a processor with no country is refused; one abroad goes only where the law and every purpose allow.'</t>
        </is>
      </c>
      <c r="F553" s="16" t="n"/>
      <c r="G553" s="16" t="n"/>
    </row>
    <row r="554">
      <c r="A554" s="10" t="inlineStr">
        <is>
          <t>CON-15</t>
        </is>
      </c>
      <c r="B554" s="11" t="inlineStr">
        <is>
          <t>An export is refused when a site's processor is in a restricted country</t>
        </is>
      </c>
      <c r="C554" s="11" t="n">
        <v>2</v>
      </c>
      <c r="D554" s="11" t="inlineStr">
        <is>
          <t>Replace the country with 1N and click 'Save changes'.</t>
        </is>
      </c>
      <c r="E554" s="11" t="inlineStr">
        <is>
          <t>The message 'Two letters: the ISO country code, e.g. IN' appears under 'Country'; nothing is saved.</t>
        </is>
      </c>
      <c r="F554" s="16" t="n"/>
      <c r="G554" s="16" t="n"/>
    </row>
    <row r="555">
      <c r="A555" s="10" t="inlineStr">
        <is>
          <t>CON-15</t>
        </is>
      </c>
      <c r="B555" s="11" t="inlineStr">
        <is>
          <t>An export is refused when a site's processor is in a restricted country</t>
        </is>
      </c>
      <c r="C555" s="11" t="n">
        <v>3</v>
      </c>
      <c r="D555" s="11" t="inlineStr">
        <is>
          <t>Replace it with SG and click 'Save changes'.</t>
        </is>
      </c>
      <c r="E555" s="11" t="inlineStr">
        <is>
          <t>The notice 'Processor updated' appears and the 'Country' column for SEED shows SG.</t>
        </is>
      </c>
      <c r="F555" s="16" t="n"/>
      <c r="G555" s="16" t="n"/>
    </row>
    <row r="556">
      <c r="A556" s="10" t="inlineStr">
        <is>
          <t>CON-15</t>
        </is>
      </c>
      <c r="B556" s="11" t="inlineStr">
        <is>
          <t>An export is refused when a site's processor is in a restricted country</t>
        </is>
      </c>
      <c r="C556" s="11" t="n">
        <v>4</v>
      </c>
      <c r="D556" s="11" t="inlineStr">
        <is>
          <t>Scroll down to the card 'Restricted countries (s.16)'. Type SG in 'Country' and UAT-TEST-NOTIF-01 in 'Notification' and click 'Restrict'.</t>
        </is>
      </c>
      <c r="E556" s="11" t="inlineStr">
        <is>
          <t>'Restrict' is greyed out until both boxes are filled. After clicking, the notice 'Country restricted' ('Exports whose rows would go there are refused from now on.') appears and the list shows 'SG UAT-TEST-NOTIF-01 since &lt;today&gt;' with a 'Lift' button.</t>
        </is>
      </c>
      <c r="F556" s="16" t="n"/>
      <c r="G556" s="16" t="n"/>
    </row>
    <row r="557">
      <c r="A557" s="10" t="inlineStr">
        <is>
          <t>CON-15</t>
        </is>
      </c>
      <c r="B557" s="11" t="inlineStr">
        <is>
          <t>An export is refused when a site's processor is in a restricted country</t>
        </is>
      </c>
      <c r="C557" s="11" t="n">
        <v>5</v>
      </c>
      <c r="D557" s="11" t="inlineStr">
        <is>
          <t>Open 'Projects' &gt; 'Gait Identification Study 2026', click 'Generate export', then 'Generate the export'.</t>
        </is>
      </c>
      <c r="E557" s="11" t="inlineStr">
        <is>
          <t>A red message appears inside the dialog: 'This export cannot go: SEED is in SG, restricted by UAT-TEST-NOTIF-01.' The dialog stays open and there is no 'Export generated' notice.</t>
        </is>
      </c>
      <c r="F557" s="16" t="n"/>
      <c r="G557" s="16" t="n"/>
    </row>
    <row r="558">
      <c r="A558" s="10" t="inlineStr">
        <is>
          <t>CON-15</t>
        </is>
      </c>
      <c r="B558" s="11" t="inlineStr">
        <is>
          <t>An export is refused when a site's processor is in a restricted country</t>
        </is>
      </c>
      <c r="C558" s="11" t="n">
        <v>6</v>
      </c>
      <c r="D558" s="11" t="inlineStr">
        <is>
          <t>Click 'Cancel' and open 'Exports'.</t>
        </is>
      </c>
      <c r="E558" s="11" t="inlineStr">
        <is>
          <t>No new export row has been added since CON-14.</t>
        </is>
      </c>
      <c r="F558" s="16" t="n"/>
      <c r="G558" s="16" t="n"/>
    </row>
    <row r="559">
      <c r="A559" s="10" t="inlineStr">
        <is>
          <t>CON-15</t>
        </is>
      </c>
      <c r="B559" s="11" t="inlineStr">
        <is>
          <t>An export is refused when a site's processor is in a restricted country</t>
        </is>
      </c>
      <c r="C559" s="11" t="n">
        <v>7</v>
      </c>
      <c r="D559" s="11" t="inlineStr">
        <is>
          <t>Go back to 'Processors'; in 'Restricted countries (s.16)' click 'Lift' on SG.</t>
        </is>
      </c>
      <c r="E559" s="11" t="inlineStr">
        <is>
          <t>The notice 'SG lifted' ('Exports there are judged by the purposes again.') appears and SG leaves the list.</t>
        </is>
      </c>
      <c r="F559" s="16" t="n"/>
      <c r="G559" s="16" t="n"/>
    </row>
    <row r="560">
      <c r="A560" s="10" t="inlineStr">
        <is>
          <t>CON-15</t>
        </is>
      </c>
      <c r="B560" s="11" t="inlineStr">
        <is>
          <t>An export is refused when a site's processor is in a restricted country</t>
        </is>
      </c>
      <c r="C560" s="11" t="n">
        <v>8</v>
      </c>
      <c r="D560" s="11" t="inlineStr">
        <is>
          <t>Restore: on the 'SEED' row click 'Edit', set 'Country' to IN and click 'Save changes'.</t>
        </is>
      </c>
      <c r="E560" s="11" t="inlineStr">
        <is>
          <t>'Processor updated' appears and SEED's Country shows IN again.</t>
        </is>
      </c>
      <c r="F560" s="16" t="n"/>
      <c r="G560" s="16" t="n"/>
    </row>
    <row r="561">
      <c r="A561" s="10" t="inlineStr">
        <is>
          <t>CON-16</t>
        </is>
      </c>
      <c r="B561" s="11" t="inlineStr">
        <is>
          <t>An export abroad is refused when an agreed purpose does not permit cross-border transfer, and goes once India is restored</t>
        </is>
      </c>
      <c r="C561" s="11" t="n">
        <v>1</v>
      </c>
      <c r="D561" s="11" t="inlineStr">
        <is>
          <t>Click 'Processors'; on 'SEED' click 'Edit', set 'Country' to SG and click 'Save changes'.</t>
        </is>
      </c>
      <c r="E561" s="11" t="inlineStr">
        <is>
          <t>'Processor updated' appears and SEED shows SG.</t>
        </is>
      </c>
      <c r="F561" s="16" t="n"/>
      <c r="G561" s="16" t="n"/>
    </row>
    <row r="562">
      <c r="A562" s="10" t="inlineStr">
        <is>
          <t>CON-16</t>
        </is>
      </c>
      <c r="B562" s="11" t="inlineStr">
        <is>
          <t>An export abroad is refused when an agreed purpose does not permit cross-border transfer, and goes once India is restored</t>
        </is>
      </c>
      <c r="C562" s="11" t="n">
        <v>2</v>
      </c>
      <c r="D562" s="11" t="inlineStr">
        <is>
          <t>Check the 'Restricted countries (s.16)' card.</t>
        </is>
      </c>
      <c r="E562" s="11" t="inlineStr">
        <is>
          <t>SG is not listed.</t>
        </is>
      </c>
      <c r="F562" s="16" t="n"/>
      <c r="G562" s="16" t="n"/>
    </row>
    <row r="563">
      <c r="A563" s="10" t="inlineStr">
        <is>
          <t>CON-16</t>
        </is>
      </c>
      <c r="B563" s="11" t="inlineStr">
        <is>
          <t>An export abroad is refused when an agreed purpose does not permit cross-border transfer, and goes once India is restored</t>
        </is>
      </c>
      <c r="C563" s="11" t="n">
        <v>3</v>
      </c>
      <c r="D563" s="11" t="inlineStr">
        <is>
          <t>Open 'Gait Identification Study 2026', click 'Generate export', then 'Generate the export'.</t>
        </is>
      </c>
      <c r="E563" s="11" t="inlineStr">
        <is>
          <t>A red message in the dialog: 'This export cannot go: SEED is in SG, and PUR-GAIT-TRAIN, PUR-QUALITY does not permit a transfer outside India.' (it names the purposes people agreed to at CIT). No 'Export generated' notice.</t>
        </is>
      </c>
      <c r="F563" s="16" t="n"/>
      <c r="G563" s="16" t="n"/>
    </row>
    <row r="564">
      <c r="A564" s="10" t="inlineStr">
        <is>
          <t>CON-16</t>
        </is>
      </c>
      <c r="B564" s="11" t="inlineStr">
        <is>
          <t>An export abroad is refused when an agreed purpose does not permit cross-border transfer, and goes once India is restored</t>
        </is>
      </c>
      <c r="C564" s="11" t="n">
        <v>4</v>
      </c>
      <c r="D564" s="11" t="inlineStr">
        <is>
          <t>Click 'Cancel' and open 'Exports'.</t>
        </is>
      </c>
      <c r="E564" s="11" t="inlineStr">
        <is>
          <t>No new export row was added by the refused attempt.</t>
        </is>
      </c>
      <c r="F564" s="16" t="n"/>
      <c r="G564" s="16" t="n"/>
    </row>
    <row r="565">
      <c r="A565" s="10" t="inlineStr">
        <is>
          <t>CON-16</t>
        </is>
      </c>
      <c r="B565" s="11" t="inlineStr">
        <is>
          <t>An export abroad is refused when an agreed purpose does not permit cross-border transfer, and goes once India is restored</t>
        </is>
      </c>
      <c r="C565" s="11" t="n">
        <v>5</v>
      </c>
      <c r="D565" s="11" t="inlineStr">
        <is>
          <t>Restore: 'Processors' &gt; 'SEED' &gt; 'Edit', set 'Country' to IN, 'Save changes'.</t>
        </is>
      </c>
      <c r="E565" s="11" t="inlineStr">
        <is>
          <t>SEED shows IN.</t>
        </is>
      </c>
      <c r="F565" s="16" t="n"/>
      <c r="G565" s="16" t="n"/>
    </row>
    <row r="566">
      <c r="A566" s="10" t="inlineStr">
        <is>
          <t>CON-16</t>
        </is>
      </c>
      <c r="B566" s="11" t="inlineStr">
        <is>
          <t>An export abroad is refused when an agreed purpose does not permit cross-border transfer, and goes once India is restored</t>
        </is>
      </c>
      <c r="C566" s="11" t="n">
        <v>6</v>
      </c>
      <c r="D566" s="11" t="inlineStr">
        <is>
          <t>Open the project again, click 'Generate export', then 'Generate the export'.</t>
        </is>
      </c>
      <c r="E566" s="11" t="inlineStr">
        <is>
          <t>'Export generated' appears with the number of consents.</t>
        </is>
      </c>
      <c r="F566" s="16" t="n"/>
      <c r="G566" s="16" t="n"/>
    </row>
    <row r="567">
      <c r="A567" s="10" t="inlineStr">
        <is>
          <t>CON-16</t>
        </is>
      </c>
      <c r="B567" s="11" t="inlineStr">
        <is>
          <t>An export abroad is refused when an agreed purpose does not permit cross-border transfer, and goes once India is restored</t>
        </is>
      </c>
      <c r="C567" s="11" t="n">
        <v>7</v>
      </c>
      <c r="D567" s="11" t="inlineStr">
        <is>
          <t>Open 'Exports' and click 'Download' on the new top row, then open the CSV.</t>
        </is>
      </c>
      <c r="E567" s="11" t="inlineStr">
        <is>
          <t>A new 'Project export' row is listed; the CSV holds the same people and statuses as in CON-14.</t>
        </is>
      </c>
      <c r="F567" s="16" t="n"/>
      <c r="G567" s="16" t="n"/>
    </row>
    <row r="568">
      <c r="A568" s="10" t="inlineStr">
        <is>
          <t>CON-17</t>
        </is>
      </c>
      <c r="B568" s="11" t="inlineStr">
        <is>
          <t>An export is refused when a site's processor has no recorded country</t>
        </is>
      </c>
      <c r="C568" s="11" t="n">
        <v>1</v>
      </c>
      <c r="D568" s="11" t="inlineStr">
        <is>
          <t>Click 'Processors', then 'Register processor'. Fill 'Registered legal name', 'Type', 'Contract reference' and 'Security confirmed on' from the test data, leave 'Country' empty and click 'Register processor'.</t>
        </is>
      </c>
      <c r="E568" s="11" t="inlineStr">
        <is>
          <t>The notice 'Processor registered' appears. The new row shows 'not recorded' in the Country column; hovering it shows 'An export to this processor is refused until its country is recorded'.</t>
        </is>
      </c>
      <c r="F568" s="16" t="n"/>
      <c r="G568" s="16" t="n"/>
    </row>
    <row r="569">
      <c r="A569" s="10" t="inlineStr">
        <is>
          <t>CON-17</t>
        </is>
      </c>
      <c r="B569" s="11" t="inlineStr">
        <is>
          <t>An export is refused when a site's processor has no recorded country</t>
        </is>
      </c>
      <c r="C569" s="11" t="n">
        <v>2</v>
      </c>
      <c r="D569" s="11" t="inlineStr">
        <is>
          <t>Find the coordinator's prepared processor in the list.</t>
        </is>
      </c>
      <c r="E569" s="11" t="inlineStr">
        <is>
          <t>Its Country also shows 'not recorded'.</t>
        </is>
      </c>
      <c r="F569" s="16" t="n"/>
      <c r="G569" s="16" t="n"/>
    </row>
    <row r="570">
      <c r="A570" s="10" t="inlineStr">
        <is>
          <t>CON-17</t>
        </is>
      </c>
      <c r="B570" s="11" t="inlineStr">
        <is>
          <t>An export is refused when a site's processor has no recorded country</t>
        </is>
      </c>
      <c r="C570" s="11" t="n">
        <v>3</v>
      </c>
      <c r="D570" s="11" t="inlineStr">
        <is>
          <t>Open the prepared project, click 'Generate export', then 'Generate the export'.</t>
        </is>
      </c>
      <c r="E570" s="11" t="inlineStr">
        <is>
          <t>A red message in the dialog: 'This export cannot go: &lt;processor name&gt; has no recorded location - record its country first.' No 'Export generated' notice.</t>
        </is>
      </c>
      <c r="F570" s="16" t="n"/>
      <c r="G570" s="16" t="n"/>
    </row>
    <row r="571">
      <c r="A571" s="10" t="inlineStr">
        <is>
          <t>CON-17</t>
        </is>
      </c>
      <c r="B571" s="11" t="inlineStr">
        <is>
          <t>An export is refused when a site's processor has no recorded country</t>
        </is>
      </c>
      <c r="C571" s="11" t="n">
        <v>4</v>
      </c>
      <c r="D571" s="11" t="inlineStr">
        <is>
          <t>Click 'Cancel' and open 'Exports'.</t>
        </is>
      </c>
      <c r="E571" s="11" t="inlineStr">
        <is>
          <t>No new export row for that project.</t>
        </is>
      </c>
      <c r="F571" s="16" t="n"/>
      <c r="G571" s="16" t="n"/>
    </row>
    <row r="572">
      <c r="A572" s="10" t="inlineStr">
        <is>
          <t>CON-17</t>
        </is>
      </c>
      <c r="B572" s="11" t="inlineStr">
        <is>
          <t>An export is refused when a site's processor has no recorded country</t>
        </is>
      </c>
      <c r="C572" s="11" t="n">
        <v>5</v>
      </c>
      <c r="D572" s="11" t="inlineStr">
        <is>
          <t>Go to 'Processors', click 'Edit' on the prepared processor, set 'Country' to IN and click 'Save changes'.</t>
        </is>
      </c>
      <c r="E572" s="11" t="inlineStr">
        <is>
          <t>'Processor updated' appears and the row shows IN.</t>
        </is>
      </c>
      <c r="F572" s="16" t="n"/>
      <c r="G572" s="16" t="n"/>
    </row>
    <row r="573">
      <c r="A573" s="10" t="inlineStr">
        <is>
          <t>CON-17</t>
        </is>
      </c>
      <c r="B573" s="11" t="inlineStr">
        <is>
          <t>An export is refused when a site's processor has no recorded country</t>
        </is>
      </c>
      <c r="C573" s="11" t="n">
        <v>6</v>
      </c>
      <c r="D573" s="11" t="inlineStr">
        <is>
          <t>Open the prepared project again and click 'Generate export', then 'Generate the export'.</t>
        </is>
      </c>
      <c r="E573" s="11" t="inlineStr">
        <is>
          <t>'Export generated' appears and a new 'Project export' row is listed on 'Exports'.</t>
        </is>
      </c>
      <c r="F573" s="16" t="n"/>
      <c r="G573" s="16" t="n"/>
    </row>
    <row r="574">
      <c r="A574" s="10" t="inlineStr">
        <is>
          <t>CON-17</t>
        </is>
      </c>
      <c r="B574" s="11" t="inlineStr">
        <is>
          <t>An export is refused when a site's processor has no recorded country</t>
        </is>
      </c>
      <c r="C574" s="11" t="n">
        <v>7</v>
      </c>
      <c r="D574" s="11" t="inlineStr">
        <is>
          <t>Clean-up: on the 'UAT No Country Lab Pvt Ltd' row click 'Suspend'.</t>
        </is>
      </c>
      <c r="E574" s="11" t="inlineStr">
        <is>
          <t>'Processor suspended' appears and its status changes.</t>
        </is>
      </c>
      <c r="F574" s="16" t="n"/>
      <c r="G574" s="16" t="n"/>
    </row>
    <row r="575">
      <c r="A575" s="10" t="inlineStr">
        <is>
          <t>CON-18</t>
        </is>
      </c>
      <c r="B575" s="11" t="inlineStr">
        <is>
          <t>A collection owner downloads the manifest template, validates a manifest, imports it and sees the collection and assets</t>
        </is>
      </c>
      <c r="C575" s="11" t="n">
        <v>1</v>
      </c>
      <c r="D575" s="11" t="inlineStr">
        <is>
          <t>In the sidebar, under 'Data movement', click 'Imports', then 'Import a manifest'.</t>
        </is>
      </c>
      <c r="E575" s="11" t="inlineStr">
        <is>
          <t>A dialog 'Import a manifest' opens with three numbered steps: '1 Start from the template', '2 Where it came from, and where it goes' and '3 Check the file' — step 3 is dimmed with 'Choose a source and a project first — the checks depend on both.' The 'Import' button is greyed out.</t>
        </is>
      </c>
      <c r="F575" s="16" t="n"/>
      <c r="G575" s="16" t="n"/>
    </row>
    <row r="576">
      <c r="A576" s="10" t="inlineStr">
        <is>
          <t>CON-18</t>
        </is>
      </c>
      <c r="B576" s="11" t="inlineStr">
        <is>
          <t>A collection owner downloads the manifest template, validates a manifest, imports it and sees the collection and assets</t>
        </is>
      </c>
      <c r="C576" s="11" t="n">
        <v>2</v>
      </c>
      <c r="D576" s="11" t="inlineStr">
        <is>
          <t>Click 'What the file must contain'.</t>
        </is>
      </c>
      <c r="E576" s="11" t="inlineStr">
        <is>
          <t>It lists source_collection_ref, source_asset_ref, asset_type, collected_on and subject_role, each with a short explanation.</t>
        </is>
      </c>
      <c r="F576" s="16" t="n"/>
      <c r="G576" s="16" t="n"/>
    </row>
    <row r="577">
      <c r="A577" s="10" t="inlineStr">
        <is>
          <t>CON-18</t>
        </is>
      </c>
      <c r="B577" s="11" t="inlineStr">
        <is>
          <t>A collection owner downloads the manifest template, validates a manifest, imports it and sees the collection and assets</t>
        </is>
      </c>
      <c r="C577" s="11" t="n">
        <v>3</v>
      </c>
      <c r="D577" s="11" t="inlineStr">
        <is>
          <t>Click 'Download the manifest template' and open the file.</t>
        </is>
      </c>
      <c r="E577" s="11" t="inlineStr">
        <is>
          <t>collection-manifest-template.csv is saved. It has a header row, one example row (RUN-2026-001, IMG_0001.jpg, image, …, consented) and guidance lines starting with '#', including '# Delete every line below before uploading.'</t>
        </is>
      </c>
      <c r="F577" s="16" t="n"/>
      <c r="G577" s="16" t="n"/>
    </row>
    <row r="578">
      <c r="A578" s="10" t="inlineStr">
        <is>
          <t>CON-18</t>
        </is>
      </c>
      <c r="B578" s="11" t="inlineStr">
        <is>
          <t>A collection owner downloads the manifest template, validates a manifest, imports it and sees the collection and assets</t>
        </is>
      </c>
      <c r="C578" s="11" t="n">
        <v>4</v>
      </c>
      <c r="D578" s="11" t="inlineStr">
        <is>
          <t>Save it unchanged as uat-template-asis.csv. In the dialog choose 'CIT · SRC-SEED-CIT' in 'Data source' and 'Gait Identification Study 2026' in 'Project'.</t>
        </is>
      </c>
      <c r="E578" s="11" t="inlineStr">
        <is>
          <t>Step 3 becomes available with a 'Manifest' file picker (hint 'CSV, up to 25 MB.') and the button 'Check it — this writes nothing', which is greyed out until a file is chosen.</t>
        </is>
      </c>
      <c r="F578" s="16" t="n"/>
      <c r="G578" s="16" t="n"/>
    </row>
    <row r="579">
      <c r="A579" s="10" t="inlineStr">
        <is>
          <t>CON-18</t>
        </is>
      </c>
      <c r="B579" s="11" t="inlineStr">
        <is>
          <t>A collection owner downloads the manifest template, validates a manifest, imports it and sees the collection and assets</t>
        </is>
      </c>
      <c r="C579" s="11" t="n">
        <v>5</v>
      </c>
      <c r="D579" s="11" t="inlineStr">
        <is>
          <t>Choose uat-template-asis.csv and click 'Check it — this writes nothing'.</t>
        </is>
      </c>
      <c r="E579" s="11" t="inlineStr">
        <is>
          <t>A red box '1 problem(s) found' ('Nothing has been written. Fix the manifest and check it again…') and a table Row / Column / Problem: row 2, consent_uuid, 'A consented subject requires a consent_uuid'. 'Import' stays greyed out.</t>
        </is>
      </c>
      <c r="F579" s="16" t="n"/>
      <c r="G579" s="16" t="n"/>
    </row>
    <row r="580">
      <c r="A580" s="10" t="inlineStr">
        <is>
          <t>CON-18</t>
        </is>
      </c>
      <c r="B580" s="11" t="inlineStr">
        <is>
          <t>A collection owner downloads the manifest template, validates a manifest, imports it and sees the collection and assets</t>
        </is>
      </c>
      <c r="C580" s="11" t="n">
        <v>6</v>
      </c>
      <c r="D580" s="11" t="inlineStr">
        <is>
          <t>Create uat-manifest-01.csv from the test data, choose it and click 'Check it — this writes nothing'.</t>
        </is>
      </c>
      <c r="E580" s="11" t="inlineStr">
        <is>
          <t>The earlier result disappears when the file changes. Then a green box 'Manifest is valid': '2 row(s) parsed with no errors. Nothing has been written yet.' with 'File SHA-256 …', a notice 'Manifest is valid' / '2 row(s) ready to import.', and the footer button now reads 'Import 2 row(s)'.</t>
        </is>
      </c>
      <c r="F580" s="16" t="n"/>
      <c r="G580" s="16" t="n"/>
    </row>
    <row r="581">
      <c r="A581" s="10" t="inlineStr">
        <is>
          <t>CON-18</t>
        </is>
      </c>
      <c r="B581" s="11" t="inlineStr">
        <is>
          <t>A collection owner downloads the manifest template, validates a manifest, imports it and sees the collection and assets</t>
        </is>
      </c>
      <c r="C581" s="11" t="n">
        <v>7</v>
      </c>
      <c r="D581" s="11" t="inlineStr">
        <is>
          <t>Click 'Import 2 row(s)'.</t>
        </is>
      </c>
      <c r="E581" s="11" t="inlineStr">
        <is>
          <t>The notice 'Import accepted' / '2 accepted, 0 rejected.' appears and the dialog closes. The Imports list shows a new row: File uat-manifest-01.csv, Source SRC-SEED-CIT, Project Gait Identification Study 2026, Status 'Accepted', Rows '2 of 2', Received just now.</t>
        </is>
      </c>
      <c r="F581" s="16" t="n"/>
      <c r="G581" s="16" t="n"/>
    </row>
    <row r="582">
      <c r="A582" s="10" t="inlineStr">
        <is>
          <t>CON-18</t>
        </is>
      </c>
      <c r="B582" s="11" t="inlineStr">
        <is>
          <t>A collection owner downloads the manifest template, validates a manifest, imports it and sees the collection and assets</t>
        </is>
      </c>
      <c r="C582" s="11" t="n">
        <v>8</v>
      </c>
      <c r="D582" s="11" t="inlineStr">
        <is>
          <t>Click the file name uat-manifest-01.csv.</t>
        </is>
      </c>
      <c r="E582" s="11" t="inlineStr">
        <is>
          <t>The batch page shows the tiles 'Declared' 2, 'Accepted' 2, 'Rejected' 0, 'Not processed' 0, an 'Outcome' bar, 'Rejected rows' with 'Nothing was rejected', and a card 'The file' with its hash.</t>
        </is>
      </c>
      <c r="F582" s="16" t="n"/>
      <c r="G582" s="16" t="n"/>
    </row>
    <row r="583">
      <c r="A583" s="10" t="inlineStr">
        <is>
          <t>CON-18</t>
        </is>
      </c>
      <c r="B583" s="11" t="inlineStr">
        <is>
          <t>A collection owner downloads the manifest template, validates a manifest, imports it and sees the collection and assets</t>
        </is>
      </c>
      <c r="C583" s="11" t="n">
        <v>9</v>
      </c>
      <c r="D583" s="11" t="inlineStr">
        <is>
          <t>In the sidebar click 'Collections'.</t>
        </is>
      </c>
      <c r="E583" s="11" t="inlineStr">
        <is>
          <t>A row with Reference 'RUN-UAT-CON-01' (site CIT underneath), Project 'Gait Identification Study 2026', Source CIT, Collected 20 Sep 2026.</t>
        </is>
      </c>
      <c r="F583" s="16" t="n"/>
      <c r="G583" s="16" t="n"/>
    </row>
    <row r="584">
      <c r="A584" s="10" t="inlineStr">
        <is>
          <t>CON-18</t>
        </is>
      </c>
      <c r="B584" s="11" t="inlineStr">
        <is>
          <t>A collection owner downloads the manifest template, validates a manifest, imports it and sees the collection and assets</t>
        </is>
      </c>
      <c r="C584" s="11" t="n">
        <v>10</v>
      </c>
      <c r="D584" s="11" t="inlineStr">
        <is>
          <t>Click 'RUN-UAT-CON-01'.</t>
        </is>
      </c>
      <c r="E584" s="11" t="inlineStr">
        <is>
          <t>The collection page shows 'Gait Identification Study 2026 · collected …'; the note 'This collection carries no declaration' (no declared_asset_count was given); the tile 'Assets flagged' = 1 ('Contain someone with no consent'); the 'Assets' table lists IMG_UAT_0001.jpg (Image, Subjects 1) and VID_UAT_0002.mp4 (Video, Bystanders 1); 'Provenance' shows Source CIT SRC-SEED-CIT.</t>
        </is>
      </c>
      <c r="F584" s="16" t="n"/>
      <c r="G584" s="16" t="n"/>
    </row>
    <row r="585">
      <c r="A585" s="10" t="inlineStr">
        <is>
          <t>CON-18</t>
        </is>
      </c>
      <c r="B585" s="11" t="inlineStr">
        <is>
          <t>A collection owner downloads the manifest template, validates a manifest, imports it and sees the collection and assets</t>
        </is>
      </c>
      <c r="C585" s="11" t="n">
        <v>11</v>
      </c>
      <c r="D585" s="11" t="inlineStr">
        <is>
          <t>Open 'Consents' and click 'Anjali Verma'.</t>
        </is>
      </c>
      <c r="E585" s="11" t="inlineStr">
        <is>
          <t>'Assets containing this person' now lists IMG_UAT_0001.jpg with Source CIT, Collected 20 Sep 2026, Role Consented and a Disposition (Active).</t>
        </is>
      </c>
      <c r="F585" s="16" t="n"/>
      <c r="G585" s="16" t="n"/>
    </row>
    <row r="586">
      <c r="A586" s="10" t="inlineStr">
        <is>
          <t>CON-19</t>
        </is>
      </c>
      <c r="B586" s="11" t="inlineStr">
        <is>
          <t>Imports refuse bad manifests, never duplicate a file, and reject rows whose consent does not exist</t>
        </is>
      </c>
      <c r="C586" s="11" t="n">
        <v>1</v>
      </c>
      <c r="D586" s="11" t="inlineStr">
        <is>
          <t>Sign in as rnd@cmp.local and click 'Imports'.</t>
        </is>
      </c>
      <c r="E586" s="11" t="inlineStr">
        <is>
          <t>The list is visible but there is NO 'Import a manifest' button. Sign out and sign in as dco@cmp.local.</t>
        </is>
      </c>
      <c r="F586" s="16" t="n"/>
      <c r="G586" s="16" t="n"/>
    </row>
    <row r="587">
      <c r="A587" s="10" t="inlineStr">
        <is>
          <t>CON-19</t>
        </is>
      </c>
      <c r="B587" s="11" t="inlineStr">
        <is>
          <t>Imports refuse bad manifests, never duplicate a file, and reject rows whose consent does not exist</t>
        </is>
      </c>
      <c r="C587" s="11" t="n">
        <v>2</v>
      </c>
      <c r="D587" s="11" t="inlineStr">
        <is>
          <t>As the DCO click 'Imports' &gt; 'Import a manifest'. Choose only a 'Data source'.</t>
        </is>
      </c>
      <c r="E587" s="11" t="inlineStr">
        <is>
          <t>Step 3 stays dimmed with 'Choose a source and a project first — the checks depend on both.' 'Import' is greyed out.</t>
        </is>
      </c>
      <c r="F587" s="16" t="n"/>
      <c r="G587" s="16" t="n"/>
    </row>
    <row r="588">
      <c r="A588" s="10" t="inlineStr">
        <is>
          <t>CON-19</t>
        </is>
      </c>
      <c r="B588" s="11" t="inlineStr">
        <is>
          <t>Imports refuse bad manifests, never duplicate a file, and reject rows whose consent does not exist</t>
        </is>
      </c>
      <c r="C588" s="11" t="n">
        <v>3</v>
      </c>
      <c r="D588" s="11" t="inlineStr">
        <is>
          <t>Choose the 'Project' too.</t>
        </is>
      </c>
      <c r="E588" s="11" t="inlineStr">
        <is>
          <t>Step 3 opens; 'Check it — this writes nothing' is greyed out until a file is chosen; 'Import' is still greyed out.</t>
        </is>
      </c>
      <c r="F588" s="16" t="n"/>
      <c r="G588" s="16" t="n"/>
    </row>
    <row r="589">
      <c r="A589" s="10" t="inlineStr">
        <is>
          <t>CON-19</t>
        </is>
      </c>
      <c r="B589" s="11" t="inlineStr">
        <is>
          <t>Imports refuse bad manifests, never duplicate a file, and reject rows whose consent does not exist</t>
        </is>
      </c>
      <c r="C589" s="11" t="n">
        <v>4</v>
      </c>
      <c r="D589" s="11" t="inlineStr">
        <is>
          <t>Choose bad-values.csv and click 'Check it — this writes nothing'.</t>
        </is>
      </c>
      <c r="E589" s="11" t="inlineStr">
        <is>
          <t>A red '&lt;n&gt; problem(s) found' box and a table including: asset_type 'Must be one of: audio, document, image, other, sensor, video'; collected_on 'Collection date is in the future'; consent_uuid 'A incidental subject must not carry a consent_uuid'; collected_on 'Must be YYYY-MM-DD'. 'Import' stays greyed out.</t>
        </is>
      </c>
      <c r="F589" s="16" t="n"/>
      <c r="G589" s="16" t="n"/>
    </row>
    <row r="590">
      <c r="A590" s="10" t="inlineStr">
        <is>
          <t>CON-19</t>
        </is>
      </c>
      <c r="B590" s="11" t="inlineStr">
        <is>
          <t>Imports refuse bad manifests, never duplicate a file, and reject rows whose consent does not exist</t>
        </is>
      </c>
      <c r="C590" s="11" t="n">
        <v>5</v>
      </c>
      <c r="D590" s="11" t="inlineStr">
        <is>
          <t>Choose extra-column.csv and check it.</t>
        </is>
      </c>
      <c r="E590" s="11" t="inlineStr">
        <is>
          <t>The table shows Row 'file', Column 'notes', Problem 'Unknown column(s): notes'.</t>
        </is>
      </c>
      <c r="F590" s="16" t="n"/>
      <c r="G590" s="16" t="n"/>
    </row>
    <row r="591">
      <c r="A591" s="10" t="inlineStr">
        <is>
          <t>CON-19</t>
        </is>
      </c>
      <c r="B591" s="11" t="inlineStr">
        <is>
          <t>Imports refuse bad manifests, never duplicate a file, and reject rows whose consent does not exist</t>
        </is>
      </c>
      <c r="C591" s="11" t="n">
        <v>6</v>
      </c>
      <c r="D591" s="11" t="inlineStr">
        <is>
          <t>Choose uat-manifest-01.csv and check it; then change 'Data source' to a different source.</t>
        </is>
      </c>
      <c r="E591" s="11" t="inlineStr">
        <is>
          <t>The check first reports 'Already imported' ('This exact file has been imported before (batch …)…'). Changing the data source clears the result, so the file must be checked again before anything can be imported.</t>
        </is>
      </c>
      <c r="F591" s="16" t="n"/>
      <c r="G591" s="16" t="n"/>
    </row>
    <row r="592">
      <c r="A592" s="10" t="inlineStr">
        <is>
          <t>CON-19</t>
        </is>
      </c>
      <c r="B592" s="11" t="inlineStr">
        <is>
          <t>Imports refuse bad manifests, never duplicate a file, and reject rows whose consent does not exist</t>
        </is>
      </c>
      <c r="C592" s="11" t="n">
        <v>7</v>
      </c>
      <c r="D592" s="11" t="inlineStr">
        <is>
          <t>Set 'Data source' back to 'CIT · SRC-SEED-CIT', check uat-manifest-01.csv again and, if 'Import' is available, click it.</t>
        </is>
      </c>
      <c r="E592" s="11" t="inlineStr">
        <is>
          <t>'Already imported' is shown again; if imported, the notice 'Nothing to do' / 'This file has already been imported. Nothing was written.' appears. No second batch and no second RUN-UAT-CON-01 collection appear.</t>
        </is>
      </c>
      <c r="F592" s="16" t="n"/>
      <c r="G592" s="16" t="n"/>
    </row>
    <row r="593">
      <c r="A593" s="10" t="inlineStr">
        <is>
          <t>CON-19</t>
        </is>
      </c>
      <c r="B593" s="11" t="inlineStr">
        <is>
          <t>Imports refuse bad manifests, never duplicate a file, and reject rows whose consent does not exist</t>
        </is>
      </c>
      <c r="C593" s="11" t="n">
        <v>8</v>
      </c>
      <c r="D593" s="11" t="inlineStr">
        <is>
          <t>Open 'Import a manifest' again, choose CIT and the Gait project, choose unknown-consent.csv and check it.</t>
        </is>
      </c>
      <c r="E593" s="11" t="inlineStr">
        <is>
          <t>'Manifest is valid' — the dry run checks the file's shape, not whether the consent exists.</t>
        </is>
      </c>
      <c r="F593" s="16" t="n"/>
      <c r="G593" s="16" t="n"/>
    </row>
    <row r="594">
      <c r="A594" s="10" t="inlineStr">
        <is>
          <t>CON-19</t>
        </is>
      </c>
      <c r="B594" s="11" t="inlineStr">
        <is>
          <t>Imports refuse bad manifests, never duplicate a file, and reject rows whose consent does not exist</t>
        </is>
      </c>
      <c r="C594" s="11" t="n">
        <v>9</v>
      </c>
      <c r="D594" s="11" t="inlineStr">
        <is>
          <t>Click 'Import 1 row(s)'.</t>
        </is>
      </c>
      <c r="E594" s="11" t="inlineStr">
        <is>
          <t>The notice 'Import rejected' / '0 accepted, 1 rejected.' appears. The Imports list shows the batch with Status 'Rejected', Rows '0 of 1' and '1 rejected'.</t>
        </is>
      </c>
      <c r="F594" s="16" t="n"/>
      <c r="G594" s="16" t="n"/>
    </row>
    <row r="595">
      <c r="A595" s="10" t="inlineStr">
        <is>
          <t>CON-19</t>
        </is>
      </c>
      <c r="B595" s="11" t="inlineStr">
        <is>
          <t>Imports refuse bad manifests, never duplicate a file, and reject rows whose consent does not exist</t>
        </is>
      </c>
      <c r="C595" s="11" t="n">
        <v>10</v>
      </c>
      <c r="D595" s="11" t="inlineStr">
        <is>
          <t>Open that batch.</t>
        </is>
      </c>
      <c r="E595" s="11" t="inlineStr">
        <is>
          <t>'Rejected' = 1 and the 'Rejected rows' table gives the Reason 'Consent artefact not found'.</t>
        </is>
      </c>
      <c r="F595" s="16" t="n"/>
      <c r="G595" s="16" t="n"/>
    </row>
    <row r="596">
      <c r="A596" s="10" t="inlineStr">
        <is>
          <t>CON-20</t>
        </is>
      </c>
      <c r="B596" s="11" t="inlineStr">
        <is>
          <t>Consent, export, cross-border and import events appear in the audit trail</t>
        </is>
      </c>
      <c r="C596" s="11" t="n">
        <v>1</v>
      </c>
      <c r="D596" s="11" t="inlineStr">
        <is>
          <t>Under 'Oversight' click 'Audit trail'.</t>
        </is>
      </c>
      <c r="E596" s="11" t="inlineStr">
        <is>
          <t>The page 'Audit trail' opens ('Append-only and hash-chained…') with 'Export CSV' and 'Verify chain' buttons, filters 'Area', 'Event', 'Record type', 'Actor role', 'From', 'To' and a 'Search' box, and the columns When, Event, Actor, About, Record.</t>
        </is>
      </c>
      <c r="F596" s="16" t="n"/>
      <c r="G596" s="16" t="n"/>
    </row>
    <row r="597">
      <c r="A597" s="10" t="inlineStr">
        <is>
          <t>CON-20</t>
        </is>
      </c>
      <c r="B597" s="11" t="inlineStr">
        <is>
          <t>Consent, export, cross-border and import events appear in the audit trail</t>
        </is>
      </c>
      <c r="C597" s="11" t="n">
        <v>2</v>
      </c>
      <c r="D597" s="11" t="inlineStr">
        <is>
          <t>Set 'Area' to 'Consent'.</t>
        </is>
      </c>
      <c r="E597" s="11" t="inlineStr">
        <is>
          <t>Entries such as 'Consent given', 'Consent declined' and 'Consent withdrawn' for the test people are listed.</t>
        </is>
      </c>
      <c r="F597" s="16" t="n"/>
      <c r="G597" s="16" t="n"/>
    </row>
    <row r="598">
      <c r="A598" s="10" t="inlineStr">
        <is>
          <t>CON-20</t>
        </is>
      </c>
      <c r="B598" s="11" t="inlineStr">
        <is>
          <t>Consent, export, cross-border and import events appear in the audit trail</t>
        </is>
      </c>
      <c r="C598" s="11" t="n">
        <v>3</v>
      </c>
      <c r="D598" s="11" t="inlineStr">
        <is>
          <t>Set 'Area' to 'Exports'.</t>
        </is>
      </c>
      <c r="E598" s="11" t="inlineStr">
        <is>
          <t>Entries 'Export generated' (Actor Priya Menon, and Meera Iyer from CON-13), 'Export downloaded' and 'Export refused' (from CON-15, CON-16, CON-17) are listed.</t>
        </is>
      </c>
      <c r="F598" s="16" t="n"/>
      <c r="G598" s="16" t="n"/>
    </row>
    <row r="599">
      <c r="A599" s="10" t="inlineStr">
        <is>
          <t>CON-20</t>
        </is>
      </c>
      <c r="B599" s="11" t="inlineStr">
        <is>
          <t>Consent, export, cross-border and import events appear in the audit trail</t>
        </is>
      </c>
      <c r="C599" s="11" t="n">
        <v>4</v>
      </c>
      <c r="D599" s="11" t="inlineStr">
        <is>
          <t>Click an 'Export refused' row.</t>
        </is>
      </c>
      <c r="E599" s="11" t="inlineStr">
        <is>
          <t>A detail panel titled 'Export refused' opens with What, When, Who. It concerns the project and names the processor/cause; it does not name any data principal.</t>
        </is>
      </c>
      <c r="F599" s="16" t="n"/>
      <c r="G599" s="16" t="n"/>
    </row>
    <row r="600">
      <c r="A600" s="10" t="inlineStr">
        <is>
          <t>CON-20</t>
        </is>
      </c>
      <c r="B600" s="11" t="inlineStr">
        <is>
          <t>Consent, export, cross-border and import events appear in the audit trail</t>
        </is>
      </c>
      <c r="C600" s="11" t="n">
        <v>5</v>
      </c>
      <c r="D600" s="11" t="inlineStr">
        <is>
          <t>Set 'Area' to 'Cross-border transfers'.</t>
        </is>
      </c>
      <c r="E600" s="11" t="inlineStr">
        <is>
          <t>'Transfer country restricted' and 'Transfer country lifted' entries for SG are listed.</t>
        </is>
      </c>
      <c r="F600" s="16" t="n"/>
      <c r="G600" s="16" t="n"/>
    </row>
    <row r="601">
      <c r="A601" s="10" t="inlineStr">
        <is>
          <t>CON-20</t>
        </is>
      </c>
      <c r="B601" s="11" t="inlineStr">
        <is>
          <t>Consent, export, cross-border and import events appear in the audit trail</t>
        </is>
      </c>
      <c r="C601" s="11" t="n">
        <v>6</v>
      </c>
      <c r="D601" s="11" t="inlineStr">
        <is>
          <t>Set 'Area' to 'Processors'.</t>
        </is>
      </c>
      <c r="E601" s="11" t="inlineStr">
        <is>
          <t>'Processor updated' entries for the SEED country changes and 'Processor created' for UAT No Country Lab Pvt Ltd are listed.</t>
        </is>
      </c>
      <c r="F601" s="16" t="n"/>
      <c r="G601" s="16" t="n"/>
    </row>
    <row r="602">
      <c r="A602" s="10" t="inlineStr">
        <is>
          <t>CON-20</t>
        </is>
      </c>
      <c r="B602" s="11" t="inlineStr">
        <is>
          <t>Consent, export, cross-border and import events appear in the audit trail</t>
        </is>
      </c>
      <c r="C602" s="11" t="n">
        <v>7</v>
      </c>
      <c r="D602" s="11" t="inlineStr">
        <is>
          <t>Set 'Area' to 'Imports'.</t>
        </is>
      </c>
      <c r="E602" s="11" t="inlineStr">
        <is>
          <t>'Import validated' (one per check), 'Import accepted' and 'Import rejected' entries are listed with Actor Arun Shetty.</t>
        </is>
      </c>
      <c r="F602" s="16" t="n"/>
      <c r="G602" s="16" t="n"/>
    </row>
    <row r="603">
      <c r="A603" s="10" t="inlineStr">
        <is>
          <t>CON-20</t>
        </is>
      </c>
      <c r="B603" s="11" t="inlineStr">
        <is>
          <t>Consent, export, cross-border and import events appear in the audit trail</t>
        </is>
      </c>
      <c r="C603" s="11" t="n">
        <v>8</v>
      </c>
      <c r="D603" s="11" t="inlineStr">
        <is>
          <t>Click 'Verify chain'.</t>
        </is>
      </c>
      <c r="E603" s="11" t="inlineStr">
        <is>
          <t>A green box 'Chain intact' appears.</t>
        </is>
      </c>
      <c r="F603" s="16" t="n"/>
      <c r="G603" s="16" t="n"/>
    </row>
    <row r="604">
      <c r="A604" s="10" t="inlineStr">
        <is>
          <t>CON-21</t>
        </is>
      </c>
      <c r="B604" s="11" t="inlineStr">
        <is>
          <t>After an export the principal sees who received her data, and withdraws one purpose while keeping the other</t>
        </is>
      </c>
      <c r="C604" s="11" t="n">
        <v>1</v>
      </c>
      <c r="D604" s="11" t="inlineStr">
        <is>
          <t>Open http://localhost:3001/sign-in. Under 'Sign in with' select 'Mobile', type +91 90000 00001 in 'Mobile number' and click 'Send me a code'. Then type the code the coordinator relays into 'Six-digit code' and click 'Verify'.</t>
        </is>
      </c>
      <c r="E604" s="11" t="inlineStr">
        <is>
          <t>After 'Send me a code' a blue box 'Check your messages' says 'If +91 90000 00001 is registered with us, a six-digit code is on its way. It expires in ten minutes.' After 'Verify' the page 'My consents' opens and 'My consents' is highlighted in the sidebar.</t>
        </is>
      </c>
      <c r="F604" s="16" t="n"/>
      <c r="G604" s="16" t="n"/>
    </row>
    <row r="605">
      <c r="A605" s="10" t="inlineStr">
        <is>
          <t>CON-21</t>
        </is>
      </c>
      <c r="B605" s="11" t="inlineStr">
        <is>
          <t>After an export the principal sees who received her data, and withdraws one purpose while keeping the other</t>
        </is>
      </c>
      <c r="C605" s="11" t="n">
        <v>2</v>
      </c>
      <c r="D605" s="11" t="inlineStr">
        <is>
          <t>Scroll to 'Who your data has been shared with'.</t>
        </is>
      </c>
      <c r="E605" s="11" t="inlineStr">
        <is>
          <t>At least one entry names the processor 'SEED' with 'Gait Identification Study 2026 · &lt;date and time&gt;' of the export.</t>
        </is>
      </c>
      <c r="F605" s="16" t="n"/>
      <c r="G605" s="16" t="n"/>
    </row>
    <row r="606">
      <c r="A606" s="10" t="inlineStr">
        <is>
          <t>CON-21</t>
        </is>
      </c>
      <c r="B606" s="11" t="inlineStr">
        <is>
          <t>After an export the principal sees who received her data, and withdraws one purpose while keeping the other</t>
        </is>
      </c>
      <c r="C606" s="11" t="n">
        <v>3</v>
      </c>
      <c r="D606" s="11" t="inlineStr">
        <is>
          <t>On the 'Gait Identification Study 2026' card (status 'Consented') click 'See what you agreed to'.</t>
        </is>
      </c>
      <c r="E606" s="11" t="inlineStr">
        <is>
          <t>Both purposes show 'Consented', each with a 'Withdraw just this one' button.</t>
        </is>
      </c>
      <c r="F606" s="16" t="n"/>
      <c r="G606" s="16" t="n"/>
    </row>
    <row r="607">
      <c r="A607" s="10" t="inlineStr">
        <is>
          <t>CON-21</t>
        </is>
      </c>
      <c r="B607" s="11" t="inlineStr">
        <is>
          <t>After an export the principal sees who received her data, and withdraws one purpose while keeping the other</t>
        </is>
      </c>
      <c r="C607" s="11" t="n">
        <v>4</v>
      </c>
      <c r="D607" s="11" t="inlineStr">
        <is>
          <t>Click 'Withdraw just this one' under 'Recording quality assurance'.</t>
        </is>
      </c>
      <c r="E607" s="11" t="inlineStr">
        <is>
          <t>The notice 'Withdrawal recorded' / 'Stopped: Recording quality assurance.' appears.</t>
        </is>
      </c>
      <c r="F607" s="16" t="n"/>
      <c r="G607" s="16" t="n"/>
    </row>
    <row r="608">
      <c r="A608" s="10" t="inlineStr">
        <is>
          <t>CON-21</t>
        </is>
      </c>
      <c r="B608" s="11" t="inlineStr">
        <is>
          <t>After an export the principal sees who received her data, and withdraws one purpose while keeping the other</t>
        </is>
      </c>
      <c r="C608" s="11" t="n">
        <v>5</v>
      </c>
      <c r="D608" s="11" t="inlineStr">
        <is>
          <t>Look at the card.</t>
        </is>
      </c>
      <c r="E608" s="11" t="inlineStr">
        <is>
          <t>The line reads 'You agreed to 1 of 2 purposes.' 'Recording quality assurance' now shows 'Declined' and 'Gait model training' still shows 'Consented'. The status badge reads 'Partial', not 'Withdrawn'.</t>
        </is>
      </c>
      <c r="F608" s="16" t="n"/>
      <c r="G608" s="16" t="n"/>
    </row>
    <row r="609">
      <c r="A609" s="10" t="inlineStr">
        <is>
          <t>CON-21</t>
        </is>
      </c>
      <c r="B609" s="11" t="inlineStr">
        <is>
          <t>After an export the principal sees who received her data, and withdraws one purpose while keeping the other</t>
        </is>
      </c>
      <c r="C609" s="11" t="n">
        <v>6</v>
      </c>
      <c r="D609" s="11" t="inlineStr">
        <is>
          <t>Look for a way to withdraw the remaining purpose, 'Gait model training'.</t>
        </is>
      </c>
      <c r="E609" s="11" t="inlineStr">
        <is>
          <t>A 'Withdraw just this one' button is still offered under 'Gait model training' (and 'Withdraw everything' on the card), so the rest can be withdrawn as easily as consent was given (s.6(4)).</t>
        </is>
      </c>
      <c r="F609" s="16" t="n"/>
      <c r="G609" s="16" t="n"/>
    </row>
    <row r="610">
      <c r="A610" s="10" t="inlineStr">
        <is>
          <t>CON-21</t>
        </is>
      </c>
      <c r="B610" s="11" t="inlineStr">
        <is>
          <t>After an export the principal sees who received her data, and withdraws one purpose while keeping the other</t>
        </is>
      </c>
      <c r="C610" s="11" t="n">
        <v>7</v>
      </c>
      <c r="D610" s="11" t="inlineStr">
        <is>
          <t>Click 'What was recorded'.</t>
        </is>
      </c>
      <c r="E610" s="11" t="inlineStr">
        <is>
          <t>The list shows the original consent followed by the withdrawal.</t>
        </is>
      </c>
      <c r="F610" s="16" t="n"/>
      <c r="G610" s="16" t="n"/>
    </row>
    <row r="611">
      <c r="A611" s="10" t="inlineStr">
        <is>
          <t>CON-21</t>
        </is>
      </c>
      <c r="B611" s="11" t="inlineStr">
        <is>
          <t>After an export the principal sees who received her data, and withdraws one purpose while keeping the other</t>
        </is>
      </c>
      <c r="C611" s="11" t="n">
        <v>8</v>
      </c>
      <c r="D611" s="11" t="inlineStr">
        <is>
          <t>Ask the coordinator to check the outbox for Anjali.</t>
        </is>
      </c>
      <c r="E611" s="11" t="inlineStr">
        <is>
          <t>A withdrawal confirmation message is present.</t>
        </is>
      </c>
      <c r="F611" s="16" t="n"/>
      <c r="G611" s="16" t="n"/>
    </row>
    <row r="612">
      <c r="A612" s="10" t="inlineStr">
        <is>
          <t>CON-21</t>
        </is>
      </c>
      <c r="B612" s="11" t="inlineStr">
        <is>
          <t>After an export the principal sees who received her data, and withdraws one purpose while keeping the other</t>
        </is>
      </c>
      <c r="C612" s="11" t="n">
        <v>9</v>
      </c>
      <c r="D612" s="11" t="inlineStr">
        <is>
          <t>In the console as the DPO open 'Consents' &gt; 'Anjali Verma'.</t>
        </is>
      </c>
      <c r="E612" s="11" t="inlineStr">
        <is>
          <t>The record shows the warning 'This record is a withdrawal'; 'Purposes' shows 'Gait model training' Agreed and 'Recording quality assurance' Not agreed. Its status reads 'Partial', not 'Withdrawn'.</t>
        </is>
      </c>
      <c r="F612" s="16" t="n"/>
      <c r="G612" s="16" t="n"/>
    </row>
    <row r="613">
      <c r="A613" s="10" t="inlineStr">
        <is>
          <t>RGT-01</t>
        </is>
      </c>
      <c r="B613" s="11" t="inlineStr">
        <is>
          <t>Data principal raises an access request from My requests</t>
        </is>
      </c>
      <c r="C613" s="11" t="n">
        <v>1</v>
      </c>
      <c r="D613" s="11" t="inlineStr">
        <is>
          <t>In Browser A open http://localhost:3001/sign-in. Under 'Sign in with' choose 'Email', type subject@cmp.local in 'Email address' and click 'Send me a code'. Ask the coordinator for the code, type it in 'Six-digit code' and click 'Verify'.</t>
        </is>
      </c>
      <c r="E613" s="11" t="inlineStr">
        <is>
          <t>A 'Check your messages' box appears after the first click. After 'Verify' you are signed in and the 'My consents' page opens; the sidebar shows 'My consents' and 'My requests'.</t>
        </is>
      </c>
      <c r="F613" s="16" t="n"/>
      <c r="G613" s="16" t="n"/>
    </row>
    <row r="614">
      <c r="A614" s="10" t="inlineStr">
        <is>
          <t>RGT-01</t>
        </is>
      </c>
      <c r="B614" s="11" t="inlineStr">
        <is>
          <t>Data principal raises an access request from My requests</t>
        </is>
      </c>
      <c r="C614" s="11" t="n">
        <v>2</v>
      </c>
      <c r="D614" s="11" t="inlineStr">
        <is>
          <t>In the sidebar click 'My requests'.</t>
        </is>
      </c>
      <c r="E614" s="11" t="inlineStr">
        <is>
          <t>The page 'My requests' opens with the text 'Ask for access to your data, a correction or erasure, or raise a complaint...' and a 'Make a request' button at the top right. At the foot of the page a line says naming someone to act for you is under 'My nominations'.</t>
        </is>
      </c>
      <c r="F614" s="16" t="n"/>
      <c r="G614" s="16" t="n"/>
    </row>
    <row r="615">
      <c r="A615" s="10" t="inlineStr">
        <is>
          <t>RGT-01</t>
        </is>
      </c>
      <c r="B615" s="11" t="inlineStr">
        <is>
          <t>Data principal raises an access request from My requests</t>
        </is>
      </c>
      <c r="C615" s="11" t="n">
        <v>3</v>
      </c>
      <c r="D615" s="11" t="inlineStr">
        <is>
          <t>Click 'Make a request'.</t>
        </is>
      </c>
      <c r="E615" s="11" t="inlineStr">
        <is>
          <t>A dialog titled 'Make a request' opens with the line 'You are signed in, so this counts as verified and the clock starts now.' It has 'What are you asking for', 'About', 'Your request' and a 'Send the request' button.</t>
        </is>
      </c>
      <c r="F615" s="16" t="n"/>
      <c r="G615" s="16" t="n"/>
    </row>
    <row r="616">
      <c r="A616" s="10" t="inlineStr">
        <is>
          <t>RGT-01</t>
        </is>
      </c>
      <c r="B616" s="11" t="inlineStr">
        <is>
          <t>Data principal raises an access request from My requests</t>
        </is>
      </c>
      <c r="C616" s="11" t="n">
        <v>4</v>
      </c>
      <c r="D616" s="11" t="inlineStr">
        <is>
          <t>In 'What are you asking for' choose 'Access (s.11)'.</t>
        </is>
      </c>
      <c r="E616" s="11" t="inlineStr">
        <is>
          <t>A blue note under it reads 'A summary of the personal data we hold about you, what we do with it, and who it has been shared with.'</t>
        </is>
      </c>
      <c r="F616" s="16" t="n"/>
      <c r="G616" s="16" t="n"/>
    </row>
    <row r="617">
      <c r="A617" s="10" t="inlineStr">
        <is>
          <t>RGT-01</t>
        </is>
      </c>
      <c r="B617" s="11" t="inlineStr">
        <is>
          <t>Data principal raises an access request from My requests</t>
        </is>
      </c>
      <c r="C617" s="11" t="n">
        <v>5</v>
      </c>
      <c r="D617" s="11" t="inlineStr">
        <is>
          <t>Leave 'About' on 'Everything you hold about me'. Type the test text in 'Your request'. Click 'Send the request'.</t>
        </is>
      </c>
      <c r="E617" s="11" t="inlineStr">
        <is>
          <t>The dialog closes. A message 'Recorded as RR-YYYY-NNNNNN' appears with 'You will hear from us by &lt;date&gt;.' Write down the reference (RR-A).</t>
        </is>
      </c>
      <c r="F617" s="16" t="n"/>
      <c r="G617" s="16" t="n"/>
    </row>
    <row r="618">
      <c r="A618" s="10" t="inlineStr">
        <is>
          <t>RGT-01</t>
        </is>
      </c>
      <c r="B618" s="11" t="inlineStr">
        <is>
          <t>Data principal raises an access request from My requests</t>
        </is>
      </c>
      <c r="C618" s="11" t="n">
        <v>6</v>
      </c>
      <c r="D618" s="11" t="inlineStr">
        <is>
          <t>Look at the new card for RR-A at the top of the list.</t>
        </is>
      </c>
      <c r="E618" s="11" t="inlineStr">
        <is>
          <t>The card shows the reference, the badges 'Access · s.11' and 'Received', and the line 'Received &lt;date and time&gt; · you will hear by &lt;date&gt;'. Your request text is shown. There is NO yellow box saying 'We have not yet confirmed this came from you'.</t>
        </is>
      </c>
      <c r="F618" s="16" t="n"/>
      <c r="G618" s="16" t="n"/>
    </row>
    <row r="619">
      <c r="A619" s="10" t="inlineStr">
        <is>
          <t>RGT-01</t>
        </is>
      </c>
      <c r="B619" s="11" t="inlineStr">
        <is>
          <t>Data principal raises an access request from My requests</t>
        </is>
      </c>
      <c r="C619" s="11" t="n">
        <v>7</v>
      </c>
      <c r="D619" s="11" t="inlineStr">
        <is>
          <t>Look at the lower half of the card (it opens already expanded after sending).</t>
        </is>
      </c>
      <c r="E619" s="11" t="inlineStr">
        <is>
          <t>Two columns are shown: 'Clock' with the checkpoints, and 'The path' with steps including 'Request received', 'Acknowledge', 'Identity verified?', 'A valid access request?' and 'The CMP answers its own records'. The button reads 'Hide progress'.</t>
        </is>
      </c>
      <c r="F619" s="16" t="n"/>
      <c r="G619" s="16" t="n"/>
    </row>
    <row r="620">
      <c r="A620" s="10" t="inlineStr">
        <is>
          <t>RGT-01</t>
        </is>
      </c>
      <c r="B620" s="11" t="inlineStr">
        <is>
          <t>Data principal raises an access request from My requests</t>
        </is>
      </c>
      <c r="C620" s="11" t="n">
        <v>8</v>
      </c>
      <c r="D620" s="11" t="inlineStr">
        <is>
          <t>Click 'Hide progress', then 'Show progress'.</t>
        </is>
      </c>
      <c r="E620" s="11" t="inlineStr">
        <is>
          <t>The Clock and path collapse and open again.</t>
        </is>
      </c>
      <c r="F620" s="16" t="n"/>
      <c r="G620" s="16" t="n"/>
    </row>
    <row r="621">
      <c r="A621" s="10" t="inlineStr">
        <is>
          <t>RGT-01</t>
        </is>
      </c>
      <c r="B621" s="11" t="inlineStr">
        <is>
          <t>Data principal raises an access request from My requests</t>
        </is>
      </c>
      <c r="C621" s="11" t="n">
        <v>9</v>
      </c>
      <c r="D621" s="11" t="inlineStr">
        <is>
          <t>Click 'Show what was recorded' on the card.</t>
        </is>
      </c>
      <c r="E621" s="11" t="inlineStr">
        <is>
          <t>A list of recorded events opens, oldest first, starting with the request being received. The button now reads 'Hide what was recorded'.</t>
        </is>
      </c>
      <c r="F621" s="16" t="n"/>
      <c r="G621" s="16" t="n"/>
    </row>
    <row r="622">
      <c r="A622" s="10" t="inlineStr">
        <is>
          <t>RGT-01</t>
        </is>
      </c>
      <c r="B622" s="11" t="inlineStr">
        <is>
          <t>Data principal raises an access request from My requests</t>
        </is>
      </c>
      <c r="C622" s="11" t="n">
        <v>10</v>
      </c>
      <c r="D622" s="11" t="inlineStr">
        <is>
          <t>Ask the coordinator to check the outbox for an acknowledgement sent to subject@cmp.local.</t>
        </is>
      </c>
      <c r="E622" s="11" t="inlineStr">
        <is>
          <t>An acknowledgement for RR-A is in the outbox, quoting the reference and the date by which she will hear.</t>
        </is>
      </c>
      <c r="F622" s="16" t="n"/>
      <c r="G622" s="16" t="n"/>
    </row>
    <row r="623">
      <c r="A623" s="10" t="inlineStr">
        <is>
          <t>RGT-02</t>
        </is>
      </c>
      <c r="B623" s="11" t="inlineStr">
        <is>
          <t>Data principal raises a correction request from My requests</t>
        </is>
      </c>
      <c r="C623" s="11" t="n">
        <v>1</v>
      </c>
      <c r="D623" s="11" t="inlineStr">
        <is>
          <t>In the sidebar click 'My requests', then click 'Make a request'.</t>
        </is>
      </c>
      <c r="E623" s="11" t="inlineStr">
        <is>
          <t>The 'Make a request' dialog opens.</t>
        </is>
      </c>
      <c r="F623" s="16" t="n"/>
      <c r="G623" s="16" t="n"/>
    </row>
    <row r="624">
      <c r="A624" s="10" t="inlineStr">
        <is>
          <t>RGT-02</t>
        </is>
      </c>
      <c r="B624" s="11" t="inlineStr">
        <is>
          <t>Data principal raises a correction request from My requests</t>
        </is>
      </c>
      <c r="C624" s="11" t="n">
        <v>2</v>
      </c>
      <c r="D624" s="11" t="inlineStr">
        <is>
          <t>In 'What are you asking for' choose 'Correction (s.12)'.</t>
        </is>
      </c>
      <c r="E624" s="11" t="inlineStr">
        <is>
          <t>The note under it reads 'Correct inaccurate personal data, or complete data that is incomplete.'</t>
        </is>
      </c>
      <c r="F624" s="16" t="n"/>
      <c r="G624" s="16" t="n"/>
    </row>
    <row r="625">
      <c r="A625" s="10" t="inlineStr">
        <is>
          <t>RGT-02</t>
        </is>
      </c>
      <c r="B625" s="11" t="inlineStr">
        <is>
          <t>Data principal raises a correction request from My requests</t>
        </is>
      </c>
      <c r="C625" s="11" t="n">
        <v>3</v>
      </c>
      <c r="D625" s="11" t="inlineStr">
        <is>
          <t>Open the 'About' list without changing it.</t>
        </is>
      </c>
      <c r="E625" s="11" t="inlineStr">
        <is>
          <t>The first option is 'Everything you hold about me'; the others are her consents, each shown as '&lt;project&gt; · &lt;notice code&gt; v&lt;version&gt; · &lt;date&gt;'. Leave it on 'Everything you hold about me'.</t>
        </is>
      </c>
      <c r="F625" s="16" t="n"/>
      <c r="G625" s="16" t="n"/>
    </row>
    <row r="626">
      <c r="A626" s="10" t="inlineStr">
        <is>
          <t>RGT-02</t>
        </is>
      </c>
      <c r="B626" s="11" t="inlineStr">
        <is>
          <t>Data principal raises a correction request from My requests</t>
        </is>
      </c>
      <c r="C626" s="11" t="n">
        <v>4</v>
      </c>
      <c r="D626" s="11" t="inlineStr">
        <is>
          <t>Type the test text in 'Your request' and click 'Send the request'.</t>
        </is>
      </c>
      <c r="E626" s="11" t="inlineStr">
        <is>
          <t>A message 'Recorded as RR-...' with 'You will hear from us by &lt;date&gt;.' appears. Write down the reference (RR-C).</t>
        </is>
      </c>
      <c r="F626" s="16" t="n"/>
      <c r="G626" s="16" t="n"/>
    </row>
    <row r="627">
      <c r="A627" s="10" t="inlineStr">
        <is>
          <t>RGT-02</t>
        </is>
      </c>
      <c r="B627" s="11" t="inlineStr">
        <is>
          <t>Data principal raises a correction request from My requests</t>
        </is>
      </c>
      <c r="C627" s="11" t="n">
        <v>5</v>
      </c>
      <c r="D627" s="11" t="inlineStr">
        <is>
          <t>Look at the RR-C card and its path.</t>
        </is>
      </c>
      <c r="E627" s="11" t="inlineStr">
        <is>
          <t>The card shows 'Correction · s.12' and 'Received'. 'The path' includes the step 'A valid correction request?'.</t>
        </is>
      </c>
      <c r="F627" s="16" t="n"/>
      <c r="G627" s="16" t="n"/>
    </row>
    <row r="628">
      <c r="A628" s="10" t="inlineStr">
        <is>
          <t>RGT-03</t>
        </is>
      </c>
      <c r="B628" s="11" t="inlineStr">
        <is>
          <t>Data principal raises an erasure request and is told erasure is not withdrawal</t>
        </is>
      </c>
      <c r="C628" s="11" t="n">
        <v>1</v>
      </c>
      <c r="D628" s="11" t="inlineStr">
        <is>
          <t>In 'My requests' click 'Make a request' and in 'What are you asking for' choose 'Erasure (s.12(3))'.</t>
        </is>
      </c>
      <c r="E628" s="11" t="inlineStr">
        <is>
          <t>A yellow (warning) note appears: 'Erase personal data that is no longer needed. Consent records are kept as evidence of what was agreed; withdrawing consent is a separate, quicker step you can take yourself.'</t>
        </is>
      </c>
      <c r="F628" s="16" t="n"/>
      <c r="G628" s="16" t="n"/>
    </row>
    <row r="629">
      <c r="A629" s="10" t="inlineStr">
        <is>
          <t>RGT-03</t>
        </is>
      </c>
      <c r="B629" s="11" t="inlineStr">
        <is>
          <t>Data principal raises an erasure request and is told erasure is not withdrawal</t>
        </is>
      </c>
      <c r="C629" s="11" t="n">
        <v>2</v>
      </c>
      <c r="D629" s="11" t="inlineStr">
        <is>
          <t>Leave 'About' on 'Everything you hold about me', type the test text in 'Your request' and click 'Send the request'.</t>
        </is>
      </c>
      <c r="E629" s="11" t="inlineStr">
        <is>
          <t>'Recorded as RR-...' appears with the date she will hear by. Write down the reference (RR-E).</t>
        </is>
      </c>
      <c r="F629" s="16" t="n"/>
      <c r="G629" s="16" t="n"/>
    </row>
    <row r="630">
      <c r="A630" s="10" t="inlineStr">
        <is>
          <t>RGT-03</t>
        </is>
      </c>
      <c r="B630" s="11" t="inlineStr">
        <is>
          <t>Data principal raises an erasure request and is told erasure is not withdrawal</t>
        </is>
      </c>
      <c r="C630" s="11" t="n">
        <v>3</v>
      </c>
      <c r="D630" s="11" t="inlineStr">
        <is>
          <t>Look at the RR-E card.</t>
        </is>
      </c>
      <c r="E630" s="11" t="inlineStr">
        <is>
          <t>The card shows 'Erasure · s.12(3)' and 'Received', and no 'not yet confirmed' warning.</t>
        </is>
      </c>
      <c r="F630" s="16" t="n"/>
      <c r="G630" s="16" t="n"/>
    </row>
    <row r="631">
      <c r="A631" s="10" t="inlineStr">
        <is>
          <t>RGT-03</t>
        </is>
      </c>
      <c r="B631" s="11" t="inlineStr">
        <is>
          <t>Data principal raises an erasure request and is told erasure is not withdrawal</t>
        </is>
      </c>
      <c r="C631" s="11" t="n">
        <v>4</v>
      </c>
      <c r="D631" s="11" t="inlineStr">
        <is>
          <t>Read 'The path' on the RR-E card.</t>
        </is>
      </c>
      <c r="E631" s="11" t="inlineStr">
        <is>
          <t>The steps include 'Withdrawal, or erasure?', 'Scope determined', 'Inside the one-year floor?', 'Holders derived, DPO confirms', 'Erasure instructions issued', 'All confirmations returned?' and 'Respond and close'.</t>
        </is>
      </c>
      <c r="F631" s="16" t="n"/>
      <c r="G631" s="16" t="n"/>
    </row>
    <row r="632">
      <c r="A632" s="10" t="inlineStr">
        <is>
          <t>RGT-03</t>
        </is>
      </c>
      <c r="B632" s="11" t="inlineStr">
        <is>
          <t>Data principal raises an erasure request and is told erasure is not withdrawal</t>
        </is>
      </c>
      <c r="C632" s="11" t="n">
        <v>5</v>
      </c>
      <c r="D632" s="11" t="inlineStr">
        <is>
          <t>Click 'My consents' in the sidebar.</t>
        </is>
      </c>
      <c r="E632" s="11" t="inlineStr">
        <is>
          <t>Her consents are unchanged - raising an erasure request did not withdraw any consent.</t>
        </is>
      </c>
      <c r="F632" s="16" t="n"/>
      <c r="G632" s="16" t="n"/>
    </row>
    <row r="633">
      <c r="A633" s="10" t="inlineStr">
        <is>
          <t>RGT-04</t>
        </is>
      </c>
      <c r="B633" s="11" t="inlineStr">
        <is>
          <t>Request forms refuse incomplete or badly formed input</t>
        </is>
      </c>
      <c r="C633" s="11" t="n">
        <v>1</v>
      </c>
      <c r="D633" s="11" t="inlineStr">
        <is>
          <t>In 'My requests' click 'Make a request', choose 'Access (s.11)', type 'short' in 'Your request' and click 'Send the request'.</t>
        </is>
      </c>
      <c r="E633" s="11" t="inlineStr">
        <is>
          <t>The dialog stays open with the error 'Say what you are asking for, in a sentence or two.' under 'Your request'. No new card appears.</t>
        </is>
      </c>
      <c r="F633" s="16" t="n"/>
      <c r="G633" s="16" t="n"/>
    </row>
    <row r="634">
      <c r="A634" s="10" t="inlineStr">
        <is>
          <t>RGT-04</t>
        </is>
      </c>
      <c r="B634" s="11" t="inlineStr">
        <is>
          <t>Request forms refuse incomplete or badly formed input</t>
        </is>
      </c>
      <c r="C634" s="11" t="n">
        <v>2</v>
      </c>
      <c r="D634" s="11" t="inlineStr">
        <is>
          <t>In the same dialog change 'What are you asking for' to 'Complaint (grievance) (s.13)'.</t>
        </is>
      </c>
      <c r="E634" s="11" t="inlineStr">
        <is>
          <t>The 'About' field disappears and a checkbox appears: 'This complaint is about the Data Protection Officer's own decisions.' with 'It will be reviewed by somebody independent of the DPO.' Close the dialog with Esc.</t>
        </is>
      </c>
      <c r="F634" s="16" t="n"/>
      <c r="G634" s="16" t="n"/>
    </row>
    <row r="635">
      <c r="A635" s="10" t="inlineStr">
        <is>
          <t>RGT-04</t>
        </is>
      </c>
      <c r="B635" s="11" t="inlineStr">
        <is>
          <t>Request forms refuse incomplete or badly formed input</t>
        </is>
      </c>
      <c r="C635" s="11" t="n">
        <v>3</v>
      </c>
      <c r="D635" s="11" t="inlineStr">
        <is>
          <t>In the private window open http://localhost:3001/rights. In 'Make a request' type 'ab' in 'The email or mobile you registered with', a full sentence in 'Your request', and click 'Send the request'.</t>
        </is>
      </c>
      <c r="E635" s="11" t="inlineStr">
        <is>
          <t>The error 'The email or mobile you registered with.' appears under the contact field. No 'Recorded' box appears.</t>
        </is>
      </c>
      <c r="F635" s="16" t="n"/>
      <c r="G635" s="16" t="n"/>
    </row>
    <row r="636">
      <c r="A636" s="10" t="inlineStr">
        <is>
          <t>RGT-04</t>
        </is>
      </c>
      <c r="B636" s="11" t="inlineStr">
        <is>
          <t>Request forms refuse incomplete or badly formed input</t>
        </is>
      </c>
      <c r="C636" s="11" t="n">
        <v>4</v>
      </c>
      <c r="D636" s="11" t="inlineStr">
        <is>
          <t>Click 'Already have a reference and a code? Verify it here.'</t>
        </is>
      </c>
      <c r="E636" s="11" t="inlineStr">
        <is>
          <t>The form changes to 'Your reference' and 'The code we sent' with a 'Confirm it is me' button and a 'Make a new request instead' link.</t>
        </is>
      </c>
      <c r="F636" s="16" t="n"/>
      <c r="G636" s="16" t="n"/>
    </row>
    <row r="637">
      <c r="A637" s="10" t="inlineStr">
        <is>
          <t>RGT-04</t>
        </is>
      </c>
      <c r="B637" s="11" t="inlineStr">
        <is>
          <t>Request forms refuse incomplete or badly formed input</t>
        </is>
      </c>
      <c r="C637" s="11" t="n">
        <v>5</v>
      </c>
      <c r="D637" s="11" t="inlineStr">
        <is>
          <t>Type 12345 in 'Your reference' and 12ab in 'The code we sent'. Click 'Confirm it is me'.</t>
        </is>
      </c>
      <c r="E637" s="11" t="inlineStr">
        <is>
          <t>'A reference looks like RR-2026-000123.' appears under the reference and 'The code is digits only.' under the code. Nothing is verified.</t>
        </is>
      </c>
      <c r="F637" s="16" t="n"/>
      <c r="G637" s="16" t="n"/>
    </row>
    <row r="638">
      <c r="A638" s="10" t="inlineStr">
        <is>
          <t>RGT-04</t>
        </is>
      </c>
      <c r="B638" s="11" t="inlineStr">
        <is>
          <t>Request forms refuse incomplete or badly formed input</t>
        </is>
      </c>
      <c r="C638" s="11" t="n">
        <v>6</v>
      </c>
      <c r="D638" s="11" t="inlineStr">
        <is>
          <t>Click 'Make a new request instead'.</t>
        </is>
      </c>
      <c r="E638" s="11" t="inlineStr">
        <is>
          <t>The request form ('What are you asking for', contact, 'Your name', 'Your request') is shown again.</t>
        </is>
      </c>
      <c r="F638" s="16" t="n"/>
      <c r="G638" s="16" t="n"/>
    </row>
    <row r="639">
      <c r="A639" s="10" t="inlineStr">
        <is>
          <t>RGT-05</t>
        </is>
      </c>
      <c r="B639" s="11" t="inlineStr">
        <is>
          <t>Person without a portal session makes a request on the public rights page and verifies it by code</t>
        </is>
      </c>
      <c r="C639" s="11" t="n">
        <v>1</v>
      </c>
      <c r="D639" s="11" t="inlineStr">
        <is>
          <t>Open http://localhost:3001/rights.</t>
        </is>
      </c>
      <c r="E639" s="11" t="inlineStr">
        <is>
          <t>The page 'Your rights' opens without sign-in. It shows cards 'What you can ask for', 'Make a request', 'Withdrawing your consent', 'Acting for someone who nominated you', 'Contacting us', and a box 'If you are not satisfied' describing the Data Protection Board route.</t>
        </is>
      </c>
      <c r="F639" s="16" t="n"/>
      <c r="G639" s="16" t="n"/>
    </row>
    <row r="640">
      <c r="A640" s="10" t="inlineStr">
        <is>
          <t>RGT-05</t>
        </is>
      </c>
      <c r="B640" s="11" t="inlineStr">
        <is>
          <t>Person without a portal session makes a request on the public rights page and verifies it by code</t>
        </is>
      </c>
      <c r="C640" s="11" t="n">
        <v>2</v>
      </c>
      <c r="D640" s="11" t="inlineStr">
        <is>
          <t>In 'Make a request' choose 'Access (s.11)' in 'What are you asking for'. Read the hint under 'The email or mobile you registered with'.</t>
        </is>
      </c>
      <c r="E640" s="11" t="inlineStr">
        <is>
          <t>The hint reads 'We send a verification code to the contact we already hold for you - never to a new one typed here.'</t>
        </is>
      </c>
      <c r="F640" s="16" t="n"/>
      <c r="G640" s="16" t="n"/>
    </row>
    <row r="641">
      <c r="A641" s="10" t="inlineStr">
        <is>
          <t>RGT-05</t>
        </is>
      </c>
      <c r="B641" s="11" t="inlineStr">
        <is>
          <t>Person without a portal session makes a request on the public rights page and verifies it by code</t>
        </is>
      </c>
      <c r="C641" s="11" t="n">
        <v>3</v>
      </c>
      <c r="D641" s="11" t="inlineStr">
        <is>
          <t>Fill in the contact, name and request from the test data and click 'Send the request'.</t>
        </is>
      </c>
      <c r="E641" s="11" t="inlineStr">
        <is>
          <t>A box titled 'Recorded' reads 'Thank you. Your request has been recorded. If we hold records for the contact you gave, a verification code has been sent to it.' and 'Your reference is RR-.... Quote it if you contact us.' Below it 'Your reference' is already filled in and 'The code we sent' is empty.</t>
        </is>
      </c>
      <c r="F641" s="16" t="n"/>
      <c r="G641" s="16" t="n"/>
    </row>
    <row r="642">
      <c r="A642" s="10" t="inlineStr">
        <is>
          <t>RGT-05</t>
        </is>
      </c>
      <c r="B642" s="11" t="inlineStr">
        <is>
          <t>Person without a portal session makes a request on the public rights page and verifies it by code</t>
        </is>
      </c>
      <c r="C642" s="11" t="n">
        <v>4</v>
      </c>
      <c r="D642" s="11" t="inlineStr">
        <is>
          <t>Ask the coordinator for the code sent to subject@cmp.local for this reference.</t>
        </is>
      </c>
      <c r="E642" s="11" t="inlineStr">
        <is>
          <t>The coordinator finds a verification code in the outbox addressed to subject@cmp.local.</t>
        </is>
      </c>
      <c r="F642" s="16" t="n"/>
      <c r="G642" s="16" t="n"/>
    </row>
    <row r="643">
      <c r="A643" s="10" t="inlineStr">
        <is>
          <t>RGT-05</t>
        </is>
      </c>
      <c r="B643" s="11" t="inlineStr">
        <is>
          <t>Person without a portal session makes a request on the public rights page and verifies it by code</t>
        </is>
      </c>
      <c r="C643" s="11" t="n">
        <v>5</v>
      </c>
      <c r="D643" s="11" t="inlineStr">
        <is>
          <t>Type the code in 'The code we sent' and click 'Confirm it is me'.</t>
        </is>
      </c>
      <c r="E643" s="11" t="inlineStr">
        <is>
          <t>A box titled 'Verified' reads 'Thank you, your identity is verified. You will hear from us by &lt;date&gt;.' and 'Your reference is RR-.... Keep it.'</t>
        </is>
      </c>
      <c r="F643" s="16" t="n"/>
      <c r="G643" s="16" t="n"/>
    </row>
    <row r="644">
      <c r="A644" s="10" t="inlineStr">
        <is>
          <t>RGT-05</t>
        </is>
      </c>
      <c r="B644" s="11" t="inlineStr">
        <is>
          <t>Person without a portal session makes a request on the public rights page and verifies it by code</t>
        </is>
      </c>
      <c r="C644" s="11" t="n">
        <v>6</v>
      </c>
      <c r="D644" s="11" t="inlineStr">
        <is>
          <t>In Browser B open http://localhost:3000. Type dpo@cmp.local in 'Email or username' and SeedPassw0rd!2026 in 'Password' and click 'Sign in'. If the 'Verify it is you' page appears, ask the coordinator for the code, type it in '6-digit code' and click 'Verify and continue'.</t>
        </is>
      </c>
      <c r="E644" s="11" t="inlineStr">
        <is>
          <t>The Dashboard opens, signed in as Priya Menon (DPO).</t>
        </is>
      </c>
      <c r="F644" s="16" t="n"/>
      <c r="G644" s="16" t="n"/>
    </row>
    <row r="645">
      <c r="A645" s="10" t="inlineStr">
        <is>
          <t>RGT-05</t>
        </is>
      </c>
      <c r="B645" s="11" t="inlineStr">
        <is>
          <t>Person without a portal session makes a request on the public rights page and verifies it by code</t>
        </is>
      </c>
      <c r="C645" s="11" t="n">
        <v>7</v>
      </c>
      <c r="D645" s="11" t="inlineStr">
        <is>
          <t>Click 'Rights requests' in the sidebar and find RR-PUB.</t>
        </is>
      </c>
      <c r="E645" s="11" t="inlineStr">
        <is>
          <t>The row shows 'Anjali Verma' under 'Who', 'Access · s.11' under 'Kind' and 'Received' under 'Status', with no 'unverified' tag.</t>
        </is>
      </c>
      <c r="F645" s="16" t="n"/>
      <c r="G645" s="16" t="n"/>
    </row>
    <row r="646">
      <c r="A646" s="10" t="inlineStr">
        <is>
          <t>RGT-05</t>
        </is>
      </c>
      <c r="B646" s="11" t="inlineStr">
        <is>
          <t>Person without a portal session makes a request on the public rights page and verifies it by code</t>
        </is>
      </c>
      <c r="C646" s="11" t="n">
        <v>8</v>
      </c>
      <c r="D646" s="11" t="inlineStr">
        <is>
          <t>Open RR-PUB.</t>
        </is>
      </c>
      <c r="E646" s="11" t="inlineStr">
        <is>
          <t>The line under the heading reads 'Access · s.11 · Public form'. The card '3 · Identity verified?' shows a green note 'Verified by code on &lt;date&gt;'.</t>
        </is>
      </c>
      <c r="F646" s="16" t="n"/>
      <c r="G646" s="16" t="n"/>
    </row>
    <row r="647">
      <c r="A647" s="10" t="inlineStr">
        <is>
          <t>RGT-06</t>
        </is>
      </c>
      <c r="B647" s="11" t="inlineStr">
        <is>
          <t>Public form stays neutral for an unknown contact; wrong code refused; DPO closes it as not verified</t>
        </is>
      </c>
      <c r="C647" s="11" t="n">
        <v>1</v>
      </c>
      <c r="D647" s="11" t="inlineStr">
        <is>
          <t>Signed out, open http://localhost:3001/rights, choose 'Access (s.11)', enter the test contact, name and request, and click 'Send the request'.</t>
        </is>
      </c>
      <c r="E647" s="11" t="inlineStr">
        <is>
          <t>The same 'Recorded' box as for a known person appears, with a reference. Nothing on the page says 'no account', 'not found' or 'unknown contact'.</t>
        </is>
      </c>
      <c r="F647" s="16" t="n"/>
      <c r="G647" s="16" t="n"/>
    </row>
    <row r="648">
      <c r="A648" s="10" t="inlineStr">
        <is>
          <t>RGT-06</t>
        </is>
      </c>
      <c r="B648" s="11" t="inlineStr">
        <is>
          <t>Public form stays neutral for an unknown contact; wrong code refused; DPO closes it as not verified</t>
        </is>
      </c>
      <c r="C648" s="11" t="n">
        <v>2</v>
      </c>
      <c r="D648" s="11" t="inlineStr">
        <is>
          <t>Ask the coordinator whether any code was sent to stranger.rgt@example.org.</t>
        </is>
      </c>
      <c r="E648" s="11" t="inlineStr">
        <is>
          <t>No code or message to stranger.rgt@example.org is in the outbox.</t>
        </is>
      </c>
      <c r="F648" s="16" t="n"/>
      <c r="G648" s="16" t="n"/>
    </row>
    <row r="649">
      <c r="A649" s="10" t="inlineStr">
        <is>
          <t>RGT-06</t>
        </is>
      </c>
      <c r="B649" s="11" t="inlineStr">
        <is>
          <t>Public form stays neutral for an unknown contact; wrong code refused; DPO closes it as not verified</t>
        </is>
      </c>
      <c r="C649" s="11" t="n">
        <v>3</v>
      </c>
      <c r="D649" s="11" t="inlineStr">
        <is>
          <t>Type 123456 in 'The code we sent' and click 'Confirm it is me'.</t>
        </is>
      </c>
      <c r="E649" s="11" t="inlineStr">
        <is>
          <t>The error 'Invalid or expired code' appears. No 'Verified' box.</t>
        </is>
      </c>
      <c r="F649" s="16" t="n"/>
      <c r="G649" s="16" t="n"/>
    </row>
    <row r="650">
      <c r="A650" s="10" t="inlineStr">
        <is>
          <t>RGT-06</t>
        </is>
      </c>
      <c r="B650" s="11" t="inlineStr">
        <is>
          <t>Public form stays neutral for an unknown contact; wrong code refused; DPO closes it as not verified</t>
        </is>
      </c>
      <c r="C650" s="11" t="n">
        <v>4</v>
      </c>
      <c r="D650" s="11" t="inlineStr">
        <is>
          <t>Reload the page, click 'Already have a reference and a code? Verify it here.', enter RR-PUB (already verified in RGT-05) and code 000000, and click 'Confirm it is me'.</t>
        </is>
      </c>
      <c r="E650" s="11" t="inlineStr">
        <is>
          <t>The same 'Invalid or expired code' error appears - the page does not reveal that RR-PUB is already verified.</t>
        </is>
      </c>
      <c r="F650" s="16" t="n"/>
      <c r="G650" s="16" t="n"/>
    </row>
    <row r="651">
      <c r="A651" s="10" t="inlineStr">
        <is>
          <t>RGT-06</t>
        </is>
      </c>
      <c r="B651" s="11" t="inlineStr">
        <is>
          <t>Public form stays neutral for an unknown contact; wrong code refused; DPO closes it as not verified</t>
        </is>
      </c>
      <c r="C651" s="11" t="n">
        <v>5</v>
      </c>
      <c r="D651" s="11" t="inlineStr">
        <is>
          <t>In Browser B open http://localhost:3000. Type dpo@cmp.local in 'Email or username' and SeedPassw0rd!2026 in 'Password' and click 'Sign in'. If the 'Verify it is you' page appears, ask the coordinator for the code, type it in '6-digit code' and click 'Verify and continue'.</t>
        </is>
      </c>
      <c r="E651" s="11" t="inlineStr">
        <is>
          <t>The Dashboard opens, signed in as Priya Menon (DPO).</t>
        </is>
      </c>
      <c r="F651" s="16" t="n"/>
      <c r="G651" s="16" t="n"/>
    </row>
    <row r="652">
      <c r="A652" s="10" t="inlineStr">
        <is>
          <t>RGT-06</t>
        </is>
      </c>
      <c r="B652" s="11" t="inlineStr">
        <is>
          <t>Public form stays neutral for an unknown contact; wrong code refused; DPO closes it as not verified</t>
        </is>
      </c>
      <c r="C652" s="11" t="n">
        <v>6</v>
      </c>
      <c r="D652" s="11" t="inlineStr">
        <is>
          <t>Click 'Rights requests'. Find RR-X.</t>
        </is>
      </c>
      <c r="E652" s="11" t="inlineStr">
        <is>
          <t>The row shows 'A Stranger' and the contact under 'Who', 'Received' under 'Status' and the small tag 'unverified'.</t>
        </is>
      </c>
      <c r="F652" s="16" t="n"/>
      <c r="G652" s="16" t="n"/>
    </row>
    <row r="653">
      <c r="A653" s="10" t="inlineStr">
        <is>
          <t>RGT-06</t>
        </is>
      </c>
      <c r="B653" s="11" t="inlineStr">
        <is>
          <t>Public form stays neutral for an unknown contact; wrong code refused; DPO closes it as not verified</t>
        </is>
      </c>
      <c r="C653" s="11" t="n">
        <v>7</v>
      </c>
      <c r="D653" s="11" t="inlineStr">
        <is>
          <t>Open RR-X and look at 'Who' and '3 · Identity verified?'.</t>
        </is>
      </c>
      <c r="E653" s="11" t="inlineStr">
        <is>
          <t>'Who' shows 'A Stranger' and 'No account matches this contact'. The box 'A code to the stored channel' says 'No account matches this contact, so there is no stored channel. Verify manually, or close as not verified.' There is no 'Send a code' button.</t>
        </is>
      </c>
      <c r="F653" s="16" t="n"/>
      <c r="G653" s="16" t="n"/>
    </row>
    <row r="654">
      <c r="A654" s="10" t="inlineStr">
        <is>
          <t>RGT-06</t>
        </is>
      </c>
      <c r="B654" s="11" t="inlineStr">
        <is>
          <t>Public form stays neutral for an unknown contact; wrong code refused; DPO closes it as not verified</t>
        </is>
      </c>
      <c r="C654" s="11" t="n">
        <v>8</v>
      </c>
      <c r="D654" s="11" t="inlineStr">
        <is>
          <t>Look at the 'What happens next' card.</t>
        </is>
      </c>
      <c r="E654" s="11" t="inlineStr">
        <is>
          <t>'Move to in progress' shows the warning 'Identity is not verified' and its 'In progress' button is greyed out.</t>
        </is>
      </c>
      <c r="F654" s="16" t="n"/>
      <c r="G654" s="16" t="n"/>
    </row>
    <row r="655">
      <c r="A655" s="10" t="inlineStr">
        <is>
          <t>RGT-06</t>
        </is>
      </c>
      <c r="B655" s="11" t="inlineStr">
        <is>
          <t>Public form stays neutral for an unknown contact; wrong code refused; DPO closes it as not verified</t>
        </is>
      </c>
      <c r="C655" s="11" t="n">
        <v>9</v>
      </c>
      <c r="D655" s="11" t="inlineStr">
        <is>
          <t>In '3 · Identity verified?' click 'No match, or not satisfied'.</t>
        </is>
      </c>
      <c r="E655" s="11" t="inlineStr">
        <is>
          <t>A warning appears: 'Closes the request as not verified and audits it. The requester gets a neutral message - nothing is confirmed either way - and may try again.' with a 'Close as not verified' button.</t>
        </is>
      </c>
      <c r="F655" s="16" t="n"/>
      <c r="G655" s="16" t="n"/>
    </row>
    <row r="656">
      <c r="A656" s="10" t="inlineStr">
        <is>
          <t>RGT-06</t>
        </is>
      </c>
      <c r="B656" s="11" t="inlineStr">
        <is>
          <t>Public form stays neutral for an unknown contact; wrong code refused; DPO closes it as not verified</t>
        </is>
      </c>
      <c r="C656" s="11" t="n">
        <v>10</v>
      </c>
      <c r="D656" s="11" t="inlineStr">
        <is>
          <t>Click 'Close as not verified'.</t>
        </is>
      </c>
      <c r="E656" s="11" t="inlineStr">
        <is>
          <t>The message 'Closed as not verified' appears. The header badge reads 'Not verified'. The card shows 'Not satisfied. The requester was told nothing either way, and may try again.' 'What happens next' is replaced by 'Closed. Disagreement with the outcome is a grievance - a new request linked to this one.'</t>
        </is>
      </c>
      <c r="F656" s="16" t="n"/>
      <c r="G656" s="16" t="n"/>
    </row>
    <row r="657">
      <c r="A657" s="10" t="inlineStr">
        <is>
          <t>RGT-07</t>
        </is>
      </c>
      <c r="B657" s="11" t="inlineStr">
        <is>
          <t>DPO finds a request in the register, checks identity, classifies it and starts it</t>
        </is>
      </c>
      <c r="C657" s="11" t="n">
        <v>1</v>
      </c>
      <c r="D657" s="11" t="inlineStr">
        <is>
          <t>In Browser B open http://localhost:3000. Type dpo@cmp.local in 'Email or username' and SeedPassw0rd!2026 in 'Password' and click 'Sign in'. If the 'Verify it is you' page appears, ask the coordinator for the code, type it in '6-digit code' and click 'Verify and continue'.</t>
        </is>
      </c>
      <c r="E657" s="11" t="inlineStr">
        <is>
          <t>The Dashboard opens, signed in as Priya Menon (DPO). The sidebar shows 'Rights requests' under 'Your work'.</t>
        </is>
      </c>
      <c r="F657" s="16" t="n"/>
      <c r="G657" s="16" t="n"/>
    </row>
    <row r="658">
      <c r="A658" s="10" t="inlineStr">
        <is>
          <t>RGT-07</t>
        </is>
      </c>
      <c r="B658" s="11" t="inlineStr">
        <is>
          <t>DPO finds a request in the register, checks identity, classifies it and starts it</t>
        </is>
      </c>
      <c r="C658" s="11" t="n">
        <v>2</v>
      </c>
      <c r="D658" s="11" t="inlineStr">
        <is>
          <t>Click 'Rights requests'.</t>
        </is>
      </c>
      <c r="E658" s="11" t="inlineStr">
        <is>
          <t>The page 'Rights requests' opens with the text 'Access, correction, erasure and grievance - sections 11 to 14...' and a 'Log a request received by email' button. Filters 'Status', 'Kind', 'Clock' and 'Tickets' are shown, and the columns 'Reference', 'Who', 'Kind', 'Status', 'Received', 'Due'.</t>
        </is>
      </c>
      <c r="F658" s="16" t="n"/>
      <c r="G658" s="16" t="n"/>
    </row>
    <row r="659">
      <c r="A659" s="10" t="inlineStr">
        <is>
          <t>RGT-07</t>
        </is>
      </c>
      <c r="B659" s="11" t="inlineStr">
        <is>
          <t>DPO finds a request in the register, checks identity, classifies it and starts it</t>
        </is>
      </c>
      <c r="C659" s="11" t="n">
        <v>3</v>
      </c>
      <c r="D659" s="11" t="inlineStr">
        <is>
          <t>In the 'Kind' filter choose 'Access'.</t>
        </is>
      </c>
      <c r="E659" s="11" t="inlineStr">
        <is>
          <t>Only access requests are listed. RR-A shows 'Anjali Verma' and her contact, 'Access · s.11', 'Received', its received time, and a due date with 'N days left' under it.</t>
        </is>
      </c>
      <c r="F659" s="16" t="n"/>
      <c r="G659" s="16" t="n"/>
    </row>
    <row r="660">
      <c r="A660" s="10" t="inlineStr">
        <is>
          <t>RGT-07</t>
        </is>
      </c>
      <c r="B660" s="11" t="inlineStr">
        <is>
          <t>DPO finds a request in the register, checks identity, classifies it and starts it</t>
        </is>
      </c>
      <c r="C660" s="11" t="n">
        <v>4</v>
      </c>
      <c r="D660" s="11" t="inlineStr">
        <is>
          <t>Click RR-A.</t>
        </is>
      </c>
      <c r="E660" s="11" t="inlineStr">
        <is>
          <t>The heading is RR-A, the line under it reads 'Access · s.11 · Portal', and the badges 'Access · s.11' and 'Received' are at the right. The details show 'Who' (Anjali Verma with email and mobile), 'Contact given', 'Received' and 'Acknowledged', followed by her request text. Cards 'Clock' and 'The path, and where it can end early' follow.</t>
        </is>
      </c>
      <c r="F660" s="16" t="n"/>
      <c r="G660" s="16" t="n"/>
    </row>
    <row r="661">
      <c r="A661" s="10" t="inlineStr">
        <is>
          <t>RGT-07</t>
        </is>
      </c>
      <c r="B661" s="11" t="inlineStr">
        <is>
          <t>DPO finds a request in the register, checks identity, classifies it and starts it</t>
        </is>
      </c>
      <c r="C661" s="11" t="n">
        <v>5</v>
      </c>
      <c r="D661" s="11" t="inlineStr">
        <is>
          <t>Look at the card '3 · Identity verified?'.</t>
        </is>
      </c>
      <c r="E661" s="11" t="inlineStr">
        <is>
          <t>A green note reads 'Verified by session on &lt;date&gt;'. No code or manual verification controls are shown.</t>
        </is>
      </c>
      <c r="F661" s="16" t="n"/>
      <c r="G661" s="16" t="n"/>
    </row>
    <row r="662">
      <c r="A662" s="10" t="inlineStr">
        <is>
          <t>RGT-07</t>
        </is>
      </c>
      <c r="B662" s="11" t="inlineStr">
        <is>
          <t>DPO finds a request in the register, checks identity, classifies it and starts it</t>
        </is>
      </c>
      <c r="C662" s="11" t="n">
        <v>6</v>
      </c>
      <c r="D662" s="11" t="inlineStr">
        <is>
          <t>Look at the card 'What happens next'.</t>
        </is>
      </c>
      <c r="E662" s="11" t="inlineStr">
        <is>
          <t>It reads 'Currently received. Rendered from the server's answer.' The row 'Move to in progress' carries the warning 'The request has not been classified as a rights request' and its 'In progress' button is greyed out.</t>
        </is>
      </c>
      <c r="F662" s="16" t="n"/>
      <c r="G662" s="16" t="n"/>
    </row>
    <row r="663">
      <c r="A663" s="10" t="inlineStr">
        <is>
          <t>RGT-07</t>
        </is>
      </c>
      <c r="B663" s="11" t="inlineStr">
        <is>
          <t>DPO finds a request in the register, checks identity, classifies it and starts it</t>
        </is>
      </c>
      <c r="C663" s="11" t="n">
        <v>7</v>
      </c>
      <c r="D663" s="11" t="inlineStr">
        <is>
          <t>In the card '4 · A valid access request?' check that 'This is a request for' shows 'Access (s.11)'. Type 'Clear access request' in 'Note' and click 'Confirm classification'.</t>
        </is>
      </c>
      <c r="E663" s="11" t="inlineStr">
        <is>
          <t>The message 'Classified' appears and the card shows 'Classified as access on &lt;date&gt;.'</t>
        </is>
      </c>
      <c r="F663" s="16" t="n"/>
      <c r="G663" s="16" t="n"/>
    </row>
    <row r="664">
      <c r="A664" s="10" t="inlineStr">
        <is>
          <t>RGT-07</t>
        </is>
      </c>
      <c r="B664" s="11" t="inlineStr">
        <is>
          <t>DPO finds a request in the register, checks identity, classifies it and starts it</t>
        </is>
      </c>
      <c r="C664" s="11" t="n">
        <v>8</v>
      </c>
      <c r="D664" s="11" t="inlineStr">
        <is>
          <t>In 'What happens next' click 'In progress'.</t>
        </is>
      </c>
      <c r="E664" s="11" t="inlineStr">
        <is>
          <t>The message 'Moved to In progress' appears. The header badge reads 'In progress'. 'What happens next' now offers 'Move to awaiting holders' (warning 'No tickets have been issued yet') and 'Move to collating'.</t>
        </is>
      </c>
      <c r="F664" s="16" t="n"/>
      <c r="G664" s="16" t="n"/>
    </row>
    <row r="665">
      <c r="A665" s="10" t="inlineStr">
        <is>
          <t>RGT-07</t>
        </is>
      </c>
      <c r="B665" s="11" t="inlineStr">
        <is>
          <t>DPO finds a request in the register, checks identity, classifies it and starts it</t>
        </is>
      </c>
      <c r="C665" s="11" t="n">
        <v>9</v>
      </c>
      <c r="D665" s="11" t="inlineStr">
        <is>
          <t>Go back to 'Rights requests' and set 'Status' to 'In progress'.</t>
        </is>
      </c>
      <c r="E665" s="11" t="inlineStr">
        <is>
          <t>RR-A is listed with status 'In progress'.</t>
        </is>
      </c>
      <c r="F665" s="16" t="n"/>
      <c r="G665" s="16" t="n"/>
    </row>
    <row r="666">
      <c r="A666" s="10" t="inlineStr">
        <is>
          <t>RGT-07</t>
        </is>
      </c>
      <c r="B666" s="11" t="inlineStr">
        <is>
          <t>DPO finds a request in the register, checks identity, classifies it and starts it</t>
        </is>
      </c>
      <c r="C666" s="11" t="n">
        <v>10</v>
      </c>
      <c r="D666" s="11" t="inlineStr">
        <is>
          <t>In Browser A (Anjali on the portal) reload 'My requests'.</t>
        </is>
      </c>
      <c r="E666" s="11" t="inlineStr">
        <is>
          <t>RR-A now shows the badge 'In progress'.</t>
        </is>
      </c>
      <c r="F666" s="16" t="n"/>
      <c r="G666" s="16" t="n"/>
    </row>
    <row r="667">
      <c r="A667" s="10" t="inlineStr">
        <is>
          <t>RGT-08</t>
        </is>
      </c>
      <c r="B667" s="11" t="inlineStr">
        <is>
          <t>DPO tickets a third-party holder by mail and records what it returned</t>
        </is>
      </c>
      <c r="C667" s="11" t="n">
        <v>1</v>
      </c>
      <c r="D667" s="11" t="inlineStr">
        <is>
          <t>Open RR-A and scroll to the card '6–8 · Holders, tickets, returns'.</t>
        </is>
      </c>
      <c r="E667" s="11" t="inlineStr">
        <is>
          <t>The card says 'export_line and asset_consent are exact - the DPO adds what they miss.' and offers 'Derive from the records' and 'Add a holder'.</t>
        </is>
      </c>
      <c r="F667" s="16" t="n"/>
      <c r="G667" s="16" t="n"/>
    </row>
    <row r="668">
      <c r="A668" s="10" t="inlineStr">
        <is>
          <t>RGT-08</t>
        </is>
      </c>
      <c r="B668" s="11" t="inlineStr">
        <is>
          <t>DPO tickets a third-party holder by mail and records what it returned</t>
        </is>
      </c>
      <c r="C668" s="11" t="n">
        <v>2</v>
      </c>
      <c r="D668" s="11" t="inlineStr">
        <is>
          <t>Click 'Add a holder'.</t>
        </is>
      </c>
      <c r="E668" s="11" t="inlineStr">
        <is>
          <t>A dialog 'Add a holder' opens: 'A party the records did not name. Added and confirmed in one step - you are the source.' with 'A registered processor', 'Label', 'Responder name', 'Responder contact' and 'Add'.</t>
        </is>
      </c>
      <c r="F668" s="16" t="n"/>
      <c r="G668" s="16" t="n"/>
    </row>
    <row r="669">
      <c r="A669" s="10" t="inlineStr">
        <is>
          <t>RGT-08</t>
        </is>
      </c>
      <c r="B669" s="11" t="inlineStr">
        <is>
          <t>DPO tickets a third-party holder by mail and records what it returned</t>
        </is>
      </c>
      <c r="C669" s="11" t="n">
        <v>3</v>
      </c>
      <c r="D669" s="11" t="inlineStr">
        <is>
          <t>Choose SEED in 'A registered processor', fill 'Responder name' and 'Responder contact' from the test data, and click 'Add'.</t>
        </is>
      </c>
      <c r="E669" s="11" t="inlineStr">
        <is>
          <t>The message 'Holder added and confirmed' appears. A row 'SEED' shows the badges 'No ticket yet', 'confirmed' and 'by mail', and the line 'Added by the DPO · responder SEED Privacy Desk (privacy.desk@seed.example)'.</t>
        </is>
      </c>
      <c r="F669" s="16" t="n"/>
      <c r="G669" s="16" t="n"/>
    </row>
    <row r="670">
      <c r="A670" s="10" t="inlineStr">
        <is>
          <t>RGT-08</t>
        </is>
      </c>
      <c r="B670" s="11" t="inlineStr">
        <is>
          <t>DPO tickets a third-party holder by mail and records what it returned</t>
        </is>
      </c>
      <c r="C670" s="11" t="n">
        <v>4</v>
      </c>
      <c r="D670" s="11" t="inlineStr">
        <is>
          <t>In the box '1 confirmed holder waiting for a ticket' click 'Issue tickets'.</t>
        </is>
      </c>
      <c r="E670" s="11" t="inlineStr">
        <is>
          <t>The fields 'Instruction' (hint: leave empty for the standard instruction) and 'Due' (hint starts 'Halfway (&lt;date&gt;) unless you set a date.') appear with 'Issue the ticket' and 'Cancel'.</t>
        </is>
      </c>
      <c r="F670" s="16" t="n"/>
      <c r="G670" s="16" t="n"/>
    </row>
    <row r="671">
      <c r="A671" s="10" t="inlineStr">
        <is>
          <t>RGT-08</t>
        </is>
      </c>
      <c r="B671" s="11" t="inlineStr">
        <is>
          <t>DPO tickets a third-party holder by mail and records what it returned</t>
        </is>
      </c>
      <c r="C671" s="11" t="n">
        <v>5</v>
      </c>
      <c r="D671" s="11" t="inlineStr">
        <is>
          <t>Leave both empty and click 'Issue the ticket'.</t>
        </is>
      </c>
      <c r="E671" s="11" t="inlineStr">
        <is>
          <t>The message 'Tickets issued' with 'The request is now awaiting holders.' appears. SEED's badge reads 'Issued' and a line 'Issued &lt;date&gt;' with its due date appears. The summary under the card title reads '1 ticket issued · 0 returned'. The header badge reads 'Awaiting holders'.</t>
        </is>
      </c>
      <c r="F671" s="16" t="n"/>
      <c r="G671" s="16" t="n"/>
    </row>
    <row r="672">
      <c r="A672" s="10" t="inlineStr">
        <is>
          <t>RGT-08</t>
        </is>
      </c>
      <c r="B672" s="11" t="inlineStr">
        <is>
          <t>DPO tickets a third-party holder by mail and records what it returned</t>
        </is>
      </c>
      <c r="C672" s="11" t="n">
        <v>6</v>
      </c>
      <c r="D672" s="11" t="inlineStr">
        <is>
          <t>Ask the coordinator to check the outbox for mail to privacy.desk@seed.example.</t>
        </is>
      </c>
      <c r="E672" s="11" t="inlineStr">
        <is>
          <t>The instruction for RR-A has been mailed to privacy.desk@seed.example.</t>
        </is>
      </c>
      <c r="F672" s="16" t="n"/>
      <c r="G672" s="16" t="n"/>
    </row>
    <row r="673">
      <c r="A673" s="10" t="inlineStr">
        <is>
          <t>RGT-08</t>
        </is>
      </c>
      <c r="B673" s="11" t="inlineStr">
        <is>
          <t>DPO tickets a third-party holder by mail and records what it returned</t>
        </is>
      </c>
      <c r="C673" s="11" t="n">
        <v>7</v>
      </c>
      <c r="D673" s="11" t="inlineStr">
        <is>
          <t>On the SEED row click 'Mail · log a contact'. In 'What happened' choose 'I chased them', type the contact note in 'Note' and click 'Log it'.</t>
        </is>
      </c>
      <c r="E673" s="11" t="inlineStr">
        <is>
          <t>The dialog 'SEED · by mail' closes with the message 'Contact logged'. A 'Contact log' line appears on the row; expanding it shows an entry 'Chased' with the note.</t>
        </is>
      </c>
      <c r="F673" s="16" t="n"/>
      <c r="G673" s="16" t="n"/>
    </row>
    <row r="674">
      <c r="A674" s="10" t="inlineStr">
        <is>
          <t>RGT-08</t>
        </is>
      </c>
      <c r="B674" s="11" t="inlineStr">
        <is>
          <t>DPO tickets a third-party holder by mail and records what it returned</t>
        </is>
      </c>
      <c r="C674" s="11" t="n">
        <v>8</v>
      </c>
      <c r="D674" s="11" t="inlineStr">
        <is>
          <t>Look at 'What happens next'.</t>
        </is>
      </c>
      <c r="E674" s="11" t="inlineStr">
        <is>
          <t>'Move to collating' carries the warning 'A holder has not returned its ticket - escalate once before responding partial' and is greyed out.</t>
        </is>
      </c>
      <c r="F674" s="16" t="n"/>
      <c r="G674" s="16" t="n"/>
    </row>
    <row r="675">
      <c r="A675" s="10" t="inlineStr">
        <is>
          <t>RGT-08</t>
        </is>
      </c>
      <c r="B675" s="11" t="inlineStr">
        <is>
          <t>DPO tickets a third-party holder by mail and records what it returned</t>
        </is>
      </c>
      <c r="C675" s="11" t="n">
        <v>9</v>
      </c>
      <c r="D675" s="11" t="inlineStr">
        <is>
          <t>On the SEED row click 'Record the return'.</t>
        </is>
      </c>
      <c r="E675" s="11" t="inlineStr">
        <is>
          <t>A dialog 'What SEED returned' opens: 'A confirmation of what was done and how - not an assurance...' The 'Record' button is greyed out while 'Summary of the return' is empty.</t>
        </is>
      </c>
      <c r="F675" s="16" t="n"/>
      <c r="G675" s="16" t="n"/>
    </row>
    <row r="676">
      <c r="A676" s="10" t="inlineStr">
        <is>
          <t>RGT-08</t>
        </is>
      </c>
      <c r="B676" s="11" t="inlineStr">
        <is>
          <t>DPO tickets a third-party holder by mail and records what it returned</t>
        </is>
      </c>
      <c r="C676" s="11" t="n">
        <v>10</v>
      </c>
      <c r="D676" s="11" t="inlineStr">
        <is>
          <t>Type the summary, choose the evidence file under 'Evidence', and click 'Record'.</t>
        </is>
      </c>
      <c r="E676" s="11" t="inlineStr">
        <is>
          <t>The message 'Return recorded' appears. SEED's badge reads 'Returned' and a grey box shows 'Returned: &lt;summary&gt;' with an 'evidence' link. The summary reads '1 ticket issued · 1 returned'. The header badge changes by itself to 'Collating'.</t>
        </is>
      </c>
      <c r="F676" s="16" t="n"/>
      <c r="G676" s="16" t="n"/>
    </row>
    <row r="677">
      <c r="A677" s="10" t="inlineStr">
        <is>
          <t>RGT-08</t>
        </is>
      </c>
      <c r="B677" s="11" t="inlineStr">
        <is>
          <t>DPO tickets a third-party holder by mail and records what it returned</t>
        </is>
      </c>
      <c r="C677" s="11" t="n">
        <v>11</v>
      </c>
      <c r="D677" s="11" t="inlineStr">
        <is>
          <t>Click the 'evidence' link.</t>
        </is>
      </c>
      <c r="E677" s="11" t="inlineStr">
        <is>
          <t>The uploaded evidence file downloads.</t>
        </is>
      </c>
      <c r="F677" s="16" t="n"/>
      <c r="G677" s="16" t="n"/>
    </row>
    <row r="678">
      <c r="A678" s="10" t="inlineStr">
        <is>
          <t>RGT-09</t>
        </is>
      </c>
      <c r="B678" s="11" t="inlineStr">
        <is>
          <t>DPO releases an access response and the principal downloads it</t>
        </is>
      </c>
      <c r="C678" s="11" t="n">
        <v>1</v>
      </c>
      <c r="D678" s="11" t="inlineStr">
        <is>
          <t>Open RR-A and find the card '9–10 · Collate, review, release'.</t>
        </is>
      </c>
      <c r="E678" s="11" t="inlineStr">
        <is>
          <t>It reads 'Third-party data removed. The DPO signs off - nothing releases automatically. An access response is a file the requester downloads from their own account.' There is no yellow warning, and 'Outcome' shows 'Complete'.</t>
        </is>
      </c>
      <c r="F678" s="16" t="n"/>
      <c r="G678" s="16" t="n"/>
    </row>
    <row r="679">
      <c r="A679" s="10" t="inlineStr">
        <is>
          <t>RGT-09</t>
        </is>
      </c>
      <c r="B679" s="11" t="inlineStr">
        <is>
          <t>DPO releases an access response and the principal downloads it</t>
        </is>
      </c>
      <c r="C679" s="11" t="n">
        <v>2</v>
      </c>
      <c r="D679" s="11" t="inlineStr">
        <is>
          <t>Without typing a response, look at 'Release and close'.</t>
        </is>
      </c>
      <c r="E679" s="11" t="inlineStr">
        <is>
          <t>'Release and close' is greyed out.</t>
        </is>
      </c>
      <c r="F679" s="16" t="n"/>
      <c r="G679" s="16" t="n"/>
    </row>
    <row r="680">
      <c r="A680" s="10" t="inlineStr">
        <is>
          <t>RGT-09</t>
        </is>
      </c>
      <c r="B680" s="11" t="inlineStr">
        <is>
          <t>DPO releases an access response and the principal downloads it</t>
        </is>
      </c>
      <c r="C680" s="11" t="n">
        <v>3</v>
      </c>
      <c r="D680" s="11" t="inlineStr">
        <is>
          <t>Type the response in 'The response'. Under 'Files released with the response' choose access-extract.pdf.</t>
        </is>
      </c>
      <c r="E680" s="11" t="inlineStr">
        <is>
          <t>The file is listed with its size and a small X to remove it.</t>
        </is>
      </c>
      <c r="F680" s="16" t="n"/>
      <c r="G680" s="16" t="n"/>
    </row>
    <row r="681">
      <c r="A681" s="10" t="inlineStr">
        <is>
          <t>RGT-09</t>
        </is>
      </c>
      <c r="B681" s="11" t="inlineStr">
        <is>
          <t>DPO releases an access response and the principal downloads it</t>
        </is>
      </c>
      <c r="C681" s="11" t="n">
        <v>4</v>
      </c>
      <c r="D681" s="11" t="inlineStr">
        <is>
          <t>Click 'Release and close'.</t>
        </is>
      </c>
      <c r="E681" s="11" t="inlineStr">
        <is>
          <t>The message 'Released and closed' with 'The requester has been told; 1 file released with the response.' appears. The header badge reads 'Complete'. A 'Response' card shows 'Complete · &lt;date&gt; · downloadable by the requester until &lt;date&gt;', the response text, a 'Download the file' button and 'Released with the response' listing access-extract.pdf.</t>
        </is>
      </c>
      <c r="F681" s="16" t="n"/>
      <c r="G681" s="16" t="n"/>
    </row>
    <row r="682">
      <c r="A682" s="10" t="inlineStr">
        <is>
          <t>RGT-09</t>
        </is>
      </c>
      <c r="B682" s="11" t="inlineStr">
        <is>
          <t>DPO releases an access response and the principal downloads it</t>
        </is>
      </c>
      <c r="C682" s="11" t="n">
        <v>5</v>
      </c>
      <c r="D682" s="11" t="inlineStr">
        <is>
          <t>Look at 'What happens next'.</t>
        </is>
      </c>
      <c r="E682" s="11" t="inlineStr">
        <is>
          <t>It reads 'Closed. Disagreement with the outcome is a grievance - a new request linked to this one.'</t>
        </is>
      </c>
      <c r="F682" s="16" t="n"/>
      <c r="G682" s="16" t="n"/>
    </row>
    <row r="683">
      <c r="A683" s="10" t="inlineStr">
        <is>
          <t>RGT-09</t>
        </is>
      </c>
      <c r="B683" s="11" t="inlineStr">
        <is>
          <t>DPO releases an access response and the principal downloads it</t>
        </is>
      </c>
      <c r="C683" s="11" t="n">
        <v>6</v>
      </c>
      <c r="D683" s="11" t="inlineStr">
        <is>
          <t>Ask the coordinator to check the outbox for the response mail to subject@cmp.local.</t>
        </is>
      </c>
      <c r="E683" s="11" t="inlineStr">
        <is>
          <t>A mail telling her the response to RR-A is ready is in the outbox, with a summary including what SEED returned.</t>
        </is>
      </c>
      <c r="F683" s="16" t="n"/>
      <c r="G683" s="16" t="n"/>
    </row>
    <row r="684">
      <c r="A684" s="10" t="inlineStr">
        <is>
          <t>RGT-09</t>
        </is>
      </c>
      <c r="B684" s="11" t="inlineStr">
        <is>
          <t>DPO releases an access response and the principal downloads it</t>
        </is>
      </c>
      <c r="C684" s="11" t="n">
        <v>7</v>
      </c>
      <c r="D684" s="11" t="inlineStr">
        <is>
          <t>In Browser A reload 'My requests' and look at RR-A.</t>
        </is>
      </c>
      <c r="E684" s="11" t="inlineStr">
        <is>
          <t>The badge reads 'Complete'. A box 'Our response · &lt;date&gt;' shows the text. 'Files released with this response' lists access-extract.pdf with 'Download'. Buttons 'Download the file' (with 'until &lt;date&gt;') and 'Dispute this response' are shown, with the note about the Data Protection Board.</t>
        </is>
      </c>
      <c r="F684" s="16" t="n"/>
      <c r="G684" s="16" t="n"/>
    </row>
    <row r="685">
      <c r="A685" s="10" t="inlineStr">
        <is>
          <t>RGT-09</t>
        </is>
      </c>
      <c r="B685" s="11" t="inlineStr">
        <is>
          <t>DPO releases an access response and the principal downloads it</t>
        </is>
      </c>
      <c r="C685" s="11" t="n">
        <v>8</v>
      </c>
      <c r="D685" s="11" t="inlineStr">
        <is>
          <t>Click 'Download the file'.</t>
        </is>
      </c>
      <c r="E685" s="11" t="inlineStr">
        <is>
          <t>The message 'Downloaded' with 'Keep it somewhere safe - the link is time-limited.' appears and a file named RR-A's reference with .json is saved.</t>
        </is>
      </c>
      <c r="F685" s="16" t="n"/>
      <c r="G685" s="16" t="n"/>
    </row>
    <row r="686">
      <c r="A686" s="10" t="inlineStr">
        <is>
          <t>RGT-09</t>
        </is>
      </c>
      <c r="B686" s="11" t="inlineStr">
        <is>
          <t>DPO releases an access response and the principal downloads it</t>
        </is>
      </c>
      <c r="C686" s="11" t="n">
        <v>9</v>
      </c>
      <c r="D686" s="11" t="inlineStr">
        <is>
          <t>Open the downloaded file in a text editor.</t>
        </is>
      </c>
      <c r="E686" s="11" t="inlineStr">
        <is>
          <t>It contains her 'consents', 'disclosures', 'holders' (SEED with ticket_status 'returned' and its return summary), an empty 'gaps' list, 'files' listing access-extract.pdf, and 'your_rights' with the grievance and Board routes.</t>
        </is>
      </c>
      <c r="F686" s="16" t="n"/>
      <c r="G686" s="16" t="n"/>
    </row>
    <row r="687">
      <c r="A687" s="10" t="inlineStr">
        <is>
          <t>RGT-09</t>
        </is>
      </c>
      <c r="B687" s="11" t="inlineStr">
        <is>
          <t>DPO releases an access response and the principal downloads it</t>
        </is>
      </c>
      <c r="C687" s="11" t="n">
        <v>10</v>
      </c>
      <c r="D687" s="11" t="inlineStr">
        <is>
          <t>Click 'Download' next to access-extract.pdf.</t>
        </is>
      </c>
      <c r="E687" s="11" t="inlineStr">
        <is>
          <t>The same PDF the DPO released downloads.</t>
        </is>
      </c>
      <c r="F687" s="16" t="n"/>
      <c r="G687" s="16" t="n"/>
    </row>
    <row r="688">
      <c r="A688" s="10" t="inlineStr">
        <is>
          <t>RGT-10</t>
        </is>
      </c>
      <c r="B688" s="11" t="inlineStr">
        <is>
          <t>DPO confirms the principal means erasure (not withdrawal) before work starts</t>
        </is>
      </c>
      <c r="C688" s="11" t="n">
        <v>1</v>
      </c>
      <c r="D688" s="11" t="inlineStr">
        <is>
          <t>In 'Rights requests' set 'Kind' to 'Erasure' and open RR-E.</t>
        </is>
      </c>
      <c r="E688" s="11" t="inlineStr">
        <is>
          <t>The line under the heading reads 'Erasure · s.12(3) · Portal'. The cards include '4 · Withdrawal, or erasure?', '7–9 · Holders, instructions, confirmations' and '5–6 · Scope determined; inside the one-year floor?'.</t>
        </is>
      </c>
      <c r="F688" s="16" t="n"/>
      <c r="G688" s="16" t="n"/>
    </row>
    <row r="689">
      <c r="A689" s="10" t="inlineStr">
        <is>
          <t>RGT-10</t>
        </is>
      </c>
      <c r="B689" s="11" t="inlineStr">
        <is>
          <t>DPO confirms the principal means erasure (not withdrawal) before work starts</t>
        </is>
      </c>
      <c r="C689" s="11" t="n">
        <v>2</v>
      </c>
      <c r="D689" s="11" t="inlineStr">
        <is>
          <t>In '4 · Withdrawal, or erasure?' read the yellow box.</t>
        </is>
      </c>
      <c r="E689" s="11" t="inlineStr">
        <is>
          <t>It is headed 'Does the requester mean erasure, or withdrawal?' and explains 'Withdrawal stops future processing, and the requester can do it from their consent record... Confirm which before anything is deleted.' with buttons 'They mean erasure' and 'They meant withdrawal'.</t>
        </is>
      </c>
      <c r="F689" s="16" t="n"/>
      <c r="G689" s="16" t="n"/>
    </row>
    <row r="690">
      <c r="A690" s="10" t="inlineStr">
        <is>
          <t>RGT-10</t>
        </is>
      </c>
      <c r="B690" s="11" t="inlineStr">
        <is>
          <t>DPO confirms the principal means erasure (not withdrawal) before work starts</t>
        </is>
      </c>
      <c r="C690" s="11" t="n">
        <v>3</v>
      </c>
      <c r="D690" s="11" t="inlineStr">
        <is>
          <t>Check 'This is a request for' shows 'Erasure (s.12(3))' and click 'Confirm classification'.</t>
        </is>
      </c>
      <c r="E690" s="11" t="inlineStr">
        <is>
          <t>'Classified' appears; the card shows 'Classified as erasure on &lt;date&gt;.'</t>
        </is>
      </c>
      <c r="F690" s="16" t="n"/>
      <c r="G690" s="16" t="n"/>
    </row>
    <row r="691">
      <c r="A691" s="10" t="inlineStr">
        <is>
          <t>RGT-10</t>
        </is>
      </c>
      <c r="B691" s="11" t="inlineStr">
        <is>
          <t>DPO confirms the principal means erasure (not withdrawal) before work starts</t>
        </is>
      </c>
      <c r="C691" s="11" t="n">
        <v>4</v>
      </c>
      <c r="D691" s="11" t="inlineStr">
        <is>
          <t>Look at 'What happens next'.</t>
        </is>
      </c>
      <c r="E691" s="11" t="inlineStr">
        <is>
          <t>'Move to in progress' carries the warning 'Whether she means withdrawal or erasure is not yet confirmed' and 'In progress' is greyed out.</t>
        </is>
      </c>
      <c r="F691" s="16" t="n"/>
      <c r="G691" s="16" t="n"/>
    </row>
    <row r="692">
      <c r="A692" s="10" t="inlineStr">
        <is>
          <t>RGT-10</t>
        </is>
      </c>
      <c r="B692" s="11" t="inlineStr">
        <is>
          <t>DPO confirms the principal means erasure (not withdrawal) before work starts</t>
        </is>
      </c>
      <c r="C692" s="11" t="n">
        <v>5</v>
      </c>
      <c r="D692" s="11" t="inlineStr">
        <is>
          <t>Click 'They mean erasure'.</t>
        </is>
      </c>
      <c r="E692" s="11" t="inlineStr">
        <is>
          <t>The message 'Erasure confirmed' appears, the yellow box disappears and the card reads 'Erasure confirmed on &lt;date&gt;.'</t>
        </is>
      </c>
      <c r="F692" s="16" t="n"/>
      <c r="G692" s="16" t="n"/>
    </row>
    <row r="693">
      <c r="A693" s="10" t="inlineStr">
        <is>
          <t>RGT-10</t>
        </is>
      </c>
      <c r="B693" s="11" t="inlineStr">
        <is>
          <t>DPO confirms the principal means erasure (not withdrawal) before work starts</t>
        </is>
      </c>
      <c r="C693" s="11" t="n">
        <v>6</v>
      </c>
      <c r="D693" s="11" t="inlineStr">
        <is>
          <t>In 'What happens next' click 'In progress'.</t>
        </is>
      </c>
      <c r="E693" s="11" t="inlineStr">
        <is>
          <t>'Moved to In progress' appears and the header badge reads 'In progress'.</t>
        </is>
      </c>
      <c r="F693" s="16" t="n"/>
      <c r="G693" s="16" t="n"/>
    </row>
    <row r="694">
      <c r="A694" s="10" t="inlineStr">
        <is>
          <t>RGT-10</t>
        </is>
      </c>
      <c r="B694" s="11" t="inlineStr">
        <is>
          <t>DPO confirms the principal means erasure (not withdrawal) before work starts</t>
        </is>
      </c>
      <c r="C694" s="11" t="n">
        <v>7</v>
      </c>
      <c r="D694" s="11" t="inlineStr">
        <is>
          <t>In Browser A, on 'My requests', make a new request: 'Erasure (s.12(3))' with the RR-W text. Note its reference (RR-W).</t>
        </is>
      </c>
      <c r="E694" s="11" t="inlineStr">
        <is>
          <t>'Recorded as RR-...' appears.</t>
        </is>
      </c>
      <c r="F694" s="16" t="n"/>
      <c r="G694" s="16" t="n"/>
    </row>
    <row r="695">
      <c r="A695" s="10" t="inlineStr">
        <is>
          <t>RGT-10</t>
        </is>
      </c>
      <c r="B695" s="11" t="inlineStr">
        <is>
          <t>DPO confirms the principal means erasure (not withdrawal) before work starts</t>
        </is>
      </c>
      <c r="C695" s="11" t="n">
        <v>8</v>
      </c>
      <c r="D695" s="11" t="inlineStr">
        <is>
          <t>In Browser B open RR-W and click 'They meant withdrawal'.</t>
        </is>
      </c>
      <c r="E695" s="11" t="inlineStr">
        <is>
          <t>The message 'Handled as withdrawal' appears. The header badge reads 'Handled as withdrawal'. A 'Response' card shows the explanation starting 'Withdrawing consent stops future processing for the purposes withdrawn. It does not delete data already collected...'</t>
        </is>
      </c>
      <c r="F695" s="16" t="n"/>
      <c r="G695" s="16" t="n"/>
    </row>
    <row r="696">
      <c r="A696" s="10" t="inlineStr">
        <is>
          <t>RGT-10</t>
        </is>
      </c>
      <c r="B696" s="11" t="inlineStr">
        <is>
          <t>DPO confirms the principal means erasure (not withdrawal) before work starts</t>
        </is>
      </c>
      <c r="C696" s="11" t="n">
        <v>9</v>
      </c>
      <c r="D696" s="11" t="inlineStr">
        <is>
          <t>In Browser A reload 'My requests' and look at RR-W, then open 'My consents'.</t>
        </is>
      </c>
      <c r="E696" s="11" t="inlineStr">
        <is>
          <t>RR-W shows 'Handled as withdrawal' with 'Our response' giving the same explanation and a 'Dispute this response' button. Her consents are NOT changed - withdrawing stays her own step.</t>
        </is>
      </c>
      <c r="F696" s="16" t="n"/>
      <c r="G696" s="16" t="n"/>
    </row>
    <row r="697">
      <c r="A697" s="10" t="inlineStr">
        <is>
          <t>RGT-11</t>
        </is>
      </c>
      <c r="B697" s="11" t="inlineStr">
        <is>
          <t>DPO derives the holders, confirms the in-house holder with its respondent and issues the ticket</t>
        </is>
      </c>
      <c r="C697" s="11" t="n">
        <v>1</v>
      </c>
      <c r="D697" s="11" t="inlineStr">
        <is>
          <t>Open RR-E and find '7–9 · Holders, instructions, confirmations'.</t>
        </is>
      </c>
      <c r="E697" s="11" t="inlineStr">
        <is>
          <t>It reads 'No holders yet. Derive them from the records, or add what you know.' with 'Derive from the records' and 'Add a holder'.</t>
        </is>
      </c>
      <c r="F697" s="16" t="n"/>
      <c r="G697" s="16" t="n"/>
    </row>
    <row r="698">
      <c r="A698" s="10" t="inlineStr">
        <is>
          <t>RGT-11</t>
        </is>
      </c>
      <c r="B698" s="11" t="inlineStr">
        <is>
          <t>DPO derives the holders, confirms the in-house holder with its respondent and issues the ticket</t>
        </is>
      </c>
      <c r="C698" s="11" t="n">
        <v>2</v>
      </c>
      <c r="D698" s="11" t="inlineStr">
        <is>
          <t>Click 'Derive from the records'.</t>
        </is>
      </c>
      <c r="E698" s="11" t="inlineStr">
        <is>
          <t>The message 'Holders derived' with 'Confirm each one, then issue tickets.' appears. A row 'SRIB' shows the badges 'No ticket yet', 'derived, not confirmed' and 'in-house', and a line starting 'Named by' that counts the exports and assets naming it. (A row for any other processor her data went to may also appear; leave it for this case.)</t>
        </is>
      </c>
      <c r="F698" s="16" t="n"/>
      <c r="G698" s="16" t="n"/>
    </row>
    <row r="699">
      <c r="A699" s="10" t="inlineStr">
        <is>
          <t>RGT-11</t>
        </is>
      </c>
      <c r="B699" s="11" t="inlineStr">
        <is>
          <t>DPO derives the holders, confirms the in-house holder with its respondent and issues the ticket</t>
        </is>
      </c>
      <c r="C699" s="11" t="n">
        <v>3</v>
      </c>
      <c r="D699" s="11" t="inlineStr">
        <is>
          <t>Under the SRIB row open 'Respondent'.</t>
        </is>
      </c>
      <c r="E699" s="11" t="inlineStr">
        <is>
          <t>The list starts with 'Type one below instead…' and includes 'Meera Iyer · rco@cmp.local · portal'.</t>
        </is>
      </c>
      <c r="F699" s="16" t="n"/>
      <c r="G699" s="16" t="n"/>
    </row>
    <row r="700">
      <c r="A700" s="10" t="inlineStr">
        <is>
          <t>RGT-11</t>
        </is>
      </c>
      <c r="B700" s="11" t="inlineStr">
        <is>
          <t>DPO derives the holders, confirms the in-house holder with its respondent and issues the ticket</t>
        </is>
      </c>
      <c r="C700" s="11" t="n">
        <v>4</v>
      </c>
      <c r="D700" s="11" t="inlineStr">
        <is>
          <t>Choose 'Meera Iyer · rco@cmp.local · portal' and click 'Confirm' on the SRIB row.</t>
        </is>
      </c>
      <c r="E700" s="11" t="inlineStr">
        <is>
          <t>'Holder confirmed' appears. The row shows 'confirmed' and 'on the portal', and the line adds '· responder Meera Iyer (...) · returns it in their console'.</t>
        </is>
      </c>
      <c r="F700" s="16" t="n"/>
      <c r="G700" s="16" t="n"/>
    </row>
    <row r="701">
      <c r="A701" s="10" t="inlineStr">
        <is>
          <t>RGT-11</t>
        </is>
      </c>
      <c r="B701" s="11" t="inlineStr">
        <is>
          <t>DPO derives the holders, confirms the in-house holder with its respondent and issues the ticket</t>
        </is>
      </c>
      <c r="C701" s="11" t="n">
        <v>5</v>
      </c>
      <c r="D701" s="11" t="inlineStr">
        <is>
          <t>In the box '1 confirmed holder waiting for a ticket' click 'Issue tickets', leave 'Instruction' and 'Due' empty, and click 'Issue the ticket'.</t>
        </is>
      </c>
      <c r="E701" s="11" t="inlineStr">
        <is>
          <t>'Tickets issued' appears. SRIB's badge reads 'Issued' with the issued date and due date, and 'Not yet seen by the team'. The header badge reads 'Awaiting holders'.</t>
        </is>
      </c>
      <c r="F701" s="16" t="n"/>
      <c r="G701" s="16" t="n"/>
    </row>
    <row r="702">
      <c r="A702" s="10" t="inlineStr">
        <is>
          <t>RGT-11</t>
        </is>
      </c>
      <c r="B702" s="11" t="inlineStr">
        <is>
          <t>DPO derives the holders, confirms the in-house holder with its respondent and issues the ticket</t>
        </is>
      </c>
      <c r="C702" s="11" t="n">
        <v>6</v>
      </c>
      <c r="D702" s="11" t="inlineStr">
        <is>
          <t>Look at 'What happens next' and for a respond card.</t>
        </is>
      </c>
      <c r="E702" s="11" t="inlineStr">
        <is>
          <t>Only 'Move to collating' is offered, with the warning 'A holder has not returned its ticket - escalate once before responding partial', greyed out. There is no '10 · Respond and close' card yet.</t>
        </is>
      </c>
      <c r="F702" s="16" t="n"/>
      <c r="G702" s="16" t="n"/>
    </row>
    <row r="703">
      <c r="A703" s="10" t="inlineStr">
        <is>
          <t>RGT-11</t>
        </is>
      </c>
      <c r="B703" s="11" t="inlineStr">
        <is>
          <t>DPO derives the holders, confirms the in-house holder with its respondent and issues the ticket</t>
        </is>
      </c>
      <c r="C703" s="11" t="n">
        <v>7</v>
      </c>
      <c r="D703" s="11" t="inlineStr">
        <is>
          <t>Ask the coordinator to check the outbox for mail to rco@cmp.local.</t>
        </is>
      </c>
      <c r="E703" s="11" t="inlineStr">
        <is>
          <t>A notice to Meera Iyer that a ticket for RR-E is waiting for her is in the outbox.</t>
        </is>
      </c>
      <c r="F703" s="16" t="n"/>
      <c r="G703" s="16" t="n"/>
    </row>
    <row r="704">
      <c r="A704" s="10" t="inlineStr">
        <is>
          <t>RGT-12</t>
        </is>
      </c>
      <c r="B704" s="11" t="inlineStr">
        <is>
          <t>DPO derives the erasure scope and records a decision with its basis (retention floor respected)</t>
        </is>
      </c>
      <c r="C704" s="11" t="n">
        <v>1</v>
      </c>
      <c r="D704" s="11" t="inlineStr">
        <is>
          <t>Open RR-E and find '5–6 · Scope determined; inside the one-year floor?'.</t>
        </is>
      </c>
      <c r="E704" s="11" t="inlineStr">
        <is>
          <t>A blue note reads 'Consent artefacts are never erased. They are the evidence that past processing was lawful...' and the card says 'No scope yet. Derive it from the records the requester appears in.' with a button 'Derive from asset_consent'.</t>
        </is>
      </c>
      <c r="F704" s="16" t="n"/>
      <c r="G704" s="16" t="n"/>
    </row>
    <row r="705">
      <c r="A705" s="10" t="inlineStr">
        <is>
          <t>RGT-12</t>
        </is>
      </c>
      <c r="B705" s="11" t="inlineStr">
        <is>
          <t>DPO derives the erasure scope and records a decision with its basis (retention floor respected)</t>
        </is>
      </c>
      <c r="C705" s="11" t="n">
        <v>2</v>
      </c>
      <c r="D705" s="11" t="inlineStr">
        <is>
          <t>Click 'Derive from asset_consent'.</t>
        </is>
      </c>
      <c r="E705" s="11" t="inlineStr">
        <is>
          <t>'Scope derived' with '2 appearances of the requester in collected assets.' appears. Two rows show: asset A with its type badge and 'only the requester', and asset B with a warning badge 'holds 1 other person'. Each row names the project, source (SRC-SRIB-SE), 'held by SRIB' and the collection date.</t>
        </is>
      </c>
      <c r="F705" s="16" t="n"/>
      <c r="G705" s="16" t="n"/>
    </row>
    <row r="706">
      <c r="A706" s="10" t="inlineStr">
        <is>
          <t>RGT-12</t>
        </is>
      </c>
      <c r="B706" s="11" t="inlineStr">
        <is>
          <t>DPO derives the erasure scope and records a decision with its basis (retention floor respected)</t>
        </is>
      </c>
      <c r="C706" s="11" t="n">
        <v>3</v>
      </c>
      <c r="D706" s="11" t="inlineStr">
        <is>
          <t>On asset A look at 'Decision', 'Basis' and 'Record the decision'.</t>
        </is>
      </c>
      <c r="E706" s="11" t="inlineStr">
        <is>
          <t>'Decision' shows 'Erase - the asset holds only the requester'. 'Basis' is empty and 'Record the decision' is greyed out.</t>
        </is>
      </c>
      <c r="F706" s="16" t="n"/>
      <c r="G706" s="16" t="n"/>
    </row>
    <row r="707">
      <c r="A707" s="10" t="inlineStr">
        <is>
          <t>RGT-12</t>
        </is>
      </c>
      <c r="B707" s="11" t="inlineStr">
        <is>
          <t>DPO derives the erasure scope and records a decision with its basis (retention floor respected)</t>
        </is>
      </c>
      <c r="C707" s="11" t="n">
        <v>4</v>
      </c>
      <c r="D707" s="11" t="inlineStr">
        <is>
          <t>Change 'Decision' to 'Retain - a floor binds, erased when it passes'. Set 'Until' to yesterday, type the retain basis and click 'Record the decision'.</t>
        </is>
      </c>
      <c r="E707" s="11" t="inlineStr">
        <is>
          <t>An 'Until' field appeared when Retain was chosen. The message 'Not recorded' with 'A retention floor in the past is not a floor' appears.</t>
        </is>
      </c>
      <c r="F707" s="16" t="n"/>
      <c r="G707" s="16" t="n"/>
    </row>
    <row r="708">
      <c r="A708" s="10" t="inlineStr">
        <is>
          <t>RGT-12</t>
        </is>
      </c>
      <c r="B708" s="11" t="inlineStr">
        <is>
          <t>DPO derives the erasure scope and records a decision with its basis (retention floor respected)</t>
        </is>
      </c>
      <c r="C708" s="11" t="n">
        <v>5</v>
      </c>
      <c r="D708" s="11" t="inlineStr">
        <is>
          <t>Set 'Until' to the date next year and click 'Record the decision'.</t>
        </is>
      </c>
      <c r="E708" s="11" t="inlineStr">
        <is>
          <t>'Decision recorded' appears. The row shows 'decided: retain', 'Retained until &lt;date&gt;', the basis in quotes, and an 'Apply' button.</t>
        </is>
      </c>
      <c r="F708" s="16" t="n"/>
      <c r="G708" s="16" t="n"/>
    </row>
    <row r="709">
      <c r="A709" s="10" t="inlineStr">
        <is>
          <t>RGT-12</t>
        </is>
      </c>
      <c r="B709" s="11" t="inlineStr">
        <is>
          <t>DPO derives the erasure scope and records a decision with its basis (retention floor respected)</t>
        </is>
      </c>
      <c r="C709" s="11" t="n">
        <v>6</v>
      </c>
      <c r="D709" s="11" t="inlineStr">
        <is>
          <t>Click 'Apply'.</t>
        </is>
      </c>
      <c r="E709" s="11" t="inlineStr">
        <is>
          <t>The message 'Not applied' with 'Retained until &lt;date&gt;. The floor binds even against her request; it is applied when it passes.' appears. The row still shows 'decided: retain' and nothing is quarantined.</t>
        </is>
      </c>
      <c r="F709" s="16" t="n"/>
      <c r="G709" s="16" t="n"/>
    </row>
    <row r="710">
      <c r="A710" s="10" t="inlineStr">
        <is>
          <t>RGT-12</t>
        </is>
      </c>
      <c r="B710" s="11" t="inlineStr">
        <is>
          <t>DPO derives the erasure scope and records a decision with its basis (retention floor respected)</t>
        </is>
      </c>
      <c r="C710" s="11" t="n">
        <v>7</v>
      </c>
      <c r="D710" s="11" t="inlineStr">
        <is>
          <t>Change 'Decision' to 'Erase - the asset holds only the requester', replace the basis with the erase basis and click 'Record the decision'.</t>
        </is>
      </c>
      <c r="E710" s="11" t="inlineStr">
        <is>
          <t>The 'Until' field disappears. 'Decision recorded' appears and the row shows 'decided: erase' with the new basis. Do not click 'Apply' yet (RGT-14).</t>
        </is>
      </c>
      <c r="F710" s="16" t="n"/>
      <c r="G710" s="16" t="n"/>
    </row>
    <row r="711">
      <c r="A711" s="10" t="inlineStr">
        <is>
          <t>RGT-12</t>
        </is>
      </c>
      <c r="B711" s="11" t="inlineStr">
        <is>
          <t>DPO derives the erasure scope and records a decision with its basis (retention floor respected)</t>
        </is>
      </c>
      <c r="C711" s="11" t="n">
        <v>8</v>
      </c>
      <c r="D711" s="11" t="inlineStr">
        <is>
          <t>Open 'Decision' on asset A once more without changing it.</t>
        </is>
      </c>
      <c r="E711" s="11" t="inlineStr">
        <is>
          <t>The four options are 'Erase - the asset holds only the requester', 'Redact - remove the requester, keep the others', 'Retain - a floor binds, erased when it passes' and 'Quarantine - removal cannot be assured; the DPO decides'.</t>
        </is>
      </c>
      <c r="F711" s="16" t="n"/>
      <c r="G711" s="16" t="n"/>
    </row>
    <row r="712">
      <c r="A712" s="10" t="inlineStr">
        <is>
          <t>RGT-13</t>
        </is>
      </c>
      <c r="B712" s="11" t="inlineStr">
        <is>
          <t>Erase is not offered for an asset that also holds other people; it is redacted instead</t>
        </is>
      </c>
      <c r="C712" s="11" t="n">
        <v>1</v>
      </c>
      <c r="D712" s="11" t="inlineStr">
        <is>
          <t>On the asset B row look at the badges, the 'Decision' field and the text beside 'Record the decision'.</t>
        </is>
      </c>
      <c r="E712" s="11" t="inlineStr">
        <is>
          <t>The row carries the warning badge 'holds 1 other person'. 'Decision' is preset to 'Redact - remove the requester, keep the others'. Beside the button: 'Erase is not offered: deleting this asset would erase the other people's validly given consent.'</t>
        </is>
      </c>
      <c r="F712" s="16" t="n"/>
      <c r="G712" s="16" t="n"/>
    </row>
    <row r="713">
      <c r="A713" s="10" t="inlineStr">
        <is>
          <t>RGT-13</t>
        </is>
      </c>
      <c r="B713" s="11" t="inlineStr">
        <is>
          <t>Erase is not offered for an asset that also holds other people; it is redacted instead</t>
        </is>
      </c>
      <c r="C713" s="11" t="n">
        <v>2</v>
      </c>
      <c r="D713" s="11" t="inlineStr">
        <is>
          <t>Open 'Decision' and try to choose 'Erase - the asset holds only the requester'.</t>
        </is>
      </c>
      <c r="E713" s="11" t="inlineStr">
        <is>
          <t>The Erase option is greyed out and cannot be chosen.</t>
        </is>
      </c>
      <c r="F713" s="16" t="n"/>
      <c r="G713" s="16" t="n"/>
    </row>
    <row r="714">
      <c r="A714" s="10" t="inlineStr">
        <is>
          <t>RGT-13</t>
        </is>
      </c>
      <c r="B714" s="11" t="inlineStr">
        <is>
          <t>Erase is not offered for an asset that also holds other people; it is redacted instead</t>
        </is>
      </c>
      <c r="C714" s="11" t="n">
        <v>3</v>
      </c>
      <c r="D714" s="11" t="inlineStr">
        <is>
          <t>Keep 'Redact - remove the requester, keep the others', type the redact basis and click 'Record the decision'.</t>
        </is>
      </c>
      <c r="E714" s="11" t="inlineStr">
        <is>
          <t>'Decision recorded' appears; the row shows 'decided: redact' and an 'Apply' button.</t>
        </is>
      </c>
      <c r="F714" s="16" t="n"/>
      <c r="G714" s="16" t="n"/>
    </row>
    <row r="715">
      <c r="A715" s="10" t="inlineStr">
        <is>
          <t>RGT-13</t>
        </is>
      </c>
      <c r="B715" s="11" t="inlineStr">
        <is>
          <t>Erase is not offered for an asset that also holds other people; it is redacted instead</t>
        </is>
      </c>
      <c r="C715" s="11" t="n">
        <v>4</v>
      </c>
      <c r="D715" s="11" t="inlineStr">
        <is>
          <t>Click 'Apply'.</t>
        </is>
      </c>
      <c r="E715" s="11" t="inlineStr">
        <is>
          <t>The message 'Quarantined' with 'It is out of use now; it is erased when every store holding it is confirmed.' appears. The row now shows the badge 'quarantined - being redacted'; the decision fields are gone.</t>
        </is>
      </c>
      <c r="F715" s="16" t="n"/>
      <c r="G715" s="16" t="n"/>
    </row>
    <row r="716">
      <c r="A716" s="10" t="inlineStr">
        <is>
          <t>RGT-13</t>
        </is>
      </c>
      <c r="B716" s="11" t="inlineStr">
        <is>
          <t>Erase is not offered for an asset that also holds other people; it is redacted instead</t>
        </is>
      </c>
      <c r="C716" s="11" t="n">
        <v>5</v>
      </c>
      <c r="D716" s="11" t="inlineStr">
        <is>
          <t>Read the list of stores under the row.</t>
        </is>
      </c>
      <c r="E716" s="11" t="inlineStr">
        <is>
          <t>Exactly one line: 'The holder's copy: waiting for the holder's ticket to come back'. There is NO line for 'The platform's pointer to it' - a redaction keeps the asset for the other person.</t>
        </is>
      </c>
      <c r="F716" s="16" t="n"/>
      <c r="G716" s="16" t="n"/>
    </row>
    <row r="717">
      <c r="A717" s="10" t="inlineStr">
        <is>
          <t>RGT-13</t>
        </is>
      </c>
      <c r="B717" s="11" t="inlineStr">
        <is>
          <t>Erase is not offered for an asset that also holds other people; it is redacted instead</t>
        </is>
      </c>
      <c r="C717" s="11" t="n">
        <v>6</v>
      </c>
      <c r="D717" s="11" t="inlineStr">
        <is>
          <t>Look at the buttons on the row.</t>
        </is>
      </c>
      <c r="E717" s="11" t="inlineStr">
        <is>
          <t>'Try again now' and 'Place a legal hold' are offered; 'Apply' is gone.</t>
        </is>
      </c>
      <c r="F717" s="16" t="n"/>
      <c r="G717" s="16" t="n"/>
    </row>
    <row r="718">
      <c r="A718" s="10" t="inlineStr">
        <is>
          <t>RGT-14</t>
        </is>
      </c>
      <c r="B718" s="11" t="inlineStr">
        <is>
          <t>Applying an erasure quarantines the item and shows each store's status; 'Try again now'</t>
        </is>
      </c>
      <c r="C718" s="11" t="n">
        <v>1</v>
      </c>
      <c r="D718" s="11" t="inlineStr">
        <is>
          <t>On asset A click 'Apply'.</t>
        </is>
      </c>
      <c r="E718" s="11" t="inlineStr">
        <is>
          <t>The message 'Quarantined' with 'It is out of use now; it is erased when every store holding it is confirmed.' appears.</t>
        </is>
      </c>
      <c r="F718" s="16" t="n"/>
      <c r="G718" s="16" t="n"/>
    </row>
    <row r="719">
      <c r="A719" s="10" t="inlineStr">
        <is>
          <t>RGT-14</t>
        </is>
      </c>
      <c r="B719" s="11" t="inlineStr">
        <is>
          <t>Applying an erasure quarantines the item and shows each store's status; 'Try again now'</t>
        </is>
      </c>
      <c r="C719" s="11" t="n">
        <v>2</v>
      </c>
      <c r="D719" s="11" t="inlineStr">
        <is>
          <t>Look at asset A's badges.</t>
        </is>
      </c>
      <c r="E719" s="11" t="inlineStr">
        <is>
          <t>The row shows the yellow badge 'quarantined - being erased'. It does NOT show 'erased'.</t>
        </is>
      </c>
      <c r="F719" s="16" t="n"/>
      <c r="G719" s="16" t="n"/>
    </row>
    <row r="720">
      <c r="A720" s="10" t="inlineStr">
        <is>
          <t>RGT-14</t>
        </is>
      </c>
      <c r="B720" s="11" t="inlineStr">
        <is>
          <t>Applying an erasure quarantines the item and shows each store's status; 'Try again now'</t>
        </is>
      </c>
      <c r="C720" s="11" t="n">
        <v>3</v>
      </c>
      <c r="D720" s="11" t="inlineStr">
        <is>
          <t>Read the list of stores under asset A.</t>
        </is>
      </c>
      <c r="E720" s="11" t="inlineStr">
        <is>
          <t>Two lines: 'The holder's copy: waiting for the holder's ticket to come back' and 'The platform's pointer to it: cleared' (in green).</t>
        </is>
      </c>
      <c r="F720" s="16" t="n"/>
      <c r="G720" s="16" t="n"/>
    </row>
    <row r="721">
      <c r="A721" s="10" t="inlineStr">
        <is>
          <t>RGT-14</t>
        </is>
      </c>
      <c r="B721" s="11" t="inlineStr">
        <is>
          <t>Applying an erasure quarantines the item and shows each store's status; 'Try again now'</t>
        </is>
      </c>
      <c r="C721" s="11" t="n">
        <v>4</v>
      </c>
      <c r="D721" s="11" t="inlineStr">
        <is>
          <t>Click 'Try again now'.</t>
        </is>
      </c>
      <c r="E721" s="11" t="inlineStr">
        <is>
          <t>The message 'Tried again' with 'Something is still outstanding; it is shown below.' appears. The lines and the 'quarantined - being erased' badge are unchanged.</t>
        </is>
      </c>
      <c r="F721" s="16" t="n"/>
      <c r="G721" s="16" t="n"/>
    </row>
    <row r="722">
      <c r="A722" s="10" t="inlineStr">
        <is>
          <t>RGT-14</t>
        </is>
      </c>
      <c r="B722" s="11" t="inlineStr">
        <is>
          <t>Applying an erasure quarantines the item and shows each store's status; 'Try again now'</t>
        </is>
      </c>
      <c r="C722" s="11" t="n">
        <v>5</v>
      </c>
      <c r="D722" s="11" t="inlineStr">
        <is>
          <t>Check whether the decision can still be changed.</t>
        </is>
      </c>
      <c r="E722" s="11" t="inlineStr">
        <is>
          <t>The 'Decision' and 'Basis' fields are gone for asset A; the decision stands.</t>
        </is>
      </c>
      <c r="F722" s="16" t="n"/>
      <c r="G722" s="16" t="n"/>
    </row>
    <row r="723">
      <c r="A723" s="10" t="inlineStr">
        <is>
          <t>RGT-14</t>
        </is>
      </c>
      <c r="B723" s="11" t="inlineStr">
        <is>
          <t>Applying an erasure quarantines the item and shows each store's status; 'Try again now'</t>
        </is>
      </c>
      <c r="C723" s="11" t="n">
        <v>6</v>
      </c>
      <c r="D723" s="11" t="inlineStr">
        <is>
          <t>Look at 'What happens next' and the header.</t>
        </is>
      </c>
      <c r="E723" s="11" t="inlineStr">
        <is>
          <t>The request is still 'Awaiting holders'; 'Move to collating' is still blocked by 'A holder has not returned its ticket - escalate once before responding partial'.</t>
        </is>
      </c>
      <c r="F723" s="16" t="n"/>
      <c r="G723" s="16" t="n"/>
    </row>
    <row r="724">
      <c r="A724" s="10" t="inlineStr">
        <is>
          <t>RGT-14</t>
        </is>
      </c>
      <c r="B724" s="11" t="inlineStr">
        <is>
          <t>Applying an erasure quarantines the item and shows each store's status; 'Try again now'</t>
        </is>
      </c>
      <c r="C724" s="11" t="n">
        <v>7</v>
      </c>
      <c r="D724" s="11" t="inlineStr">
        <is>
          <t>In Browser A (Anjali) reload 'My requests' and look at RR-E.</t>
        </is>
      </c>
      <c r="E724" s="11" t="inlineStr">
        <is>
          <t>RR-E shows 'Waiting for responses'. Nothing on her card says her data has been erased.</t>
        </is>
      </c>
      <c r="F724" s="16" t="n"/>
      <c r="G724" s="16" t="n"/>
    </row>
    <row r="725">
      <c r="A725" s="10" t="inlineStr">
        <is>
          <t>RGT-15</t>
        </is>
      </c>
      <c r="B725" s="11" t="inlineStr">
        <is>
          <t>In-house respondent answers the ticket on 'My tasks' (thread, attach file, return)</t>
        </is>
      </c>
      <c r="C725" s="11" t="n">
        <v>1</v>
      </c>
      <c r="D725" s="11" t="inlineStr">
        <is>
          <t>In Browser C sign in to http://localhost:3000 as rco@cmp.local with password SeedPassw0rd!2026 (enter the relayed code if 'Verify it is you' appears).</t>
        </is>
      </c>
      <c r="E725" s="11" t="inlineStr">
        <is>
          <t>Meera Iyer's dashboard opens. Under 'Your work' the sidebar shows 'My tasks' with a count; there is no 'Rights requests' link.</t>
        </is>
      </c>
      <c r="F725" s="16" t="n"/>
      <c r="G725" s="16" t="n"/>
    </row>
    <row r="726">
      <c r="A726" s="10" t="inlineStr">
        <is>
          <t>RGT-15</t>
        </is>
      </c>
      <c r="B726" s="11" t="inlineStr">
        <is>
          <t>In-house respondent answers the ticket on 'My tasks' (thread, attach file, return)</t>
        </is>
      </c>
      <c r="C726" s="11" t="n">
        <v>2</v>
      </c>
      <c r="D726" s="11" t="inlineStr">
        <is>
          <t>Type http://localhost:3000/requests in the address bar.</t>
        </is>
      </c>
      <c r="E726" s="11" t="inlineStr">
        <is>
          <t>A box 'Not part of your account' says 'This section belongs to a different role, so there is nothing here for you...' with a 'Back to your dashboard' button. No requests are shown.</t>
        </is>
      </c>
      <c r="F726" s="16" t="n"/>
      <c r="G726" s="16" t="n"/>
    </row>
    <row r="727">
      <c r="A727" s="10" t="inlineStr">
        <is>
          <t>RGT-15</t>
        </is>
      </c>
      <c r="B727" s="11" t="inlineStr">
        <is>
          <t>In-house respondent answers the ticket on 'My tasks' (thread, attach file, return)</t>
        </is>
      </c>
      <c r="C727" s="11" t="n">
        <v>3</v>
      </c>
      <c r="D727" s="11" t="inlineStr">
        <is>
          <t>Click 'My tasks'.</t>
        </is>
      </c>
      <c r="E727" s="11" t="inlineStr">
        <is>
          <t>The page 'My tasks' shows tiles 'Open', 'Overdue', 'Due within 7 days', 'Unread from the Privacy Office' and a section 'Open · 1'. The ticket card shows RR-E, 'Erasure · s.12(3)', 'Issued', 'For SRIB · about Anjali Verma · issued &lt;date&gt;', the due date and an 'Instruction'.</t>
        </is>
      </c>
      <c r="F727" s="16" t="n"/>
      <c r="G727" s="16" t="n"/>
    </row>
    <row r="728">
      <c r="A728" s="10" t="inlineStr">
        <is>
          <t>RGT-15</t>
        </is>
      </c>
      <c r="B728" s="11" t="inlineStr">
        <is>
          <t>In-house respondent answers the ticket on 'My tasks' (thread, attach file, return)</t>
        </is>
      </c>
      <c r="C728" s="11" t="n">
        <v>4</v>
      </c>
      <c r="D728" s="11" t="inlineStr">
        <is>
          <t>Click 'Respond'.</t>
        </is>
      </c>
      <c r="E728" s="11" t="inlineStr">
        <is>
          <t>A dialog 'RR-E · SRIB' opens with 'What the platform already knows', the messages so far, a 'Message' box ('Ask the Privacy Office a question, or say what you hold and where.'), 'Attach a file', the checkbox 'This is my return - close the ticket with it', and a 'Send' button greyed out while the box is empty.</t>
        </is>
      </c>
      <c r="F728" s="16" t="n"/>
      <c r="G728" s="16" t="n"/>
    </row>
    <row r="729">
      <c r="A729" s="10" t="inlineStr">
        <is>
          <t>RGT-15</t>
        </is>
      </c>
      <c r="B729" s="11" t="inlineStr">
        <is>
          <t>In-house respondent answers the ticket on 'My tasks' (thread, attach file, return)</t>
        </is>
      </c>
      <c r="C729" s="11" t="n">
        <v>5</v>
      </c>
      <c r="D729" s="11" t="inlineStr">
        <is>
          <t>Type the question, choose srib-inventory.csv under 'Attach a file' and click 'Send' (leave the checkbox unticked).</t>
        </is>
      </c>
      <c r="E729" s="11" t="inlineStr">
        <is>
          <t>The message appears in the thread with 'File: srib-inventory.csv'. The ticket stays open.</t>
        </is>
      </c>
      <c r="F729" s="16" t="n"/>
      <c r="G729" s="16" t="n"/>
    </row>
    <row r="730">
      <c r="A730" s="10" t="inlineStr">
        <is>
          <t>RGT-15</t>
        </is>
      </c>
      <c r="B730" s="11" t="inlineStr">
        <is>
          <t>In-house respondent answers the ticket on 'My tasks' (thread, attach file, return)</t>
        </is>
      </c>
      <c r="C730" s="11" t="n">
        <v>6</v>
      </c>
      <c r="D730" s="11" t="inlineStr">
        <is>
          <t>In Browser B (DPO) open 'Rights requests' and then RR-E.</t>
        </is>
      </c>
      <c r="E730" s="11" t="inlineStr">
        <is>
          <t>RR-E's row carries a '1 new' badge. On the request, the SRIB row shows '1 new' and a 'Thread' button with a count.</t>
        </is>
      </c>
      <c r="F730" s="16" t="n"/>
      <c r="G730" s="16" t="n"/>
    </row>
    <row r="731">
      <c r="A731" s="10" t="inlineStr">
        <is>
          <t>RGT-15</t>
        </is>
      </c>
      <c r="B731" s="11" t="inlineStr">
        <is>
          <t>In-house respondent answers the ticket on 'My tasks' (thread, attach file, return)</t>
        </is>
      </c>
      <c r="C731" s="11" t="n">
        <v>7</v>
      </c>
      <c r="D731" s="11" t="inlineStr">
        <is>
          <t>Click 'Thread' on the SRIB row.</t>
        </is>
      </c>
      <c r="E731" s="11" t="inlineStr">
        <is>
          <t>A dialog 'SRIB · the ticket's thread' shows Meera's question and a link to the attached file. Placeholder: 'Write to the team, or ask for more.'</t>
        </is>
      </c>
      <c r="F731" s="16" t="n"/>
      <c r="G731" s="16" t="n"/>
    </row>
    <row r="732">
      <c r="A732" s="10" t="inlineStr">
        <is>
          <t>RGT-15</t>
        </is>
      </c>
      <c r="B732" s="11" t="inlineStr">
        <is>
          <t>In-house respondent answers the ticket on 'My tasks' (thread, attach file, return)</t>
        </is>
      </c>
      <c r="C732" s="11" t="n">
        <v>8</v>
      </c>
      <c r="D732" s="11" t="inlineStr">
        <is>
          <t>Type the DPO reply and click 'Send'. Close the dialog.</t>
        </is>
      </c>
      <c r="E732" s="11" t="inlineStr">
        <is>
          <t>The reply appears in the thread.</t>
        </is>
      </c>
      <c r="F732" s="16" t="n"/>
      <c r="G732" s="16" t="n"/>
    </row>
    <row r="733">
      <c r="A733" s="10" t="inlineStr">
        <is>
          <t>RGT-15</t>
        </is>
      </c>
      <c r="B733" s="11" t="inlineStr">
        <is>
          <t>In-house respondent answers the ticket on 'My tasks' (thread, attach file, return)</t>
        </is>
      </c>
      <c r="C733" s="11" t="n">
        <v>9</v>
      </c>
      <c r="D733" s="11" t="inlineStr">
        <is>
          <t>In Browser C reload 'My tasks'.</t>
        </is>
      </c>
      <c r="E733" s="11" t="inlineStr">
        <is>
          <t>'Unread from the Privacy Office' shows 1 and the card shows '1 new'. Clicking 'Respond' shows the DPO's reply.</t>
        </is>
      </c>
      <c r="F733" s="16" t="n"/>
      <c r="G733" s="16" t="n"/>
    </row>
    <row r="734">
      <c r="A734" s="10" t="inlineStr">
        <is>
          <t>RGT-15</t>
        </is>
      </c>
      <c r="B734" s="11" t="inlineStr">
        <is>
          <t>In-house respondent answers the ticket on 'My tasks' (thread, attach file, return)</t>
        </is>
      </c>
      <c r="C734" s="11" t="n">
        <v>10</v>
      </c>
      <c r="D734" s="11" t="inlineStr">
        <is>
          <t>Type the return text, attach srib-deletion-log.pdf and tick 'This is my return - close the ticket with it'.</t>
        </is>
      </c>
      <c r="E734" s="11" t="inlineStr">
        <is>
          <t>The button changes from 'Send' to 'Return the ticket'.</t>
        </is>
      </c>
      <c r="F734" s="16" t="n"/>
      <c r="G734" s="16" t="n"/>
    </row>
    <row r="735">
      <c r="A735" s="10" t="inlineStr">
        <is>
          <t>RGT-15</t>
        </is>
      </c>
      <c r="B735" s="11" t="inlineStr">
        <is>
          <t>In-house respondent answers the ticket on 'My tasks' (thread, attach file, return)</t>
        </is>
      </c>
      <c r="C735" s="11" t="n">
        <v>11</v>
      </c>
      <c r="D735" s="11" t="inlineStr">
        <is>
          <t>Click 'Return the ticket'.</t>
        </is>
      </c>
      <c r="E735" s="11" t="inlineStr">
        <is>
          <t>The message 'Ticket returned' with 'The Privacy Office can see it.' appears, the dialog closes and the card moves to 'Returned · 1' with 'Returned &lt;date&gt;: &lt;text&gt;' and the badge 'Returned'. Its button now reads 'Open'.</t>
        </is>
      </c>
      <c r="F735" s="16" t="n"/>
      <c r="G735" s="16" t="n"/>
    </row>
    <row r="736">
      <c r="A736" s="10" t="inlineStr">
        <is>
          <t>RGT-15</t>
        </is>
      </c>
      <c r="B736" s="11" t="inlineStr">
        <is>
          <t>In-house respondent answers the ticket on 'My tasks' (thread, attach file, return)</t>
        </is>
      </c>
      <c r="C736" s="11" t="n">
        <v>12</v>
      </c>
      <c r="D736" s="11" t="inlineStr">
        <is>
          <t>In Browser B reload RR-E.</t>
        </is>
      </c>
      <c r="E736" s="11" t="inlineStr">
        <is>
          <t>SRIB shows 'Returned', 'Returned: &lt;text&gt;' and an 'evidence' link; the summary reads '1 ticket issued · 1 returned'; the header badge reads 'Collating'.</t>
        </is>
      </c>
      <c r="F736" s="16" t="n"/>
      <c r="G736" s="16" t="n"/>
    </row>
    <row r="737">
      <c r="A737" s="10" t="inlineStr">
        <is>
          <t>RGT-15</t>
        </is>
      </c>
      <c r="B737" s="11" t="inlineStr">
        <is>
          <t>In-house respondent answers the ticket on 'My tasks' (thread, attach file, return)</t>
        </is>
      </c>
      <c r="C737" s="11" t="n">
        <v>13</v>
      </c>
      <c r="D737" s="11" t="inlineStr">
        <is>
          <t>Look at the scope card.</t>
        </is>
      </c>
      <c r="E737" s="11" t="inlineStr">
        <is>
          <t>Asset A shows the badge 'erased' with 'The holder's copy: confirmed gone by the holder' and 'The platform's pointer to it: cleared'; asset B shows 'redacted' with 'The holder's copy: confirmed gone by the holder'. No 'Try again now' buttons remain.</t>
        </is>
      </c>
      <c r="F737" s="16" t="n"/>
      <c r="G737" s="16" t="n"/>
    </row>
    <row r="738">
      <c r="A738" s="10" t="inlineStr">
        <is>
          <t>RGT-16</t>
        </is>
      </c>
      <c r="B738" s="11" t="inlineStr">
        <is>
          <t>A fully carried-out erasure closes Complete and the principal downloads a record of what was done</t>
        </is>
      </c>
      <c r="C738" s="11" t="n">
        <v>1</v>
      </c>
      <c r="D738" s="11" t="inlineStr">
        <is>
          <t>Open RR-E and find '10 · Respond and close'.</t>
        </is>
      </c>
      <c r="E738" s="11" t="inlineStr">
        <is>
          <t>No yellow warning is shown. 'Outcome' shows 'Complete', which can be chosen.</t>
        </is>
      </c>
      <c r="F738" s="16" t="n"/>
      <c r="G738" s="16" t="n"/>
    </row>
    <row r="739">
      <c r="A739" s="10" t="inlineStr">
        <is>
          <t>RGT-16</t>
        </is>
      </c>
      <c r="B739" s="11" t="inlineStr">
        <is>
          <t>A fully carried-out erasure closes Complete and the principal downloads a record of what was done</t>
        </is>
      </c>
      <c r="C739" s="11" t="n">
        <v>2</v>
      </c>
      <c r="D739" s="11" t="inlineStr">
        <is>
          <t>Read the hint under 'The response'.</t>
        </is>
      </c>
      <c r="E739" s="11" t="inlineStr">
        <is>
          <t>It reads 'What was decided for each item, what has been carried out, and why. Say only what was done: the record lists each item as it stands.'</t>
        </is>
      </c>
      <c r="F739" s="16" t="n"/>
      <c r="G739" s="16" t="n"/>
    </row>
    <row r="740">
      <c r="A740" s="10" t="inlineStr">
        <is>
          <t>RGT-16</t>
        </is>
      </c>
      <c r="B740" s="11" t="inlineStr">
        <is>
          <t>A fully carried-out erasure closes Complete and the principal downloads a record of what was done</t>
        </is>
      </c>
      <c r="C740" s="11" t="n">
        <v>3</v>
      </c>
      <c r="D740" s="11" t="inlineStr">
        <is>
          <t>Type the response and click 'Release and close'.</t>
        </is>
      </c>
      <c r="E740" s="11" t="inlineStr">
        <is>
          <t>'Released and closed' with 'The requester has been told the response is ready.' appears. The header badge reads 'Complete' and a 'Response' card shows 'Complete · &lt;date&gt; ...'.</t>
        </is>
      </c>
      <c r="F740" s="16" t="n"/>
      <c r="G740" s="16" t="n"/>
    </row>
    <row r="741">
      <c r="A741" s="10" t="inlineStr">
        <is>
          <t>RGT-16</t>
        </is>
      </c>
      <c r="B741" s="11" t="inlineStr">
        <is>
          <t>A fully carried-out erasure closes Complete and the principal downloads a record of what was done</t>
        </is>
      </c>
      <c r="C741" s="11" t="n">
        <v>4</v>
      </c>
      <c r="D741" s="11" t="inlineStr">
        <is>
          <t>Look at the scope card.</t>
        </is>
      </c>
      <c r="E741" s="11" t="inlineStr">
        <is>
          <t>Asset A still shows 'erased' and asset B 'redacted'. No 'Apply', 'Try again now', 'Place a legal hold' or 'Derive from asset_consent' buttons are offered.</t>
        </is>
      </c>
      <c r="F741" s="16" t="n"/>
      <c r="G741" s="16" t="n"/>
    </row>
    <row r="742">
      <c r="A742" s="10" t="inlineStr">
        <is>
          <t>RGT-16</t>
        </is>
      </c>
      <c r="B742" s="11" t="inlineStr">
        <is>
          <t>A fully carried-out erasure closes Complete and the principal downloads a record of what was done</t>
        </is>
      </c>
      <c r="C742" s="11" t="n">
        <v>5</v>
      </c>
      <c r="D742" s="11" t="inlineStr">
        <is>
          <t>Ask the coordinator to show the response mail to subject@cmp.local.</t>
        </is>
      </c>
      <c r="E742" s="11" t="inlineStr">
        <is>
          <t>It has a section 'WHAT WAS DONE WITH EACH ITEM' with '- &lt;asset A&gt;: Erased.' and '- &lt;asset B&gt;: Redacted: your part removed; the material holds other people and was kept.', followed by 'Kept, because they are the record of what happened and are never rewritten: your consent records, the audit trail, the files of data sent to processors before your request, and earlier responses given to you.' There is no 'NOT YET DONE' section.</t>
        </is>
      </c>
      <c r="F742" s="16" t="n"/>
      <c r="G742" s="16" t="n"/>
    </row>
    <row r="743">
      <c r="A743" s="10" t="inlineStr">
        <is>
          <t>RGT-16</t>
        </is>
      </c>
      <c r="B743" s="11" t="inlineStr">
        <is>
          <t>A fully carried-out erasure closes Complete and the principal downloads a record of what was done</t>
        </is>
      </c>
      <c r="C743" s="11" t="n">
        <v>6</v>
      </c>
      <c r="D743" s="11" t="inlineStr">
        <is>
          <t>In Browser A reload 'My requests' and look at RR-E.</t>
        </is>
      </c>
      <c r="E743" s="11" t="inlineStr">
        <is>
          <t>RR-E shows 'Complete', 'Our response' with the text, 'Download the file' and 'Dispute this response'.</t>
        </is>
      </c>
      <c r="F743" s="16" t="n"/>
      <c r="G743" s="16" t="n"/>
    </row>
    <row r="744">
      <c r="A744" s="10" t="inlineStr">
        <is>
          <t>RGT-16</t>
        </is>
      </c>
      <c r="B744" s="11" t="inlineStr">
        <is>
          <t>A fully carried-out erasure closes Complete and the principal downloads a record of what was done</t>
        </is>
      </c>
      <c r="C744" s="11" t="n">
        <v>7</v>
      </c>
      <c r="D744" s="11" t="inlineStr">
        <is>
          <t>Click 'Download the file' and open the saved .json file.</t>
        </is>
      </c>
      <c r="E744" s="11" t="inlineStr">
        <is>
          <t>'Downloaded' appears. In the file, 'execution' has 'items' with two entries (asset A: decision 'erase', done true, outcome 'Erased.'; asset B: decision 'redact', done true, outcome 'Redacted: ...'), 'not_done' is empty, 'kept_as_evidence' holds the 'Kept, because...' sentence and 'holders_confirmed' lists SRIB.</t>
        </is>
      </c>
      <c r="F744" s="16" t="n"/>
      <c r="G744" s="16" t="n"/>
    </row>
    <row r="745">
      <c r="A745" s="10" t="inlineStr">
        <is>
          <t>RGT-16</t>
        </is>
      </c>
      <c r="B745" s="11" t="inlineStr">
        <is>
          <t>A fully carried-out erasure closes Complete and the principal downloads a record of what was done</t>
        </is>
      </c>
      <c r="C745" s="11" t="n">
        <v>8</v>
      </c>
      <c r="D745" s="11" t="inlineStr">
        <is>
          <t>In the same file look at 'consents'.</t>
        </is>
      </c>
      <c r="E745" s="11" t="inlineStr">
        <is>
          <t>Her consent records are still listed - consent artefacts are evidence and are not erased.</t>
        </is>
      </c>
      <c r="F745" s="16" t="n"/>
      <c r="G745" s="16" t="n"/>
    </row>
    <row r="746">
      <c r="A746" s="10" t="inlineStr">
        <is>
          <t>RGT-17</t>
        </is>
      </c>
      <c r="B746" s="11" t="inlineStr">
        <is>
          <t>A legal hold stops an erasure; releasing it lets the erasure finish</t>
        </is>
      </c>
      <c r="C746" s="11" t="n">
        <v>1</v>
      </c>
      <c r="D746" s="11" t="inlineStr">
        <is>
          <t>In Browser A make an erasure request ('Erasure (s.12(3))') with the test text. Note RR-H.</t>
        </is>
      </c>
      <c r="E746" s="11" t="inlineStr">
        <is>
          <t>'Recorded as RR-...' appears.</t>
        </is>
      </c>
      <c r="F746" s="16" t="n"/>
      <c r="G746" s="16" t="n"/>
    </row>
    <row r="747">
      <c r="A747" s="10" t="inlineStr">
        <is>
          <t>RGT-17</t>
        </is>
      </c>
      <c r="B747" s="11" t="inlineStr">
        <is>
          <t>A legal hold stops an erasure; releasing it lets the erasure finish</t>
        </is>
      </c>
      <c r="C747" s="11" t="n">
        <v>2</v>
      </c>
      <c r="D747" s="11" t="inlineStr">
        <is>
          <t>In Browser B open RR-H: click 'Confirm classification', then 'They mean erasure', then 'In progress' in 'What happens next'.</t>
        </is>
      </c>
      <c r="E747" s="11" t="inlineStr">
        <is>
          <t>'Classified', 'Erasure confirmed' and 'Moved to In progress' appear in turn.</t>
        </is>
      </c>
      <c r="F747" s="16" t="n"/>
      <c r="G747" s="16" t="n"/>
    </row>
    <row r="748">
      <c r="A748" s="10" t="inlineStr">
        <is>
          <t>RGT-17</t>
        </is>
      </c>
      <c r="B748" s="11" t="inlineStr">
        <is>
          <t>A legal hold stops an erasure; releasing it lets the erasure finish</t>
        </is>
      </c>
      <c r="C748" s="11" t="n">
        <v>3</v>
      </c>
      <c r="D748" s="11" t="inlineStr">
        <is>
          <t>In the holders card click 'Derive from the records', choose 'Meera Iyer · rco@cmp.local · portal' in 'Respondent', click 'Confirm', then 'Issue tickets' and 'Issue the ticket'.</t>
        </is>
      </c>
      <c r="E748" s="11" t="inlineStr">
        <is>
          <t>SRIB shows 'confirmed', 'on the portal' and 'Issued'. The request is 'Awaiting holders'.</t>
        </is>
      </c>
      <c r="F748" s="16" t="n"/>
      <c r="G748" s="16" t="n"/>
    </row>
    <row r="749">
      <c r="A749" s="10" t="inlineStr">
        <is>
          <t>RGT-17</t>
        </is>
      </c>
      <c r="B749" s="11" t="inlineStr">
        <is>
          <t>A legal hold stops an erasure; releasing it lets the erasure finish</t>
        </is>
      </c>
      <c r="C749" s="11" t="n">
        <v>4</v>
      </c>
      <c r="D749" s="11" t="inlineStr">
        <is>
          <t>In the scope card click 'Derive from asset_consent'. On asset H keep 'Erase - the asset holds only the requester', type the erase basis and click 'Record the decision'.</t>
        </is>
      </c>
      <c r="E749" s="11" t="inlineStr">
        <is>
          <t>'Scope derived' shows 1 appearance; asset H shows 'only the requester' and 'decided: erase'.</t>
        </is>
      </c>
      <c r="F749" s="16" t="n"/>
      <c r="G749" s="16" t="n"/>
    </row>
    <row r="750">
      <c r="A750" s="10" t="inlineStr">
        <is>
          <t>RGT-17</t>
        </is>
      </c>
      <c r="B750" s="11" t="inlineStr">
        <is>
          <t>A legal hold stops an erasure; releasing it lets the erasure finish</t>
        </is>
      </c>
      <c r="C750" s="11" t="n">
        <v>5</v>
      </c>
      <c r="D750" s="11" t="inlineStr">
        <is>
          <t>On asset H click 'Place a legal hold'.</t>
        </is>
      </c>
      <c r="E750" s="11" t="inlineStr">
        <is>
          <t>A field 'Why this asset must not be erased' appears with the hint 'Sealed, and shown only to the Privacy Office.' and buttons 'Place the hold' (greyed out until at least 3 characters are typed) and 'Cancel'.</t>
        </is>
      </c>
      <c r="F750" s="16" t="n"/>
      <c r="G750" s="16" t="n"/>
    </row>
    <row r="751">
      <c r="A751" s="10" t="inlineStr">
        <is>
          <t>RGT-17</t>
        </is>
      </c>
      <c r="B751" s="11" t="inlineStr">
        <is>
          <t>A legal hold stops an erasure; releasing it lets the erasure finish</t>
        </is>
      </c>
      <c r="C751" s="11" t="n">
        <v>6</v>
      </c>
      <c r="D751" s="11" t="inlineStr">
        <is>
          <t>Type the hold reason and click 'Place the hold'.</t>
        </is>
      </c>
      <c r="E751" s="11" t="inlineStr">
        <is>
          <t>The message 'Legal hold placed' with 'Nothing covered by it is erased until it is released.' appears.</t>
        </is>
      </c>
      <c r="F751" s="16" t="n"/>
      <c r="G751" s="16" t="n"/>
    </row>
    <row r="752">
      <c r="A752" s="10" t="inlineStr">
        <is>
          <t>RGT-17</t>
        </is>
      </c>
      <c r="B752" s="11" t="inlineStr">
        <is>
          <t>A legal hold stops an erasure; releasing it lets the erasure finish</t>
        </is>
      </c>
      <c r="C752" s="11" t="n">
        <v>7</v>
      </c>
      <c r="D752" s="11" t="inlineStr">
        <is>
          <t>Click 'Apply' on asset H.</t>
        </is>
      </c>
      <c r="E752" s="11" t="inlineStr">
        <is>
          <t>'Quarantined' appears. The row shows a red badge 'legal hold' with a lock and the line 'Legal hold: stopped until the hold is released'. There is no 'Try again now' and no 'erased' badge; a 'Release hold' button is offered.</t>
        </is>
      </c>
      <c r="F752" s="16" t="n"/>
      <c r="G752" s="16" t="n"/>
    </row>
    <row r="753">
      <c r="A753" s="10" t="inlineStr">
        <is>
          <t>RGT-17</t>
        </is>
      </c>
      <c r="B753" s="11" t="inlineStr">
        <is>
          <t>A legal hold stops an erasure; releasing it lets the erasure finish</t>
        </is>
      </c>
      <c r="C753" s="11" t="n">
        <v>8</v>
      </c>
      <c r="D753" s="11" t="inlineStr">
        <is>
          <t>In Browser C (Meera) open 'My tasks', click 'Respond' on RR-H, type the return text, tick 'This is my return - close the ticket with it' and click 'Return the ticket'.</t>
        </is>
      </c>
      <c r="E753" s="11" t="inlineStr">
        <is>
          <t>'Ticket returned' appears and the ticket moves to 'Returned'.</t>
        </is>
      </c>
      <c r="F753" s="16" t="n"/>
      <c r="G753" s="16" t="n"/>
    </row>
    <row r="754">
      <c r="A754" s="10" t="inlineStr">
        <is>
          <t>RGT-17</t>
        </is>
      </c>
      <c r="B754" s="11" t="inlineStr">
        <is>
          <t>A legal hold stops an erasure; releasing it lets the erasure finish</t>
        </is>
      </c>
      <c r="C754" s="11" t="n">
        <v>9</v>
      </c>
      <c r="D754" s="11" t="inlineStr">
        <is>
          <t>In Browser B reload RR-H.</t>
        </is>
      </c>
      <c r="E754" s="11" t="inlineStr">
        <is>
          <t>SRIB shows 'Returned' and the request is 'Collating', but asset H is still NOT erased: it still shows 'legal hold' and 'Legal hold: stopped until the hold is released'. The hold wins over the returned ticket.</t>
        </is>
      </c>
      <c r="F754" s="16" t="n"/>
      <c r="G754" s="16" t="n"/>
    </row>
    <row r="755">
      <c r="A755" s="10" t="inlineStr">
        <is>
          <t>RGT-17</t>
        </is>
      </c>
      <c r="B755" s="11" t="inlineStr">
        <is>
          <t>A legal hold stops an erasure; releasing it lets the erasure finish</t>
        </is>
      </c>
      <c r="C755" s="11" t="n">
        <v>10</v>
      </c>
      <c r="D755" s="11" t="inlineStr">
        <is>
          <t>Look at '10 · Respond and close'.</t>
        </is>
      </c>
      <c r="E755" s="11" t="inlineStr">
        <is>
          <t>A yellow warning reads 'Not carried out yet: &lt;asset H&gt;. The response can go out on time, but it is partial and says what remains.' and 'Complete' is greyed out in 'Outcome'.</t>
        </is>
      </c>
      <c r="F755" s="16" t="n"/>
      <c r="G755" s="16" t="n"/>
    </row>
    <row r="756">
      <c r="A756" s="10" t="inlineStr">
        <is>
          <t>RGT-17</t>
        </is>
      </c>
      <c r="B756" s="11" t="inlineStr">
        <is>
          <t>A legal hold stops an erasure; releasing it lets the erasure finish</t>
        </is>
      </c>
      <c r="C756" s="11" t="n">
        <v>11</v>
      </c>
      <c r="D756" s="11" t="inlineStr">
        <is>
          <t>On asset H click 'Release hold'.</t>
        </is>
      </c>
      <c r="E756" s="11" t="inlineStr">
        <is>
          <t>The message 'Hold released' with 'What it was stopping carries on.' appears.</t>
        </is>
      </c>
      <c r="F756" s="16" t="n"/>
      <c r="G756" s="16" t="n"/>
    </row>
    <row r="757">
      <c r="A757" s="10" t="inlineStr">
        <is>
          <t>RGT-17</t>
        </is>
      </c>
      <c r="B757" s="11" t="inlineStr">
        <is>
          <t>A legal hold stops an erasure; releasing it lets the erasure finish</t>
        </is>
      </c>
      <c r="C757" s="11" t="n">
        <v>12</v>
      </c>
      <c r="D757" s="11" t="inlineStr">
        <is>
          <t>Look at asset H again.</t>
        </is>
      </c>
      <c r="E757" s="11" t="inlineStr">
        <is>
          <t>Asset H shows the badge 'erased' with 'The holder's copy: confirmed gone by the holder' and 'The platform's pointer to it: cleared'. The 'legal hold' badge, the 'Legal hold: stopped...' line and the 'Release hold' button are gone.</t>
        </is>
      </c>
      <c r="F757" s="16" t="n"/>
      <c r="G757" s="16" t="n"/>
    </row>
    <row r="758">
      <c r="A758" s="10" t="inlineStr">
        <is>
          <t>RGT-17</t>
        </is>
      </c>
      <c r="B758" s="11" t="inlineStr">
        <is>
          <t>A legal hold stops an erasure; releasing it lets the erasure finish</t>
        </is>
      </c>
      <c r="C758" s="11" t="n">
        <v>13</v>
      </c>
      <c r="D758" s="11" t="inlineStr">
        <is>
          <t>Look at '10 · Respond and close', then choose 'Complete', type a response and click 'Release and close'.</t>
        </is>
      </c>
      <c r="E758" s="11" t="inlineStr">
        <is>
          <t>The warning has gone and 'Complete' can be chosen. 'Released and closed' appears and the request shows 'Complete'.</t>
        </is>
      </c>
      <c r="F758" s="16" t="n"/>
      <c r="G758" s="16" t="n"/>
    </row>
    <row r="759">
      <c r="A759" s="10" t="inlineStr">
        <is>
          <t>RGT-18</t>
        </is>
      </c>
      <c r="B759" s="11" t="inlineStr">
        <is>
          <t>Complete is held back while an erasure item is not carried out; the response goes out Partial naming what remains</t>
        </is>
      </c>
      <c r="C759" s="11" t="n">
        <v>1</v>
      </c>
      <c r="D759" s="11" t="inlineStr">
        <is>
          <t>In Browser A make an erasure request with the test text. Note RR-P.</t>
        </is>
      </c>
      <c r="E759" s="11" t="inlineStr">
        <is>
          <t>'Recorded as RR-...' appears.</t>
        </is>
      </c>
      <c r="F759" s="16" t="n"/>
      <c r="G759" s="16" t="n"/>
    </row>
    <row r="760">
      <c r="A760" s="10" t="inlineStr">
        <is>
          <t>RGT-18</t>
        </is>
      </c>
      <c r="B760" s="11" t="inlineStr">
        <is>
          <t>Complete is held back while an erasure item is not carried out; the response goes out Partial naming what remains</t>
        </is>
      </c>
      <c r="C760" s="11" t="n">
        <v>2</v>
      </c>
      <c r="D760" s="11" t="inlineStr">
        <is>
          <t>In Browser B open RR-P, click 'Confirm classification', 'They mean erasure' and then 'In progress'. Do NOT derive or add holders.</t>
        </is>
      </c>
      <c r="E760" s="11" t="inlineStr">
        <is>
          <t>The request is 'In progress'; the holders card reads 'No holders yet...'.</t>
        </is>
      </c>
      <c r="F760" s="16" t="n"/>
      <c r="G760" s="16" t="n"/>
    </row>
    <row r="761">
      <c r="A761" s="10" t="inlineStr">
        <is>
          <t>RGT-18</t>
        </is>
      </c>
      <c r="B761" s="11" t="inlineStr">
        <is>
          <t>Complete is held back while an erasure item is not carried out; the response goes out Partial naming what remains</t>
        </is>
      </c>
      <c r="C761" s="11" t="n">
        <v>3</v>
      </c>
      <c r="D761" s="11" t="inlineStr">
        <is>
          <t>In the scope card click 'Derive from asset_consent'.</t>
        </is>
      </c>
      <c r="E761" s="11" t="inlineStr">
        <is>
          <t>One row, asset P, 'only the requester', undecided.</t>
        </is>
      </c>
      <c r="F761" s="16" t="n"/>
      <c r="G761" s="16" t="n"/>
    </row>
    <row r="762">
      <c r="A762" s="10" t="inlineStr">
        <is>
          <t>RGT-18</t>
        </is>
      </c>
      <c r="B762" s="11" t="inlineStr">
        <is>
          <t>Complete is held back while an erasure item is not carried out; the response goes out Partial naming what remains</t>
        </is>
      </c>
      <c r="C762" s="11" t="n">
        <v>4</v>
      </c>
      <c r="D762" s="11" t="inlineStr">
        <is>
          <t>In 'What happens next' look at both rows, then click 'Collating'.</t>
        </is>
      </c>
      <c r="E762" s="11" t="inlineStr">
        <is>
          <t>'Move to awaiting holders' is blocked by 'No tickets have been issued yet'; 'Move to collating' is allowed. After the click 'Moved to Collating' appears.</t>
        </is>
      </c>
      <c r="F762" s="16" t="n"/>
      <c r="G762" s="16" t="n"/>
    </row>
    <row r="763">
      <c r="A763" s="10" t="inlineStr">
        <is>
          <t>RGT-18</t>
        </is>
      </c>
      <c r="B763" s="11" t="inlineStr">
        <is>
          <t>Complete is held back while an erasure item is not carried out; the response goes out Partial naming what remains</t>
        </is>
      </c>
      <c r="C763" s="11" t="n">
        <v>5</v>
      </c>
      <c r="D763" s="11" t="inlineStr">
        <is>
          <t>Look at '10 · Respond and close'. Type any text in 'The response'.</t>
        </is>
      </c>
      <c r="E763" s="11" t="inlineStr">
        <is>
          <t>A warning reads 'Every item in the erasure scope needs a decision and the basis for it'. 'Release and close' stays greyed out.</t>
        </is>
      </c>
      <c r="F763" s="16" t="n"/>
      <c r="G763" s="16" t="n"/>
    </row>
    <row r="764">
      <c r="A764" s="10" t="inlineStr">
        <is>
          <t>RGT-18</t>
        </is>
      </c>
      <c r="B764" s="11" t="inlineStr">
        <is>
          <t>Complete is held back while an erasure item is not carried out; the response goes out Partial naming what remains</t>
        </is>
      </c>
      <c r="C764" s="11" t="n">
        <v>6</v>
      </c>
      <c r="D764" s="11" t="inlineStr">
        <is>
          <t>On asset P type the erase basis, click 'Record the decision', then 'Apply'.</t>
        </is>
      </c>
      <c r="E764" s="11" t="inlineStr">
        <is>
          <t>'Quarantined' appears. Asset P shows 'quarantined - being erased' with 'The holder's copy: no holder has been asked for this asset's copy - confirm the source's holder and issue its ticket' and 'The platform's pointer to it: cleared'.</t>
        </is>
      </c>
      <c r="F764" s="16" t="n"/>
      <c r="G764" s="16" t="n"/>
    </row>
    <row r="765">
      <c r="A765" s="10" t="inlineStr">
        <is>
          <t>RGT-18</t>
        </is>
      </c>
      <c r="B765" s="11" t="inlineStr">
        <is>
          <t>Complete is held back while an erasure item is not carried out; the response goes out Partial naming what remains</t>
        </is>
      </c>
      <c r="C765" s="11" t="n">
        <v>7</v>
      </c>
      <c r="D765" s="11" t="inlineStr">
        <is>
          <t>Look at '10 · Respond and close' again.</t>
        </is>
      </c>
      <c r="E765" s="11" t="inlineStr">
        <is>
          <t>The warning now reads 'Not carried out yet: &lt;asset P&gt;. The response can go out on time, but it is partial and says what remains.' 'Outcome' shows 'Partial - a gap is named'.</t>
        </is>
      </c>
      <c r="F765" s="16" t="n"/>
      <c r="G765" s="16" t="n"/>
    </row>
    <row r="766">
      <c r="A766" s="10" t="inlineStr">
        <is>
          <t>RGT-18</t>
        </is>
      </c>
      <c r="B766" s="11" t="inlineStr">
        <is>
          <t>Complete is held back while an erasure item is not carried out; the response goes out Partial naming what remains</t>
        </is>
      </c>
      <c r="C766" s="11" t="n">
        <v>8</v>
      </c>
      <c r="D766" s="11" t="inlineStr">
        <is>
          <t>Open 'Outcome'.</t>
        </is>
      </c>
      <c r="E766" s="11" t="inlineStr">
        <is>
          <t>'Complete' is greyed out and cannot be chosen; 'Partial - a gap is named' and 'No records held anywhere' can.</t>
        </is>
      </c>
      <c r="F766" s="16" t="n"/>
      <c r="G766" s="16" t="n"/>
    </row>
    <row r="767">
      <c r="A767" s="10" t="inlineStr">
        <is>
          <t>RGT-18</t>
        </is>
      </c>
      <c r="B767" s="11" t="inlineStr">
        <is>
          <t>Complete is held back while an erasure item is not carried out; the response goes out Partial naming what remains</t>
        </is>
      </c>
      <c r="C767" s="11" t="n">
        <v>9</v>
      </c>
      <c r="D767" s="11" t="inlineStr">
        <is>
          <t>Keep 'Partial - a gap is named', type the response and click 'Release and close'.</t>
        </is>
      </c>
      <c r="E767" s="11" t="inlineStr">
        <is>
          <t>'Released and closed' appears; the header badge reads 'Partial'; the 'Response' card shows 'Partial · &lt;date&gt;'.</t>
        </is>
      </c>
      <c r="F767" s="16" t="n"/>
      <c r="G767" s="16" t="n"/>
    </row>
    <row r="768">
      <c r="A768" s="10" t="inlineStr">
        <is>
          <t>RGT-18</t>
        </is>
      </c>
      <c r="B768" s="11" t="inlineStr">
        <is>
          <t>Complete is held back while an erasure item is not carried out; the response goes out Partial naming what remains</t>
        </is>
      </c>
      <c r="C768" s="11" t="n">
        <v>10</v>
      </c>
      <c r="D768" s="11" t="inlineStr">
        <is>
          <t>Ask the coordinator to show the response mail to subject@cmp.local.</t>
        </is>
      </c>
      <c r="E768" s="11" t="inlineStr">
        <is>
          <t>'WHAT WAS DONE WITH EACH ITEM' shows '- &lt;asset P&gt;: Decided for erasure and kept out of use; not yet carried out.' and a line 'NOT YET DONE: &lt;asset P&gt;. This response is partial; what remains is named rather than claimed.' The word 'Erased.' does not appear for asset P.</t>
        </is>
      </c>
      <c r="F768" s="16" t="n"/>
      <c r="G768" s="16" t="n"/>
    </row>
    <row r="769">
      <c r="A769" s="10" t="inlineStr">
        <is>
          <t>RGT-18</t>
        </is>
      </c>
      <c r="B769" s="11" t="inlineStr">
        <is>
          <t>Complete is held back while an erasure item is not carried out; the response goes out Partial naming what remains</t>
        </is>
      </c>
      <c r="C769" s="11" t="n">
        <v>11</v>
      </c>
      <c r="D769" s="11" t="inlineStr">
        <is>
          <t>In Browser A reload 'My requests', check RR-P, click 'Download the file' and open it.</t>
        </is>
      </c>
      <c r="E769" s="11" t="inlineStr">
        <is>
          <t>RR-P shows 'Partial' with the response. In the file, 'execution' lists asset P with done false and the 'Decided for erasure...' outcome, 'not_done' names asset P, and 'kept_as_evidence' is present.</t>
        </is>
      </c>
      <c r="F769" s="16" t="n"/>
      <c r="G769" s="16" t="n"/>
    </row>
    <row r="770">
      <c r="A770" s="10" t="inlineStr">
        <is>
          <t>RGT-19</t>
        </is>
      </c>
      <c r="B770" s="11" t="inlineStr">
        <is>
          <t>A correction nobody carried out cannot close as Complete</t>
        </is>
      </c>
      <c r="C770" s="11" t="n">
        <v>1</v>
      </c>
      <c r="D770" s="11" t="inlineStr">
        <is>
          <t>In Browser B open RR-C.</t>
        </is>
      </c>
      <c r="E770" s="11" t="inlineStr">
        <is>
          <t>The line under the heading reads 'Correction · s.12 · Portal'; the classification card is titled '4 · A valid correction request?'; there is no scope card.</t>
        </is>
      </c>
      <c r="F770" s="16" t="n"/>
      <c r="G770" s="16" t="n"/>
    </row>
    <row r="771">
      <c r="A771" s="10" t="inlineStr">
        <is>
          <t>RGT-19</t>
        </is>
      </c>
      <c r="B771" s="11" t="inlineStr">
        <is>
          <t>A correction nobody carried out cannot close as Complete</t>
        </is>
      </c>
      <c r="C771" s="11" t="n">
        <v>2</v>
      </c>
      <c r="D771" s="11" t="inlineStr">
        <is>
          <t>Click 'Confirm classification' (with 'Correction (s.12)'), then 'In progress'.</t>
        </is>
      </c>
      <c r="E771" s="11" t="inlineStr">
        <is>
          <t>'Classified' and 'Moved to In progress' appear.</t>
        </is>
      </c>
      <c r="F771" s="16" t="n"/>
      <c r="G771" s="16" t="n"/>
    </row>
    <row r="772">
      <c r="A772" s="10" t="inlineStr">
        <is>
          <t>RGT-19</t>
        </is>
      </c>
      <c r="B772" s="11" t="inlineStr">
        <is>
          <t>A correction nobody carried out cannot close as Complete</t>
        </is>
      </c>
      <c r="C772" s="11" t="n">
        <v>3</v>
      </c>
      <c r="D772" s="11" t="inlineStr">
        <is>
          <t>Without adding any holder, click 'Collating' in 'What happens next'.</t>
        </is>
      </c>
      <c r="E772" s="11" t="inlineStr">
        <is>
          <t>'Moved to Collating' appears and the card '9–10 · Collate, review, release' is shown.</t>
        </is>
      </c>
      <c r="F772" s="16" t="n"/>
      <c r="G772" s="16" t="n"/>
    </row>
    <row r="773">
      <c r="A773" s="10" t="inlineStr">
        <is>
          <t>RGT-19</t>
        </is>
      </c>
      <c r="B773" s="11" t="inlineStr">
        <is>
          <t>A correction nobody carried out cannot close as Complete</t>
        </is>
      </c>
      <c r="C773" s="11" t="n">
        <v>4</v>
      </c>
      <c r="D773" s="11" t="inlineStr">
        <is>
          <t>Read the warning on '9–10 · Collate, review, release' and open 'Outcome'.</t>
        </is>
      </c>
      <c r="E773" s="11" t="inlineStr">
        <is>
          <t>The warning reads 'Nothing in this request has been corrected: no item in scope has been carried out and no holder has returned its ticket. Answer it as partial, or as no records if nothing is held.' 'Complete' is greyed out; 'Partial - a gap is named' is selected.</t>
        </is>
      </c>
      <c r="F773" s="16" t="n"/>
      <c r="G773" s="16" t="n"/>
    </row>
    <row r="774">
      <c r="A774" s="10" t="inlineStr">
        <is>
          <t>RGT-19</t>
        </is>
      </c>
      <c r="B774" s="11" t="inlineStr">
        <is>
          <t>A correction nobody carried out cannot close as Complete</t>
        </is>
      </c>
      <c r="C774" s="11" t="n">
        <v>5</v>
      </c>
      <c r="D774" s="11" t="inlineStr">
        <is>
          <t>Read the hint under 'The response', type the response and click 'Release and close'.</t>
        </is>
      </c>
      <c r="E774" s="11" t="inlineStr">
        <is>
          <t>The hint reads 'What the requester is being given, and what could not be provided.' 'Released and closed' appears and the badge reads 'Partial'.</t>
        </is>
      </c>
      <c r="F774" s="16" t="n"/>
      <c r="G774" s="16" t="n"/>
    </row>
    <row r="775">
      <c r="A775" s="10" t="inlineStr">
        <is>
          <t>RGT-19</t>
        </is>
      </c>
      <c r="B775" s="11" t="inlineStr">
        <is>
          <t>A correction nobody carried out cannot close as Complete</t>
        </is>
      </c>
      <c r="C775" s="11" t="n">
        <v>6</v>
      </c>
      <c r="D775" s="11" t="inlineStr">
        <is>
          <t>In Browser A reload 'My requests' and look at RR-C.</t>
        </is>
      </c>
      <c r="E775" s="11" t="inlineStr">
        <is>
          <t>RR-C shows 'Partial' with the response and a 'Dispute this response' button.</t>
        </is>
      </c>
      <c r="F775" s="16" t="n"/>
      <c r="G775" s="16" t="n"/>
    </row>
    <row r="776">
      <c r="A776" s="10" t="inlineStr">
        <is>
          <t>RGT-20</t>
        </is>
      </c>
      <c r="B776" s="11" t="inlineStr">
        <is>
          <t>Principal disputes a response; the grievance is linked and the DPO decides it</t>
        </is>
      </c>
      <c r="C776" s="11" t="n">
        <v>1</v>
      </c>
      <c r="D776" s="11" t="inlineStr">
        <is>
          <t>In Browser A on 'My requests' click 'Dispute this response' on RR-A.</t>
        </is>
      </c>
      <c r="E776" s="11" t="inlineStr">
        <is>
          <t>A dialog 'Dispute RR-A' opens: 'A grievance under section 13. Say what was wrong with the handling - late, incomplete, sent the wrong way, or the outcome itself.' with 'What was wrong', the checkbox 'This is about the Data Protection Officer's own decisions.', 'Cancel' and 'Raise the grievance'.</t>
        </is>
      </c>
      <c r="F776" s="16" t="n"/>
      <c r="G776" s="16" t="n"/>
    </row>
    <row r="777">
      <c r="A777" s="10" t="inlineStr">
        <is>
          <t>RGT-20</t>
        </is>
      </c>
      <c r="B777" s="11" t="inlineStr">
        <is>
          <t>Principal disputes a response; the grievance is linked and the DPO decides it</t>
        </is>
      </c>
      <c r="C777" s="11" t="n">
        <v>2</v>
      </c>
      <c r="D777" s="11" t="inlineStr">
        <is>
          <t>Type 'short' in 'What was wrong' and click 'Raise the grievance'.</t>
        </is>
      </c>
      <c r="E777" s="11" t="inlineStr">
        <is>
          <t>The error 'Say what you are asking for, in a sentence or two.' appears; nothing is recorded.</t>
        </is>
      </c>
      <c r="F777" s="16" t="n"/>
      <c r="G777" s="16" t="n"/>
    </row>
    <row r="778">
      <c r="A778" s="10" t="inlineStr">
        <is>
          <t>RGT-20</t>
        </is>
      </c>
      <c r="B778" s="11" t="inlineStr">
        <is>
          <t>Principal disputes a response; the grievance is linked and the DPO decides it</t>
        </is>
      </c>
      <c r="C778" s="11" t="n">
        <v>3</v>
      </c>
      <c r="D778" s="11" t="inlineStr">
        <is>
          <t>Type the full text, leave the checkbox unticked and click 'Raise the grievance'.</t>
        </is>
      </c>
      <c r="E778" s="11" t="inlineStr">
        <is>
          <t>'Grievance recorded as RR-...' with 'It is linked to the original request.' appears. Note RR-G.</t>
        </is>
      </c>
      <c r="F778" s="16" t="n"/>
      <c r="G778" s="16" t="n"/>
    </row>
    <row r="779">
      <c r="A779" s="10" t="inlineStr">
        <is>
          <t>RGT-20</t>
        </is>
      </c>
      <c r="B779" s="11" t="inlineStr">
        <is>
          <t>Principal disputes a response; the grievance is linked and the DPO decides it</t>
        </is>
      </c>
      <c r="C779" s="11" t="n">
        <v>4</v>
      </c>
      <c r="D779" s="11" t="inlineStr">
        <is>
          <t>Look at the RR-G and RR-A cards.</t>
        </is>
      </c>
      <c r="E779" s="11" t="inlineStr">
        <is>
          <t>RR-G shows 'Complaint (grievance) · s.13', 'Received' and a box 'What you disputed' naming RR-A with 'Complete: &lt;start of the answer&gt;' and 'See RR-A in full'. RR-A shows 'You disputed this in RR-G' with 'See it'.</t>
        </is>
      </c>
      <c r="F779" s="16" t="n"/>
      <c r="G779" s="16" t="n"/>
    </row>
    <row r="780">
      <c r="A780" s="10" t="inlineStr">
        <is>
          <t>RGT-20</t>
        </is>
      </c>
      <c r="B780" s="11" t="inlineStr">
        <is>
          <t>Principal disputes a response; the grievance is linked and the DPO decides it</t>
        </is>
      </c>
      <c r="C780" s="11" t="n">
        <v>5</v>
      </c>
      <c r="D780" s="11" t="inlineStr">
        <is>
          <t>Click 'See RR-A in full'.</t>
        </is>
      </c>
      <c r="E780" s="11" t="inlineStr">
        <is>
          <t>The page scrolls to RR-A and briefly highlights it.</t>
        </is>
      </c>
      <c r="F780" s="16" t="n"/>
      <c r="G780" s="16" t="n"/>
    </row>
    <row r="781">
      <c r="A781" s="10" t="inlineStr">
        <is>
          <t>RGT-20</t>
        </is>
      </c>
      <c r="B781" s="11" t="inlineStr">
        <is>
          <t>Principal disputes a response; the grievance is linked and the DPO decides it</t>
        </is>
      </c>
      <c r="C781" s="11" t="n">
        <v>6</v>
      </c>
      <c r="D781" s="11" t="inlineStr">
        <is>
          <t>In Browser B open RR-G from 'Rights requests'.</t>
        </is>
      </c>
      <c r="E781" s="11" t="inlineStr">
        <is>
          <t>The line under the heading reads 'Complaint (grievance) · s.13 · Portal'. 'About' shows RR-A with 'the request under dispute, shown below', and a card 'The request under dispute' shows RR-A's dates, what was asked and its answer.</t>
        </is>
      </c>
      <c r="F781" s="16" t="n"/>
      <c r="G781" s="16" t="n"/>
    </row>
    <row r="782">
      <c r="A782" s="10" t="inlineStr">
        <is>
          <t>RGT-20</t>
        </is>
      </c>
      <c r="B782" s="11" t="inlineStr">
        <is>
          <t>Principal disputes a response; the grievance is linked and the DPO decides it</t>
        </is>
      </c>
      <c r="C782" s="11" t="n">
        <v>7</v>
      </c>
      <c r="D782" s="11" t="inlineStr">
        <is>
          <t>Look at '4 · Linked, and about whom?'.</t>
        </is>
      </c>
      <c r="E782" s="11" t="inlineStr">
        <is>
          <t>It contains 'Is the complaint about the DPO?' with the text '...Recuse if this concerns your handling.' and a button 'This is about me - escalate' (do not click it).</t>
        </is>
      </c>
      <c r="F782" s="16" t="n"/>
      <c r="G782" s="16" t="n"/>
    </row>
    <row r="783">
      <c r="A783" s="10" t="inlineStr">
        <is>
          <t>RGT-20</t>
        </is>
      </c>
      <c r="B783" s="11" t="inlineStr">
        <is>
          <t>Principal disputes a response; the grievance is linked and the DPO decides it</t>
        </is>
      </c>
      <c r="C783" s="11" t="n">
        <v>8</v>
      </c>
      <c r="D783" s="11" t="inlineStr">
        <is>
          <t>Click 'Confirm classification' (Complaint (grievance) (s.13)) and then 'In progress'.</t>
        </is>
      </c>
      <c r="E783" s="11" t="inlineStr">
        <is>
          <t>The request is 'In progress' and a card '6 · Is it upheld?' appears with 'Decision' ('Upheld'), 'What was found, and why', 'Remedy' and a ticked checkbox 'Re-run RR-A as a new request linked to this decision.' 'Decide and close' is greyed out.</t>
        </is>
      </c>
      <c r="F783" s="16" t="n"/>
      <c r="G783" s="16" t="n"/>
    </row>
    <row r="784">
      <c r="A784" s="10" t="inlineStr">
        <is>
          <t>RGT-20</t>
        </is>
      </c>
      <c r="B784" s="11" t="inlineStr">
        <is>
          <t>Principal disputes a response; the grievance is linked and the DPO decides it</t>
        </is>
      </c>
      <c r="C784" s="11" t="n">
        <v>9</v>
      </c>
      <c r="D784" s="11" t="inlineStr">
        <is>
          <t>Change 'Decision' to 'Not upheld', type the finding and click 'Decide and close'.</t>
        </is>
      </c>
      <c r="E784" s="11" t="inlineStr">
        <is>
          <t>'Remedy' and the re-run checkbox disappear. After the click, 'Not upheld' appears and the header badge reads 'Not upheld'.</t>
        </is>
      </c>
      <c r="F784" s="16" t="n"/>
      <c r="G784" s="16" t="n"/>
    </row>
    <row r="785">
      <c r="A785" s="10" t="inlineStr">
        <is>
          <t>RGT-20</t>
        </is>
      </c>
      <c r="B785" s="11" t="inlineStr">
        <is>
          <t>Principal disputes a response; the grievance is linked and the DPO decides it</t>
        </is>
      </c>
      <c r="C785" s="11" t="n">
        <v>10</v>
      </c>
      <c r="D785" s="11" t="inlineStr">
        <is>
          <t>In Browser A reload 'My requests' and look at RR-G.</t>
        </is>
      </c>
      <c r="E785" s="11" t="inlineStr">
        <is>
          <t>RR-G shows 'Not upheld', 'Our response' with the finding and the Data Protection Board note. There is no 'Dispute this response' button on a grievance.</t>
        </is>
      </c>
      <c r="F785" s="16" t="n"/>
      <c r="G785" s="16" t="n"/>
    </row>
    <row r="786">
      <c r="A786" s="10" t="inlineStr">
        <is>
          <t>RGT-21</t>
        </is>
      </c>
      <c r="B786" s="11" t="inlineStr">
        <is>
          <t>A grievance about the DPO goes to the administrator, who reviews and decides it</t>
        </is>
      </c>
      <c r="C786" s="11" t="n">
        <v>1</v>
      </c>
      <c r="D786" s="11" t="inlineStr">
        <is>
          <t>In Browser A click 'Make a request', choose 'Complaint (grievance) (s.13)', type the text, tick 'This complaint is about the Data Protection Officer's own decisions.' and click 'Send the request'.</t>
        </is>
      </c>
      <c r="E786" s="11" t="inlineStr">
        <is>
          <t>There is no 'About' field for a grievance. 'Recorded as RR-...' appears. Note RR-D.</t>
        </is>
      </c>
      <c r="F786" s="16" t="n"/>
      <c r="G786" s="16" t="n"/>
    </row>
    <row r="787">
      <c r="A787" s="10" t="inlineStr">
        <is>
          <t>RGT-21</t>
        </is>
      </c>
      <c r="B787" s="11" t="inlineStr">
        <is>
          <t>A grievance about the DPO goes to the administrator, who reviews and decides it</t>
        </is>
      </c>
      <c r="C787" s="11" t="n">
        <v>2</v>
      </c>
      <c r="D787" s="11" t="inlineStr">
        <is>
          <t>In Browser B (DPO) open 'Rights requests'.</t>
        </is>
      </c>
      <c r="E787" s="11" t="inlineStr">
        <is>
          <t>RR-D is listed with the small label 'about the DPO' under the reference.</t>
        </is>
      </c>
      <c r="F787" s="16" t="n"/>
      <c r="G787" s="16" t="n"/>
    </row>
    <row r="788">
      <c r="A788" s="10" t="inlineStr">
        <is>
          <t>RGT-21</t>
        </is>
      </c>
      <c r="B788" s="11" t="inlineStr">
        <is>
          <t>A grievance about the DPO goes to the administrator, who reviews and decides it</t>
        </is>
      </c>
      <c r="C788" s="11" t="n">
        <v>3</v>
      </c>
      <c r="D788" s="11" t="inlineStr">
        <is>
          <t>Open RR-D and read 'Reviewer' and '4 · Linked, and about whom?'.</t>
        </is>
      </c>
      <c r="E788" s="11" t="inlineStr">
        <is>
          <t>'Reviewer' reads 'Not yet assigned - an administrator names one'. The card says 'Yes - escalated to an independent reviewer... No reviewer assigned yet.' There is no 'This is about me - escalate' button.</t>
        </is>
      </c>
      <c r="F788" s="16" t="n"/>
      <c r="G788" s="16" t="n"/>
    </row>
    <row r="789">
      <c r="A789" s="10" t="inlineStr">
        <is>
          <t>RGT-21</t>
        </is>
      </c>
      <c r="B789" s="11" t="inlineStr">
        <is>
          <t>A grievance about the DPO goes to the administrator, who reviews and decides it</t>
        </is>
      </c>
      <c r="C789" s="11" t="n">
        <v>4</v>
      </c>
      <c r="D789" s="11" t="inlineStr">
        <is>
          <t>Click 'Confirm classification', then look at 'What happens next'.</t>
        </is>
      </c>
      <c r="E789" s="11" t="inlineStr">
        <is>
          <t>'Classified' appears. 'Move to in progress' is blocked by 'The complaint concerns the DPO - a reviewer independent of the DPO must be assigned'.</t>
        </is>
      </c>
      <c r="F789" s="16" t="n"/>
      <c r="G789" s="16" t="n"/>
    </row>
    <row r="790">
      <c r="A790" s="10" t="inlineStr">
        <is>
          <t>RGT-21</t>
        </is>
      </c>
      <c r="B790" s="11" t="inlineStr">
        <is>
          <t>A grievance about the DPO goes to the administrator, who reviews and decides it</t>
        </is>
      </c>
      <c r="C790" s="11" t="n">
        <v>5</v>
      </c>
      <c r="D790" s="11" t="inlineStr">
        <is>
          <t>In Browser C open http://localhost:3000. Type admin@cmp.local in 'Email or username' and SeedPassw0rd!2026 in 'Password' and click 'Sign in'. If the 'Verify it is you' page appears, ask the coordinator for the code, type it in '6-digit code' and click 'Verify and continue'.</t>
        </is>
      </c>
      <c r="E790" s="11" t="inlineStr">
        <is>
          <t>The Dashboard opens, signed in as System Admin. The sidebar shows 'Grievances about the DPO' instead of 'Rights requests'.</t>
        </is>
      </c>
      <c r="F790" s="16" t="n"/>
      <c r="G790" s="16" t="n"/>
    </row>
    <row r="791">
      <c r="A791" s="10" t="inlineStr">
        <is>
          <t>RGT-21</t>
        </is>
      </c>
      <c r="B791" s="11" t="inlineStr">
        <is>
          <t>A grievance about the DPO goes to the administrator, who reviews and decides it</t>
        </is>
      </c>
      <c r="C791" s="11" t="n">
        <v>6</v>
      </c>
      <c r="D791" s="11" t="inlineStr">
        <is>
          <t>Click 'Grievances about the DPO'.</t>
        </is>
      </c>
      <c r="E791" s="11" t="inlineStr">
        <is>
          <t>The page 'Grievances about the DPO' reads 'Grievances about the DPO, escalated to you as the independent reviewer. Accountability cannot review itself.' There is no 'Log a request received by email' button. RR-D is listed; RR-A, RR-E and RR-G are not.</t>
        </is>
      </c>
      <c r="F791" s="16" t="n"/>
      <c r="G791" s="16" t="n"/>
    </row>
    <row r="792">
      <c r="A792" s="10" t="inlineStr">
        <is>
          <t>RGT-21</t>
        </is>
      </c>
      <c r="B792" s="11" t="inlineStr">
        <is>
          <t>A grievance about the DPO goes to the administrator, who reviews and decides it</t>
        </is>
      </c>
      <c r="C792" s="11" t="n">
        <v>7</v>
      </c>
      <c r="D792" s="11" t="inlineStr">
        <is>
          <t>Paste the URL of RR-A into Browser C.</t>
        </is>
      </c>
      <c r="E792" s="11" t="inlineStr">
        <is>
          <t>The page shows 'Could not load this request' - the administrator cannot open requests that are not escalated to them.</t>
        </is>
      </c>
      <c r="F792" s="16" t="n"/>
      <c r="G792" s="16" t="n"/>
    </row>
    <row r="793">
      <c r="A793" s="10" t="inlineStr">
        <is>
          <t>RGT-21</t>
        </is>
      </c>
      <c r="B793" s="11" t="inlineStr">
        <is>
          <t>A grievance about the DPO goes to the administrator, who reviews and decides it</t>
        </is>
      </c>
      <c r="C793" s="11" t="n">
        <v>8</v>
      </c>
      <c r="D793" s="11" t="inlineStr">
        <is>
          <t>Open RR-D. In the classification card choose 'System Admin · admin@cmp.local' in 'Reviewer' and click 'Assign'.</t>
        </is>
      </c>
      <c r="E793" s="11" t="inlineStr">
        <is>
          <t>'Reviewer assigned' appears; the card reads '... Reviewer: System Admin.' and the 'Reviewer' detail shows System Admin.</t>
        </is>
      </c>
      <c r="F793" s="16" t="n"/>
      <c r="G793" s="16" t="n"/>
    </row>
    <row r="794">
      <c r="A794" s="10" t="inlineStr">
        <is>
          <t>RGT-21</t>
        </is>
      </c>
      <c r="B794" s="11" t="inlineStr">
        <is>
          <t>A grievance about the DPO goes to the administrator, who reviews and decides it</t>
        </is>
      </c>
      <c r="C794" s="11" t="n">
        <v>9</v>
      </c>
      <c r="D794" s="11" t="inlineStr">
        <is>
          <t>In 'What happens next' click 'In progress'.</t>
        </is>
      </c>
      <c r="E794" s="11" t="inlineStr">
        <is>
          <t>'Moved to In progress' appears; a card '6 · Is it upheld?' appears.</t>
        </is>
      </c>
      <c r="F794" s="16" t="n"/>
      <c r="G794" s="16" t="n"/>
    </row>
    <row r="795">
      <c r="A795" s="10" t="inlineStr">
        <is>
          <t>RGT-21</t>
        </is>
      </c>
      <c r="B795" s="11" t="inlineStr">
        <is>
          <t>A grievance about the DPO goes to the administrator, who reviews and decides it</t>
        </is>
      </c>
      <c r="C795" s="11" t="n">
        <v>10</v>
      </c>
      <c r="D795" s="11" t="inlineStr">
        <is>
          <t>In Browser B (DPO) reload RR-D, choose 'Not upheld', type a finding and click 'Decide and close'.</t>
        </is>
      </c>
      <c r="E795" s="11" t="inlineStr">
        <is>
          <t>The message 'Not decided' with 'A complaint about the DPO is decided by the independent reviewer' appears. RR-D stays 'In progress'.</t>
        </is>
      </c>
      <c r="F795" s="16" t="n"/>
      <c r="G795" s="16" t="n"/>
    </row>
    <row r="796">
      <c r="A796" s="10" t="inlineStr">
        <is>
          <t>RGT-21</t>
        </is>
      </c>
      <c r="B796" s="11" t="inlineStr">
        <is>
          <t>A grievance about the DPO goes to the administrator, who reviews and decides it</t>
        </is>
      </c>
      <c r="C796" s="11" t="n">
        <v>11</v>
      </c>
      <c r="D796" s="11" t="inlineStr">
        <is>
          <t>In Browser C keep 'Upheld', type a finding in 'What was found, and why' and the remedy in 'Remedy', and click 'Decide and close'.</t>
        </is>
      </c>
      <c r="E796" s="11" t="inlineStr">
        <is>
          <t>'Upheld' appears and the header badge reads 'Upheld'.</t>
        </is>
      </c>
      <c r="F796" s="16" t="n"/>
      <c r="G796" s="16" t="n"/>
    </row>
    <row r="797">
      <c r="A797" s="10" t="inlineStr">
        <is>
          <t>RGT-21</t>
        </is>
      </c>
      <c r="B797" s="11" t="inlineStr">
        <is>
          <t>A grievance about the DPO goes to the administrator, who reviews and decides it</t>
        </is>
      </c>
      <c r="C797" s="11" t="n">
        <v>12</v>
      </c>
      <c r="D797" s="11" t="inlineStr">
        <is>
          <t>In Browser A reload 'My requests' and look at RR-D.</t>
        </is>
      </c>
      <c r="E797" s="11" t="inlineStr">
        <is>
          <t>RR-D shows 'Upheld', 'Our response' with the finding and a line 'Remedy: &lt;remedy&gt;'.</t>
        </is>
      </c>
      <c r="F797" s="16" t="n"/>
      <c r="G797" s="16" t="n"/>
    </row>
    <row r="798">
      <c r="A798" s="10" t="inlineStr">
        <is>
          <t>RGT-22</t>
        </is>
      </c>
      <c r="B798" s="11" t="inlineStr">
        <is>
          <t>Principal names a nominee, who accepts with a code</t>
        </is>
      </c>
      <c r="C798" s="11" t="n">
        <v>1</v>
      </c>
      <c r="D798" s="11" t="inlineStr">
        <is>
          <t>In Browser A click 'My nominations' in the sidebar and find the card 'Somebody to act for you'.</t>
        </is>
      </c>
      <c r="E798" s="11" t="inlineStr">
        <is>
          <t>The card explains 'Section 14. A person you name, while you are well, to exercise these rights if you die or cannot act. Nothing is in effect until they accept...' and shows 'Their name', 'Their mobile', 'Their email', 'Which of your rights they may exercise' (four boxes, all ticked) and 'Nominate'.</t>
        </is>
      </c>
      <c r="F798" s="16" t="n"/>
      <c r="G798" s="16" t="n"/>
    </row>
    <row r="799">
      <c r="A799" s="10" t="inlineStr">
        <is>
          <t>RGT-22</t>
        </is>
      </c>
      <c r="B799" s="11" t="inlineStr">
        <is>
          <t>Principal names a nominee, who accepts with a code</t>
        </is>
      </c>
      <c r="C799" s="11" t="n">
        <v>2</v>
      </c>
      <c r="D799" s="11" t="inlineStr">
        <is>
          <t>Fill in the test data, untick 'Correction (s.12)' and 'Complaint (grievance) (s.13)', and click 'Nominate'.</t>
        </is>
      </c>
      <c r="E799" s="11" t="inlineStr">
        <is>
          <t>'Nomination recorded' with 'We have asked Rahul Verma to accept. It is not usable until they do.' appears.</t>
        </is>
      </c>
      <c r="F799" s="16" t="n"/>
      <c r="G799" s="16" t="n"/>
    </row>
    <row r="800">
      <c r="A800" s="10" t="inlineStr">
        <is>
          <t>RGT-22</t>
        </is>
      </c>
      <c r="B800" s="11" t="inlineStr">
        <is>
          <t>Principal names a nominee, who accepts with a code</t>
        </is>
      </c>
      <c r="C800" s="11" t="n">
        <v>3</v>
      </c>
      <c r="D800" s="11" t="inlineStr">
        <is>
          <t>Look at the card.</t>
        </is>
      </c>
      <c r="E800" s="11" t="inlineStr">
        <is>
          <t>It shows Rahul Verma with his mobile and email, the badge 'Waiting for the nominee to accept', 'May ask for: access, erasure.', a warning 'Not yet usable. We have sent Rahul Verma a link to accept - it expires on &lt;date&gt;. A nomination they have not accepted cannot be acted on.' and 'Revoke this nomination'.</t>
        </is>
      </c>
      <c r="F800" s="16" t="n"/>
      <c r="G800" s="16" t="n"/>
    </row>
    <row r="801">
      <c r="A801" s="10" t="inlineStr">
        <is>
          <t>RGT-22</t>
        </is>
      </c>
      <c r="B801" s="11" t="inlineStr">
        <is>
          <t>Principal names a nominee, who accepts with a code</t>
        </is>
      </c>
      <c r="C801" s="11" t="n">
        <v>4</v>
      </c>
      <c r="D801" s="11" t="inlineStr">
        <is>
          <t>Ask the coordinator for the acceptance link sent to Rahul Verma and open it in Browser D (not signed in).</t>
        </is>
      </c>
      <c r="E801" s="11" t="inlineStr">
        <is>
          <t>The page 'A nomination for you' opens with a card 'Anjali Verma has nominated you' listing only 'Access (s.11)' and 'Erasure (s.12(3))', a note that nothing happens now, 'This link expires on &lt;date&gt;.', a section 'First, prove it is you' with radio buttons 'Mobile' and 'Email' (masked), 'Send me a code', and greyed-out 'Accept the nomination' and 'Decline'.</t>
        </is>
      </c>
      <c r="F801" s="16" t="n"/>
      <c r="G801" s="16" t="n"/>
    </row>
    <row r="802">
      <c r="A802" s="10" t="inlineStr">
        <is>
          <t>RGT-22</t>
        </is>
      </c>
      <c r="B802" s="11" t="inlineStr">
        <is>
          <t>Principal names a nominee, who accepts with a code</t>
        </is>
      </c>
      <c r="C802" s="11" t="n">
        <v>5</v>
      </c>
      <c r="D802" s="11" t="inlineStr">
        <is>
          <t>Choose 'Mobile' and click 'Send me a code'.</t>
        </is>
      </c>
      <c r="E802" s="11" t="inlineStr">
        <is>
          <t>A line confirms a code was sent and a 'Six-digit code' box appears.</t>
        </is>
      </c>
      <c r="F802" s="16" t="n"/>
      <c r="G802" s="16" t="n"/>
    </row>
    <row r="803">
      <c r="A803" s="10" t="inlineStr">
        <is>
          <t>RGT-22</t>
        </is>
      </c>
      <c r="B803" s="11" t="inlineStr">
        <is>
          <t>Principal names a nominee, who accepts with a code</t>
        </is>
      </c>
      <c r="C803" s="11" t="n">
        <v>6</v>
      </c>
      <c r="D803" s="11" t="inlineStr">
        <is>
          <t>Type 000000 and click 'Accept the nomination'.</t>
        </is>
      </c>
      <c r="E803" s="11" t="inlineStr">
        <is>
          <t>An error appears under the code box; the page stays on the nomination and nothing is accepted.</t>
        </is>
      </c>
      <c r="F803" s="16" t="n"/>
      <c r="G803" s="16" t="n"/>
    </row>
    <row r="804">
      <c r="A804" s="10" t="inlineStr">
        <is>
          <t>RGT-22</t>
        </is>
      </c>
      <c r="B804" s="11" t="inlineStr">
        <is>
          <t>Principal names a nominee, who accepts with a code</t>
        </is>
      </c>
      <c r="C804" s="11" t="n">
        <v>7</v>
      </c>
      <c r="D804" s="11" t="inlineStr">
        <is>
          <t>Ask the coordinator for the code sent to +91 90000 00077, type it and click 'Accept the nomination'.</t>
        </is>
      </c>
      <c r="E804" s="11" t="inlineStr">
        <is>
          <t>A box 'Accepted' reads 'You are now Anjali Verma's nominee. Nothing happens until the event she named - death or incapacity... Your nomination reference is &lt;reference&gt;...'. A card 'Keep your nomination reference' shows the reference, 'Copy', a 'Sign in' link and 'Act on their behalf'.</t>
        </is>
      </c>
      <c r="F804" s="16" t="n"/>
      <c r="G804" s="16" t="n"/>
    </row>
    <row r="805">
      <c r="A805" s="10" t="inlineStr">
        <is>
          <t>RGT-22</t>
        </is>
      </c>
      <c r="B805" s="11" t="inlineStr">
        <is>
          <t>Principal names a nominee, who accepts with a code</t>
        </is>
      </c>
      <c r="C805" s="11" t="n">
        <v>8</v>
      </c>
      <c r="D805" s="11" t="inlineStr">
        <is>
          <t>Click 'Copy'.</t>
        </is>
      </c>
      <c r="E805" s="11" t="inlineStr">
        <is>
          <t>The button briefly reads 'Copied'. Keep the reference for RGT-23.</t>
        </is>
      </c>
      <c r="F805" s="16" t="n"/>
      <c r="G805" s="16" t="n"/>
    </row>
    <row r="806">
      <c r="A806" s="10" t="inlineStr">
        <is>
          <t>RGT-22</t>
        </is>
      </c>
      <c r="B806" s="11" t="inlineStr">
        <is>
          <t>Principal names a nominee, who accepts with a code</t>
        </is>
      </c>
      <c r="C806" s="11" t="n">
        <v>9</v>
      </c>
      <c r="D806" s="11" t="inlineStr">
        <is>
          <t>In Browser A reload 'My nominations'.</t>
        </is>
      </c>
      <c r="E806" s="11" t="inlineStr">
        <is>
          <t>The card shows the badge 'In place' and 'In place. If the time comes, Rahul Verma will identify themselves with the contact you recorded, evidence the event, and the request will run as normal.' with 'Their nomination reference: &lt;same reference&gt;'.</t>
        </is>
      </c>
      <c r="F806" s="16" t="n"/>
      <c r="G806" s="16" t="n"/>
    </row>
    <row r="807">
      <c r="A807" s="10" t="inlineStr">
        <is>
          <t>RGT-22</t>
        </is>
      </c>
      <c r="B807" s="11" t="inlineStr">
        <is>
          <t>Principal names a nominee, who accepts with a code</t>
        </is>
      </c>
      <c r="C807" s="11" t="n">
        <v>10</v>
      </c>
      <c r="D807" s="11" t="inlineStr">
        <is>
          <t>In Browser D open the acceptance link again.</t>
        </is>
      </c>
      <c r="E807" s="11" t="inlineStr">
        <is>
          <t>The page shows 'This link is not valid' - 'It may have expired, been used already, or been revoked. Nothing has been recorded.'</t>
        </is>
      </c>
      <c r="F807" s="16" t="n"/>
      <c r="G807" s="16" t="n"/>
    </row>
    <row r="808">
      <c r="A808" s="10" t="inlineStr">
        <is>
          <t>RGT-23</t>
        </is>
      </c>
      <c r="B808" s="11" t="inlineStr">
        <is>
          <t>Nominee acts on the principal's incapacity; the DPO evidences the event before the request runs</t>
        </is>
      </c>
      <c r="C808" s="11" t="n">
        <v>1</v>
      </c>
      <c r="D808" s="11" t="inlineStr">
        <is>
          <t>In Browser D click 'Act on their behalf' (or open http://localhost:3001/rights/nominee?nomination=&lt;reference&gt;).</t>
        </is>
      </c>
      <c r="E808" s="11" t="inlineStr">
        <is>
          <t>The page 'Acting for someone who nominated you' opens with '1. Who you are'; 'The nomination reference' is already filled in.</t>
        </is>
      </c>
      <c r="F808" s="16" t="n"/>
      <c r="G808" s="16" t="n"/>
    </row>
    <row r="809">
      <c r="A809" s="10" t="inlineStr">
        <is>
          <t>RGT-23</t>
        </is>
      </c>
      <c r="B809" s="11" t="inlineStr">
        <is>
          <t>Nominee acts on the principal's incapacity; the DPO evidences the event before the request runs</t>
        </is>
      </c>
      <c r="C809" s="11" t="n">
        <v>2</v>
      </c>
      <c r="D809" s="11" t="inlineStr">
        <is>
          <t>Type +91 90000 00077 in 'Your email or mobile' and click 'Send me a code'.</t>
        </is>
      </c>
      <c r="E809" s="11" t="inlineStr">
        <is>
          <t>A blue note reads 'If that nomination is in place and the contact matches the one recorded, a verification code has been sent to it.' The fields lock and a card '2. The request' appears.</t>
        </is>
      </c>
      <c r="F809" s="16" t="n"/>
      <c r="G809" s="16" t="n"/>
    </row>
    <row r="810">
      <c r="A810" s="10" t="inlineStr">
        <is>
          <t>RGT-23</t>
        </is>
      </c>
      <c r="B810" s="11" t="inlineStr">
        <is>
          <t>Nominee acts on the principal's incapacity; the DPO evidences the event before the request runs</t>
        </is>
      </c>
      <c r="C810" s="11" t="n">
        <v>3</v>
      </c>
      <c r="D810" s="11" t="inlineStr">
        <is>
          <t>Enter the code the coordinator relays in 'The code we sent'. Fill in the request as per the test data and choose the evidence file under 'Evidence'.</t>
        </is>
      </c>
      <c r="E810" s="11" t="inlineStr">
        <is>
          <t>'What has happened' offers 'They have died' and 'They are unable to act'; the evidence hint reads 'A certificate or a medical letter. PDF or image, up to 25 MB.' 'Record the request' becomes available once the code and at least 10 characters are entered.</t>
        </is>
      </c>
      <c r="F810" s="16" t="n"/>
      <c r="G810" s="16" t="n"/>
    </row>
    <row r="811">
      <c r="A811" s="10" t="inlineStr">
        <is>
          <t>RGT-23</t>
        </is>
      </c>
      <c r="B811" s="11" t="inlineStr">
        <is>
          <t>Nominee acts on the principal's incapacity; the DPO evidences the event before the request runs</t>
        </is>
      </c>
      <c r="C811" s="11" t="n">
        <v>4</v>
      </c>
      <c r="D811" s="11" t="inlineStr">
        <is>
          <t>Click 'Record the request'.</t>
        </is>
      </c>
      <c r="E811" s="11" t="inlineStr">
        <is>
          <t>A green box 'Recorded as RR-...' reads '... The Privacy Office will first decide whether the event is evidenced, then handle the request as normal and respond to you.' Note RR-N.</t>
        </is>
      </c>
      <c r="F811" s="16" t="n"/>
      <c r="G811" s="16" t="n"/>
    </row>
    <row r="812">
      <c r="A812" s="10" t="inlineStr">
        <is>
          <t>RGT-23</t>
        </is>
      </c>
      <c r="B812" s="11" t="inlineStr">
        <is>
          <t>Nominee acts on the principal's incapacity; the DPO evidences the event before the request runs</t>
        </is>
      </c>
      <c r="C812" s="11" t="n">
        <v>5</v>
      </c>
      <c r="D812" s="11" t="inlineStr">
        <is>
          <t>In Browser B (DPO) open RR-N from 'Rights requests'.</t>
        </is>
      </c>
      <c r="E812" s="11" t="inlineStr">
        <is>
          <t>The line under the heading reads 'Access · s.11 · Nominee'. A 'Nominee' detail shows 'Rahul Verma (&lt;contact&gt;) · reports the principal cannot act' with an 'evidence' link.</t>
        </is>
      </c>
      <c r="F812" s="16" t="n"/>
      <c r="G812" s="16" t="n"/>
    </row>
    <row r="813">
      <c r="A813" s="10" t="inlineStr">
        <is>
          <t>RGT-23</t>
        </is>
      </c>
      <c r="B813" s="11" t="inlineStr">
        <is>
          <t>Nominee acts on the principal's incapacity; the DPO evidences the event before the request runs</t>
        </is>
      </c>
      <c r="C813" s="11" t="n">
        <v>6</v>
      </c>
      <c r="D813" s="11" t="inlineStr">
        <is>
          <t>Click the 'evidence' link.</t>
        </is>
      </c>
      <c r="E813" s="11" t="inlineStr">
        <is>
          <t>The medical letter downloads.</t>
        </is>
      </c>
      <c r="F813" s="16" t="n"/>
      <c r="G813" s="16" t="n"/>
    </row>
    <row r="814">
      <c r="A814" s="10" t="inlineStr">
        <is>
          <t>RGT-23</t>
        </is>
      </c>
      <c r="B814" s="11" t="inlineStr">
        <is>
          <t>Nominee acts on the principal's incapacity; the DPO evidences the event before the request runs</t>
        </is>
      </c>
      <c r="C814" s="11" t="n">
        <v>7</v>
      </c>
      <c r="D814" s="11" t="inlineStr">
        <is>
          <t>Click 'Confirm classification', then look at 'What happens next' and the classification card.</t>
        </is>
      </c>
      <c r="E814" s="11" t="inlineStr">
        <is>
          <t>'Move to in progress' is blocked by 'The triggering event is not evidenced'. The card shows 'Is the triggering event evidenced?' with 'Rahul Verma says the principal cannot act...' and buttons 'Evidenced to our standard' and 'Not evidenced - refuse'.</t>
        </is>
      </c>
      <c r="F814" s="16" t="n"/>
      <c r="G814" s="16" t="n"/>
    </row>
    <row r="815">
      <c r="A815" s="10" t="inlineStr">
        <is>
          <t>RGT-23</t>
        </is>
      </c>
      <c r="B815" s="11" t="inlineStr">
        <is>
          <t>Nominee acts on the principal's incapacity; the DPO evidences the event before the request runs</t>
        </is>
      </c>
      <c r="C815" s="11" t="n">
        <v>8</v>
      </c>
      <c r="D815" s="11" t="inlineStr">
        <is>
          <t>Click 'Evidenced to our standard'.</t>
        </is>
      </c>
      <c r="E815" s="11" t="inlineStr">
        <is>
          <t>'Event evidenced' appears; the card reads 'Event evidenced on &lt;date&gt;.'; the Nominee detail adds 'Evidenced &lt;date&gt; · the principal keeps their account and can follow this request'.</t>
        </is>
      </c>
      <c r="F815" s="16" t="n"/>
      <c r="G815" s="16" t="n"/>
    </row>
    <row r="816">
      <c r="A816" s="10" t="inlineStr">
        <is>
          <t>RGT-23</t>
        </is>
      </c>
      <c r="B816" s="11" t="inlineStr">
        <is>
          <t>Nominee acts on the principal's incapacity; the DPO evidences the event before the request runs</t>
        </is>
      </c>
      <c r="C816" s="11" t="n">
        <v>9</v>
      </c>
      <c r="D816" s="11" t="inlineStr">
        <is>
          <t>Click 'In progress'.</t>
        </is>
      </c>
      <c r="E816" s="11" t="inlineStr">
        <is>
          <t>'Moved to In progress' appears.</t>
        </is>
      </c>
      <c r="F816" s="16" t="n"/>
      <c r="G816" s="16" t="n"/>
    </row>
    <row r="817">
      <c r="A817" s="10" t="inlineStr">
        <is>
          <t>RGT-23</t>
        </is>
      </c>
      <c r="B817" s="11" t="inlineStr">
        <is>
          <t>Nominee acts on the principal's incapacity; the DPO evidences the event before the request runs</t>
        </is>
      </c>
      <c r="C817" s="11" t="n">
        <v>10</v>
      </c>
      <c r="D817" s="11" t="inlineStr">
        <is>
          <t>In Browser A (Anjali) open 'My nominations'.</t>
        </is>
      </c>
      <c r="E817" s="11" t="inlineStr">
        <is>
          <t>The nomination card shows 'Rahul Verma acted for you on &lt;date&gt;' with 'They reported that you cannot act for yourself. You keep this account and can follow the request they made. Their request is RR-N, under My requests. The Privacy Office found the event evidenced on &lt;date&gt;.'</t>
        </is>
      </c>
      <c r="F817" s="16" t="n"/>
      <c r="G817" s="16" t="n"/>
    </row>
    <row r="818">
      <c r="A818" s="10" t="inlineStr">
        <is>
          <t>RGT-23</t>
        </is>
      </c>
      <c r="B818" s="11" t="inlineStr">
        <is>
          <t>Nominee acts on the principal's incapacity; the DPO evidences the event before the request runs</t>
        </is>
      </c>
      <c r="C818" s="11" t="n">
        <v>11</v>
      </c>
      <c r="D818" s="11" t="inlineStr">
        <is>
          <t>In Browser D sign in at http://localhost:3001/sign-in with 'Mobile' and +91 90000 00077 (code from the coordinator), then open 'My nominations'.</t>
        </is>
      </c>
      <c r="E818" s="11" t="inlineStr">
        <is>
          <t>A card 'Somebody has named you to act for them' shows Anjali Verma, 'In place' and 'You acted on &lt;date&gt;', with a 'Show the request' button.</t>
        </is>
      </c>
      <c r="F818" s="16" t="n"/>
      <c r="G818" s="16" t="n"/>
    </row>
    <row r="819">
      <c r="A819" s="10" t="inlineStr">
        <is>
          <t>RGT-23</t>
        </is>
      </c>
      <c r="B819" s="11" t="inlineStr">
        <is>
          <t>Nominee acts on the principal's incapacity; the DPO evidences the event before the request runs</t>
        </is>
      </c>
      <c r="C819" s="11" t="n">
        <v>12</v>
      </c>
      <c r="D819" s="11" t="inlineStr">
        <is>
          <t>Click 'Show the request'.</t>
        </is>
      </c>
      <c r="E819" s="11" t="inlineStr">
        <is>
          <t>RR-N is shown with its status 'In progress', clock and path. There is no 'Dispute this response' button for the nominee.</t>
        </is>
      </c>
      <c r="F819" s="16" t="n"/>
      <c r="G819" s="16" t="n"/>
    </row>
    <row r="820">
      <c r="A820" s="10" t="inlineStr">
        <is>
          <t>RGT-24</t>
        </is>
      </c>
      <c r="B820" s="11" t="inlineStr">
        <is>
          <t>Nomination refuses unknown references, wrong codes, rights not granted, self-nomination and a revoked nominee</t>
        </is>
      </c>
      <c r="C820" s="11" t="n">
        <v>1</v>
      </c>
      <c r="D820" s="11" t="inlineStr">
        <is>
          <t>In Browser D (signed out) open http://localhost:3001/rights/nominee, type the made-up reference and +91 90000 00077 and click 'Send me a code'.</t>
        </is>
      </c>
      <c r="E820" s="11" t="inlineStr">
        <is>
          <t>The same neutral note as for a real nomination: 'If that nomination is in place and the contact matches the one recorded, a verification code has been sent to it.' The coordinator finds no new code in the outbox.</t>
        </is>
      </c>
      <c r="F820" s="16" t="n"/>
      <c r="G820" s="16" t="n"/>
    </row>
    <row r="821">
      <c r="A821" s="10" t="inlineStr">
        <is>
          <t>RGT-24</t>
        </is>
      </c>
      <c r="B821" s="11" t="inlineStr">
        <is>
          <t>Nomination refuses unknown references, wrong codes, rights not granted, self-nomination and a revoked nominee</t>
        </is>
      </c>
      <c r="C821" s="11" t="n">
        <v>2</v>
      </c>
      <c r="D821" s="11" t="inlineStr">
        <is>
          <t>Open http://localhost:3001/rights/nominee?nomination=&lt;real reference&gt;, type +91 90000 00077 and click 'Send me a code'. Type 000000 in 'The code we sent', choose 'Access (s.11)', type a request of 10+ characters, choose 'They are unable to act' and click 'Record the request'.</t>
        </is>
      </c>
      <c r="E821" s="11" t="inlineStr">
        <is>
          <t>A red box reads 'Invalid or expired code'. No reference is shown.</t>
        </is>
      </c>
      <c r="F821" s="16" t="n"/>
      <c r="G821" s="16" t="n"/>
    </row>
    <row r="822">
      <c r="A822" s="10" t="inlineStr">
        <is>
          <t>RGT-24</t>
        </is>
      </c>
      <c r="B822" s="11" t="inlineStr">
        <is>
          <t>Nomination refuses unknown references, wrong codes, rights not granted, self-nomination and a revoked nominee</t>
        </is>
      </c>
      <c r="C822" s="11" t="n">
        <v>3</v>
      </c>
      <c r="D822" s="11" t="inlineStr">
        <is>
          <t>Reload the page, send a new code, enter the correct relayed code, choose 'Correction (s.12)' and click 'Record the request'.</t>
        </is>
      </c>
      <c r="E822" s="11" t="inlineStr">
        <is>
          <t>A red box reads 'That right was not included in the nomination'. Nothing is recorded.</t>
        </is>
      </c>
      <c r="F822" s="16" t="n"/>
      <c r="G822" s="16" t="n"/>
    </row>
    <row r="823">
      <c r="A823" s="10" t="inlineStr">
        <is>
          <t>RGT-24</t>
        </is>
      </c>
      <c r="B823" s="11" t="inlineStr">
        <is>
          <t>Nomination refuses unknown references, wrong codes, rights not granted, self-nomination and a revoked nominee</t>
        </is>
      </c>
      <c r="C823" s="11" t="n">
        <v>4</v>
      </c>
      <c r="D823" s="11" t="inlineStr">
        <is>
          <t>In Browser A on 'My nominations' click 'Revoke this nomination'.</t>
        </is>
      </c>
      <c r="E823" s="11" t="inlineStr">
        <is>
          <t>'Nomination revoked' with 'Rahul Verma can no longer act for you.' appears. The nomination form is shown again, and 'Earlier nominations' lists Rahul Verma as 'Revoked'.</t>
        </is>
      </c>
      <c r="F823" s="16" t="n"/>
      <c r="G823" s="16" t="n"/>
    </row>
    <row r="824">
      <c r="A824" s="10" t="inlineStr">
        <is>
          <t>RGT-24</t>
        </is>
      </c>
      <c r="B824" s="11" t="inlineStr">
        <is>
          <t>Nomination refuses unknown references, wrong codes, rights not granted, self-nomination and a revoked nominee</t>
        </is>
      </c>
      <c r="C824" s="11" t="n">
        <v>5</v>
      </c>
      <c r="D824" s="11" t="inlineStr">
        <is>
          <t>In the form type Anjali Verma in 'Their name' and +91 90000 00001 in 'Their mobile', leave the rights ticked and click 'Nominate'.</t>
        </is>
      </c>
      <c r="E824" s="11" t="inlineStr">
        <is>
          <t>The error 'A nominee has to be somebody other than you' appears; no nomination is recorded.</t>
        </is>
      </c>
      <c r="F824" s="16" t="n"/>
      <c r="G824" s="16" t="n"/>
    </row>
    <row r="825">
      <c r="A825" s="10" t="inlineStr">
        <is>
          <t>RGT-24</t>
        </is>
      </c>
      <c r="B825" s="11" t="inlineStr">
        <is>
          <t>Nomination refuses unknown references, wrong codes, rights not granted, self-nomination and a revoked nominee</t>
        </is>
      </c>
      <c r="C825" s="11" t="n">
        <v>6</v>
      </c>
      <c r="D825" s="11" t="inlineStr">
        <is>
          <t>In Browser D open the nominee page with the revoked reference, type +91 90000 00077 and click 'Send me a code'.</t>
        </is>
      </c>
      <c r="E825" s="11" t="inlineStr">
        <is>
          <t>The neutral note appears, but the coordinator finds no code sent - the nomination is no longer in place.</t>
        </is>
      </c>
      <c r="F825" s="16" t="n"/>
      <c r="G825" s="16" t="n"/>
    </row>
    <row r="826">
      <c r="A826" s="10" t="inlineStr">
        <is>
          <t>RGT-24</t>
        </is>
      </c>
      <c r="B826" s="11" t="inlineStr">
        <is>
          <t>Nomination refuses unknown references, wrong codes, rights not granted, self-nomination and a revoked nominee</t>
        </is>
      </c>
      <c r="C826" s="11" t="n">
        <v>7</v>
      </c>
      <c r="D826" s="11" t="inlineStr">
        <is>
          <t>In Browser D (signed in as the nominee) reload 'My nominations'.</t>
        </is>
      </c>
      <c r="E826" s="11" t="inlineStr">
        <is>
          <t>The 'Somebody has named you to act for them' card warns 'This nomination is no longer in effect, so you cannot make another request under it. The one you already made stays here until it is answered.' The badge does not say 'In place'. RR-N can still be opened with 'Show the request'.</t>
        </is>
      </c>
      <c r="F826" s="16" t="n"/>
      <c r="G826" s="16" t="n"/>
    </row>
    <row r="827">
      <c r="A827" s="10" t="inlineStr">
        <is>
          <t>RGT-25</t>
        </is>
      </c>
      <c r="B827" s="11" t="inlineStr">
        <is>
          <t>With several requests, the portal narrows them by Open / Closed and by search</t>
        </is>
      </c>
      <c r="C827" s="11" t="n">
        <v>1</v>
      </c>
      <c r="D827" s="11" t="inlineStr">
        <is>
          <t>In Browser A open http://localhost:3001/sign-in. Under 'Sign in with' choose 'Email', type subject@cmp.local in 'Email address' and click 'Send me a code'. Ask the coordinator for the code, type it in 'Six-digit code' and click 'Verify'.</t>
        </is>
      </c>
      <c r="E827" s="11" t="inlineStr">
        <is>
          <t>A 'Check your messages' box appears after the first click. After 'Verify' you are signed in and the 'My consents' page opens; the sidebar shows 'My consents' and 'My requests'.</t>
        </is>
      </c>
      <c r="F827" s="16" t="n"/>
      <c r="G827" s="16" t="n"/>
    </row>
    <row r="828">
      <c r="A828" s="10" t="inlineStr">
        <is>
          <t>RGT-25</t>
        </is>
      </c>
      <c r="B828" s="11" t="inlineStr">
        <is>
          <t>With several requests, the portal narrows them by Open / Closed and by search</t>
        </is>
      </c>
      <c r="C828" s="11" t="n">
        <v>2</v>
      </c>
      <c r="D828" s="11" t="inlineStr">
        <is>
          <t>In the sidebar click 'My requests'.</t>
        </is>
      </c>
      <c r="E828" s="11" t="inlineStr">
        <is>
          <t>Above the list are three choices, 'All', 'Open' and 'Closed', each with a count (All = Open + Closed), and a search box 'Reference, kind or words'. 'All' is selected.</t>
        </is>
      </c>
      <c r="F828" s="16" t="n"/>
      <c r="G828" s="16" t="n"/>
    </row>
    <row r="829">
      <c r="A829" s="10" t="inlineStr">
        <is>
          <t>RGT-25</t>
        </is>
      </c>
      <c r="B829" s="11" t="inlineStr">
        <is>
          <t>With several requests, the portal narrows them by Open / Closed and by search</t>
        </is>
      </c>
      <c r="C829" s="11" t="n">
        <v>3</v>
      </c>
      <c r="D829" s="11" t="inlineStr">
        <is>
          <t>Click 'Closed'.</t>
        </is>
      </c>
      <c r="E829" s="11" t="inlineStr">
        <is>
          <t>Only answered or closed requests remain, for example RR-A with the badge 'Complete'. No 'Received' or 'In progress' request is listed.</t>
        </is>
      </c>
      <c r="F829" s="16" t="n"/>
      <c r="G829" s="16" t="n"/>
    </row>
    <row r="830">
      <c r="A830" s="10" t="inlineStr">
        <is>
          <t>RGT-25</t>
        </is>
      </c>
      <c r="B830" s="11" t="inlineStr">
        <is>
          <t>With several requests, the portal narrows them by Open / Closed and by search</t>
        </is>
      </c>
      <c r="C830" s="11" t="n">
        <v>4</v>
      </c>
      <c r="D830" s="11" t="inlineStr">
        <is>
          <t>Click 'Open'.</t>
        </is>
      </c>
      <c r="E830" s="11" t="inlineStr">
        <is>
          <t>Only requests still being worked on remain. The count beside 'Open' equals the number of cards shown.</t>
        </is>
      </c>
      <c r="F830" s="16" t="n"/>
      <c r="G830" s="16" t="n"/>
    </row>
    <row r="831">
      <c r="A831" s="10" t="inlineStr">
        <is>
          <t>RGT-25</t>
        </is>
      </c>
      <c r="B831" s="11" t="inlineStr">
        <is>
          <t>With several requests, the portal narrows them by Open / Closed and by search</t>
        </is>
      </c>
      <c r="C831" s="11" t="n">
        <v>5</v>
      </c>
      <c r="D831" s="11" t="inlineStr">
        <is>
          <t>Click 'All', then type the number part of RR-A's reference (for example 000123) in the search box.</t>
        </is>
      </c>
      <c r="E831" s="11" t="inlineStr">
        <is>
          <t>Only RR-A remains. Typing 'grievance' instead shows only grievances; typing 'zzz' shows 'No requests match' with a 'Show all requests' button.</t>
        </is>
      </c>
      <c r="F831" s="16" t="n"/>
      <c r="G831" s="16" t="n"/>
    </row>
    <row r="832">
      <c r="A832" s="10" t="inlineStr">
        <is>
          <t>RGT-25</t>
        </is>
      </c>
      <c r="B832" s="11" t="inlineStr">
        <is>
          <t>With several requests, the portal narrows them by Open / Closed and by search</t>
        </is>
      </c>
      <c r="C832" s="11" t="n">
        <v>6</v>
      </c>
      <c r="D832" s="11" t="inlineStr">
        <is>
          <t>Click 'Show all requests'. Type 'grievance' in the search box, so that only grievances remain, and on RR-G (RGT-20) click 'See RR-A in full'.</t>
        </is>
      </c>
      <c r="E832" s="11" t="inlineStr">
        <is>
          <t>RR-A was hidden by the search, so the search is cleared and 'All' selected; the page scrolls to RR-A and briefly highlights it.</t>
        </is>
      </c>
      <c r="F832" s="16" t="n"/>
      <c r="G832" s="16" t="n"/>
    </row>
    <row r="833">
      <c r="A833" s="10" t="inlineStr">
        <is>
          <t>OVS-01</t>
        </is>
      </c>
      <c r="B833" s="11" t="inlineStr">
        <is>
          <t>DPO dashboard lists only work the DPO can act on</t>
        </is>
      </c>
      <c r="C833" s="11" t="n">
        <v>1</v>
      </c>
      <c r="D833" s="11" t="inlineStr">
        <is>
          <t>Open http://localhost:3000. Type dpo@cmp.local in 'Email or username' and SeedPassw0rd!2026 in 'Password', click 'Sign in'. On the 'Verify it is you' page type the six-digit code the test coordinator relays into '6-digit code' and click 'Verify and continue'.</t>
        </is>
      </c>
      <c r="E833" s="11" t="inlineStr">
        <is>
          <t>You land on the Dashboard with the heading 'Good day, Priya'. The top right of the header shows the person's name with the role badge 'DPO'.</t>
        </is>
      </c>
      <c r="F833" s="16" t="n"/>
      <c r="G833" s="16" t="n"/>
    </row>
    <row r="834">
      <c r="A834" s="10" t="inlineStr">
        <is>
          <t>OVS-01</t>
        </is>
      </c>
      <c r="B834" s="11" t="inlineStr">
        <is>
          <t>DPO dashboard lists only work the DPO can act on</t>
        </is>
      </c>
      <c r="C834" s="11" t="n">
        <v>2</v>
      </c>
      <c r="D834" s="11" t="inlineStr">
        <is>
          <t>Read the line under the heading.</t>
        </is>
      </c>
      <c r="E834" s="11" t="inlineStr">
        <is>
          <t>It reads 'Notices awaiting publication, projects awaiting your review, and the consent position across the platform.'</t>
        </is>
      </c>
      <c r="F834" s="16" t="n"/>
      <c r="G834" s="16" t="n"/>
    </row>
    <row r="835">
      <c r="A835" s="10" t="inlineStr">
        <is>
          <t>OVS-01</t>
        </is>
      </c>
      <c r="B835" s="11" t="inlineStr">
        <is>
          <t>DPO dashboard lists only work the DPO can act on</t>
        </is>
      </c>
      <c r="C835" s="11" t="n">
        <v>3</v>
      </c>
      <c r="D835" s="11" t="inlineStr">
        <is>
          <t>Look at the first card, 'Needs attention'.</t>
        </is>
      </c>
      <c r="E835" s="11" t="inlineStr">
        <is>
          <t>Each row shows a number, a label and an arrow; the card's heading carries no overall count. Every label is one of: 'Breach duties overdue', 'Breach duties outstanding', 'Tickets past their date', 'Rights requests overdue', 'Rights requests due within 7 days', 'Requests awaiting verification', 'Teams have written on their tickets', 'Grievances about the DPO to escalate', 'Retention floors passed, erasure due', 'Tickets addressed to you', 'Notice text awaiting approval', 'Projects pending approval', 'New collectors awaiting your decision'. If nothing is waiting the card says 'Nothing needs your attention. The queues below are clear or waiting on somebody else.'</t>
        </is>
      </c>
      <c r="F835" s="16" t="n"/>
      <c r="G835" s="16" t="n"/>
    </row>
    <row r="836">
      <c r="A836" s="10" t="inlineStr">
        <is>
          <t>OVS-01</t>
        </is>
      </c>
      <c r="B836" s="11" t="inlineStr">
        <is>
          <t>DPO dashboard lists only work the DPO can act on</t>
        </is>
      </c>
      <c r="C836" s="11" t="n">
        <v>4</v>
      </c>
      <c r="D836" s="11" t="inlineStr">
        <is>
          <t>Check the card for rows that belong to other roles.</t>
        </is>
      </c>
      <c r="E836" s="11" t="inlineStr">
        <is>
          <t>There is no row about lockouts, sign-ins, access denials, 'Staff invitations not yet accepted', 'Sites awaiting a data source', 'Sources without an owner' or 'Imports that did not reconcile'.</t>
        </is>
      </c>
      <c r="F836" s="16" t="n"/>
      <c r="G836" s="16" t="n"/>
    </row>
    <row r="837">
      <c r="A837" s="10" t="inlineStr">
        <is>
          <t>OVS-01</t>
        </is>
      </c>
      <c r="B837" s="11" t="inlineStr">
        <is>
          <t>DPO dashboard lists only work the DPO can act on</t>
        </is>
      </c>
      <c r="C837" s="11" t="n">
        <v>5</v>
      </c>
      <c r="D837" s="11" t="inlineStr">
        <is>
          <t>Click one of the rows in 'Needs attention' (for example 'Projects pending approval' or 'Rights requests due within 7 days').</t>
        </is>
      </c>
      <c r="E837" s="11" t="inlineStr">
        <is>
          <t>The list behind that number opens already filtered (e.g. the Projects page showing only projects pending approval, or the Rights requests page). The number of rows matches the count on the dashboard. Use the browser Back button to return.</t>
        </is>
      </c>
      <c r="F837" s="16" t="n"/>
      <c r="G837" s="16" t="n"/>
    </row>
    <row r="838">
      <c r="A838" s="10" t="inlineStr">
        <is>
          <t>OVS-01</t>
        </is>
      </c>
      <c r="B838" s="11" t="inlineStr">
        <is>
          <t>DPO dashboard lists only work the DPO can act on</t>
        </is>
      </c>
      <c r="C838" s="11" t="n">
        <v>6</v>
      </c>
      <c r="D838" s="11" t="inlineStr">
        <is>
          <t>Scroll down past 'Needs attention' to the queue cards.</t>
        </is>
      </c>
      <c r="E838" s="11" t="inlineStr">
        <is>
          <t>Queues with work appear as cards, in this order: 'Tickets past their date', 'Rights requests, soonest due first', 'Teams have written on their tickets', 'Retention floors passed - erasure due', 'Pending Approval', 'New collectors awaiting your decision', 'Drafts whose purposes are not activated'. Each card shows a count badge; a queue at its 25-row limit shows '25+' and a 'See all' link. Empty queues are listed together in one grey line that starts 'Clear:'. People's names in queue rows are readable.</t>
        </is>
      </c>
      <c r="F838" s="16" t="n"/>
      <c r="G838" s="16" t="n"/>
    </row>
    <row r="839">
      <c r="A839" s="10" t="inlineStr">
        <is>
          <t>OVS-01</t>
        </is>
      </c>
      <c r="B839" s="11" t="inlineStr">
        <is>
          <t>DPO dashboard lists only work the DPO can act on</t>
        </is>
      </c>
      <c r="C839" s="11" t="n">
        <v>7</v>
      </c>
      <c r="D839" s="11" t="inlineStr">
        <is>
          <t>Scroll further to the cards 'Projects by stage' and 'Consent position'.</t>
        </is>
      </c>
      <c r="E839" s="11" t="inlineStr">
        <is>
          <t>'Projects by stage' shows bars labelled 'In draft', 'Pending approval' and 'Approved' with numbers; 'Consent position' shows one bar split into 'Agreed to all purposes', 'Agreed to some', 'Declined' and 'Withdrawn' with the caption 'Every record counted once, at its current state.'</t>
        </is>
      </c>
      <c r="F839" s="16" t="n"/>
      <c r="G839" s="16" t="n"/>
    </row>
    <row r="840">
      <c r="A840" s="10" t="inlineStr">
        <is>
          <t>OVS-01</t>
        </is>
      </c>
      <c r="B840" s="11" t="inlineStr">
        <is>
          <t>DPO dashboard lists only work the DPO can act on</t>
        </is>
      </c>
      <c r="C840" s="11" t="n">
        <v>8</v>
      </c>
      <c r="D840" s="11" t="inlineStr">
        <is>
          <t>Look at the 'Recent activity' card at the bottom.</t>
        </is>
      </c>
      <c r="E840" s="11" t="inlineStr">
        <is>
          <t>Up to 8 entries, newest first, each with an event name, a time, who did it (name and role badge) and the record it concerns. No sign-in events (titles starting 'Auth ...') are listed. A 'Full audit trail' link is at the card's top right.</t>
        </is>
      </c>
      <c r="F840" s="16" t="n"/>
      <c r="G840" s="16" t="n"/>
    </row>
    <row r="841">
      <c r="A841" s="10" t="inlineStr">
        <is>
          <t>OVS-01</t>
        </is>
      </c>
      <c r="B841" s="11" t="inlineStr">
        <is>
          <t>DPO dashboard lists only work the DPO can act on</t>
        </is>
      </c>
      <c r="C841" s="11" t="n">
        <v>9</v>
      </c>
      <c r="D841" s="11" t="inlineStr">
        <is>
          <t>Click 'Full audit trail'.</t>
        </is>
      </c>
      <c r="E841" s="11" t="inlineStr">
        <is>
          <t>The 'Audit trail' page opens.</t>
        </is>
      </c>
      <c r="F841" s="16" t="n"/>
      <c r="G841" s="16" t="n"/>
    </row>
    <row r="842">
      <c r="A842" s="10" t="inlineStr">
        <is>
          <t>OVS-02</t>
        </is>
      </c>
      <c r="B842" s="11" t="inlineStr">
        <is>
          <t>Administrator dashboard - lockouts are information, not tasks</t>
        </is>
      </c>
      <c r="C842" s="11" t="n">
        <v>1</v>
      </c>
      <c r="D842" s="11" t="inlineStr">
        <is>
          <t>Open http://localhost:3000. Type admin@cmp.local in 'Email or username' and SeedPassw0rd!2026 in 'Password', click 'Sign in'. On the 'Verify it is you' page type the six-digit code the test coordinator relays into '6-digit code' and click 'Verify and continue'.</t>
        </is>
      </c>
      <c r="E842" s="11" t="inlineStr">
        <is>
          <t>You land on the Dashboard with the heading 'Good day, System'. The top right of the header shows the person's name with the role badge 'Administrator'.</t>
        </is>
      </c>
      <c r="F842" s="16" t="n"/>
      <c r="G842" s="16" t="n"/>
    </row>
    <row r="843">
      <c r="A843" s="10" t="inlineStr">
        <is>
          <t>OVS-02</t>
        </is>
      </c>
      <c r="B843" s="11" t="inlineStr">
        <is>
          <t>Administrator dashboard - lockouts are information, not tasks</t>
        </is>
      </c>
      <c r="C843" s="11" t="n">
        <v>2</v>
      </c>
      <c r="D843" s="11" t="inlineStr">
        <is>
          <t>Read the line under the heading.</t>
        </is>
      </c>
      <c r="E843" s="11" t="inlineStr">
        <is>
          <t>It reads 'Invitations waiting, access problems, grievances about the DPO, and the processor and source registry.'</t>
        </is>
      </c>
      <c r="F843" s="16" t="n"/>
      <c r="G843" s="16" t="n"/>
    </row>
    <row r="844">
      <c r="A844" s="10" t="inlineStr">
        <is>
          <t>OVS-02</t>
        </is>
      </c>
      <c r="B844" s="11" t="inlineStr">
        <is>
          <t>Administrator dashboard - lockouts are information, not tasks</t>
        </is>
      </c>
      <c r="C844" s="11" t="n">
        <v>3</v>
      </c>
      <c r="D844" s="11" t="inlineStr">
        <is>
          <t>Look at 'Needs attention'.</t>
        </is>
      </c>
      <c r="E844" s="11" t="inlineStr">
        <is>
          <t>Only these labels can appear (each only when its count is above zero): 'Staff invitations not yet accepted', 'Grievances about the DPO to review', 'Tickets addressed to you'. Otherwise the card says 'Nothing needs your attention. The queues below are clear or waiting on somebody else.'</t>
        </is>
      </c>
      <c r="F844" s="16" t="n"/>
      <c r="G844" s="16" t="n"/>
    </row>
    <row r="845">
      <c r="A845" s="10" t="inlineStr">
        <is>
          <t>OVS-02</t>
        </is>
      </c>
      <c r="B845" s="11" t="inlineStr">
        <is>
          <t>Administrator dashboard - lockouts are information, not tasks</t>
        </is>
      </c>
      <c r="C845" s="11" t="n">
        <v>4</v>
      </c>
      <c r="D845" s="11" t="inlineStr">
        <is>
          <t>Check 'Needs attention' for rows the administrator cannot act on.</t>
        </is>
      </c>
      <c r="E845" s="11" t="inlineStr">
        <is>
          <t>There is no row about lockouts, access denials, consent withdrawals, projects, notices, or rights requests overdue.</t>
        </is>
      </c>
      <c r="F845" s="16" t="n"/>
      <c r="G845" s="16" t="n"/>
    </row>
    <row r="846">
      <c r="A846" s="10" t="inlineStr">
        <is>
          <t>OVS-02</t>
        </is>
      </c>
      <c r="B846" s="11" t="inlineStr">
        <is>
          <t>Administrator dashboard - lockouts are information, not tasks</t>
        </is>
      </c>
      <c r="C846" s="11" t="n">
        <v>5</v>
      </c>
      <c r="D846" s="11" t="inlineStr">
        <is>
          <t>If 'Staff invitations not yet accepted' is shown, click it.</t>
        </is>
      </c>
      <c r="E846" s="11" t="inlineStr">
        <is>
          <t>The 'Users' page opens filtered to pending accounts; it lists staff whose invitation is not yet accepted and no data principals. Use Back to return. (If the row is absent, note 'no pending invitations' and continue.)</t>
        </is>
      </c>
      <c r="F846" s="16" t="n"/>
      <c r="G846" s="16" t="n"/>
    </row>
    <row r="847">
      <c r="A847" s="10" t="inlineStr">
        <is>
          <t>OVS-02</t>
        </is>
      </c>
      <c r="B847" s="11" t="inlineStr">
        <is>
          <t>Administrator dashboard - lockouts are information, not tasks</t>
        </is>
      </c>
      <c r="C847" s="11" t="n">
        <v>6</v>
      </c>
      <c r="D847" s="11" t="inlineStr">
        <is>
          <t>Scroll to the queue cards and the 'Clear:' line.</t>
        </is>
      </c>
      <c r="E847" s="11" t="inlineStr">
        <is>
          <t>The queues are 'Grievances about the DPO - yours to review', 'Lockouts (24h)' and 'Suspended sources and processors' (as cards, or named in the 'Clear:' line when empty). A lockout from the last 24 hours appears as a row in 'Lockouts (24h)' with the person's readable name - here, and not in 'Needs attention'.</t>
        </is>
      </c>
      <c r="F847" s="16" t="n"/>
      <c r="G847" s="16" t="n"/>
    </row>
    <row r="848">
      <c r="A848" s="10" t="inlineStr">
        <is>
          <t>OVS-02</t>
        </is>
      </c>
      <c r="B848" s="11" t="inlineStr">
        <is>
          <t>Administrator dashboard - lockouts are information, not tasks</t>
        </is>
      </c>
      <c r="C848" s="11" t="n">
        <v>7</v>
      </c>
      <c r="D848" s="11" t="inlineStr">
        <is>
          <t>Look for the cards 'Projects by stage' and 'Consent position'.</t>
        </is>
      </c>
      <c r="E848" s="11" t="inlineStr">
        <is>
          <t>Neither card is shown to the administrator.</t>
        </is>
      </c>
      <c r="F848" s="16" t="n"/>
      <c r="G848" s="16" t="n"/>
    </row>
    <row r="849">
      <c r="A849" s="10" t="inlineStr">
        <is>
          <t>OVS-02</t>
        </is>
      </c>
      <c r="B849" s="11" t="inlineStr">
        <is>
          <t>Administrator dashboard - lockouts are information, not tasks</t>
        </is>
      </c>
      <c r="C849" s="11" t="n">
        <v>8</v>
      </c>
      <c r="D849" s="11" t="inlineStr">
        <is>
          <t>Look at 'Recent activity'.</t>
        </is>
      </c>
      <c r="E849" s="11" t="inlineStr">
        <is>
          <t>Entries are refused requests - title 'Auth access denied' with the sentence 'A request was refused by the permission matrix.' - each with who and when. A 'Full audit trail' link is at the card's top right.</t>
        </is>
      </c>
      <c r="F849" s="16" t="n"/>
      <c r="G849" s="16" t="n"/>
    </row>
    <row r="850">
      <c r="A850" s="10" t="inlineStr">
        <is>
          <t>OVS-03</t>
        </is>
      </c>
      <c r="B850" s="11" t="inlineStr">
        <is>
          <t>DCO and RCO dashboards show their collection work and no audit link</t>
        </is>
      </c>
      <c r="C850" s="11" t="n">
        <v>1</v>
      </c>
      <c r="D850" s="11" t="inlineStr">
        <is>
          <t>Open http://localhost:3000. Type dco@cmp.local in 'Email or username' and SeedPassw0rd!2026 in 'Password', click 'Sign in'. On the 'Verify it is you' page type the six-digit code the test coordinator relays into '6-digit code' and click 'Verify and continue'.</t>
        </is>
      </c>
      <c r="E850" s="11" t="inlineStr">
        <is>
          <t>You land on the Dashboard with the heading 'Good day, Arun'. The top right of the header shows the person's name with the role badge 'Data Collection Owner'.</t>
        </is>
      </c>
      <c r="F850" s="16" t="n"/>
      <c r="G850" s="16" t="n"/>
    </row>
    <row r="851">
      <c r="A851" s="10" t="inlineStr">
        <is>
          <t>OVS-03</t>
        </is>
      </c>
      <c r="B851" s="11" t="inlineStr">
        <is>
          <t>DCO and RCO dashboards show their collection work and no audit link</t>
        </is>
      </c>
      <c r="C851" s="11" t="n">
        <v>2</v>
      </c>
      <c r="D851" s="11" t="inlineStr">
        <is>
          <t>Read the line under the heading, then look at 'Needs attention'.</t>
        </is>
      </c>
      <c r="E851" s="11" t="inlineStr">
        <is>
          <t>The line reads 'Your approved projects, the links collecting against them, and anything that failed to reconcile on import.' 'Needs attention' holds only rows from: 'Tickets past their date', 'Tickets addressed to you', 'Imports that did not reconcile', 'Assets with unmapped subjects' - or the sentence 'Nothing needs your attention. ...'.</t>
        </is>
      </c>
      <c r="F851" s="16" t="n"/>
      <c r="G851" s="16" t="n"/>
    </row>
    <row r="852">
      <c r="A852" s="10" t="inlineStr">
        <is>
          <t>OVS-03</t>
        </is>
      </c>
      <c r="B852" s="11" t="inlineStr">
        <is>
          <t>DCO and RCO dashboards show their collection work and no audit link</t>
        </is>
      </c>
      <c r="C852" s="11" t="n">
        <v>3</v>
      </c>
      <c r="D852" s="11" t="inlineStr">
        <is>
          <t>Check 'Needs attention' for rows belonging to other roles.</t>
        </is>
      </c>
      <c r="E852" s="11" t="inlineStr">
        <is>
          <t>No 'Projects pending approval', 'Rights requests overdue', 'Notice text awaiting approval', 'Staff invitations not yet accepted', lockout or 'Sites awaiting a data source' row appears.</t>
        </is>
      </c>
      <c r="F852" s="16" t="n"/>
      <c r="G852" s="16" t="n"/>
    </row>
    <row r="853">
      <c r="A853" s="10" t="inlineStr">
        <is>
          <t>OVS-03</t>
        </is>
      </c>
      <c r="B853" s="11" t="inlineStr">
        <is>
          <t>DCO and RCO dashboards show their collection work and no audit link</t>
        </is>
      </c>
      <c r="C853" s="11" t="n">
        <v>4</v>
      </c>
      <c r="D853" s="11" t="inlineStr">
        <is>
          <t>Find the 'Import exceptions' queue (a card, or named in the 'Clear:' line). If it is a card, click its first row.</t>
        </is>
      </c>
      <c r="E853" s="11" t="inlineStr">
        <is>
          <t>The queues are 'Import exceptions' and 'Approved projects ready to collect' (as cards, or named in the 'Clear:' line). An 'Import exceptions' row names a collection and a project and says '&lt;n&gt; declared, &lt;m&gt; mapped — &lt;k&gt; unaccounted for'. Clicking it opens that collection's page (not 'Not part of your account'). Use Back to return.</t>
        </is>
      </c>
      <c r="F853" s="16" t="n"/>
      <c r="G853" s="16" t="n"/>
    </row>
    <row r="854">
      <c r="A854" s="10" t="inlineStr">
        <is>
          <t>OVS-03</t>
        </is>
      </c>
      <c r="B854" s="11" t="inlineStr">
        <is>
          <t>DCO and RCO dashboards show their collection work and no audit link</t>
        </is>
      </c>
      <c r="C854" s="11" t="n">
        <v>5</v>
      </c>
      <c r="D854" s="11" t="inlineStr">
        <is>
          <t>Look at the 'Recent activity' card.</t>
        </is>
      </c>
      <c r="E854" s="11" t="inlineStr">
        <is>
          <t>It lists events on Arun's own projects or done by him, with no sign-in ('Auth ...') events. There is NO 'Full audit trail' link on the card, because a DCO has no audit page.</t>
        </is>
      </c>
      <c r="F854" s="16" t="n"/>
      <c r="G854" s="16" t="n"/>
    </row>
    <row r="855">
      <c r="A855" s="10" t="inlineStr">
        <is>
          <t>OVS-03</t>
        </is>
      </c>
      <c r="B855" s="11" t="inlineStr">
        <is>
          <t>DCO and RCO dashboards show their collection work and no audit link</t>
        </is>
      </c>
      <c r="C855" s="11" t="n">
        <v>6</v>
      </c>
      <c r="D855" s="11" t="inlineStr">
        <is>
          <t>Click 'Sign out' at the bottom of the sidebar. Then sign in again as rco@cmp.local (password SeedPassw0rd!2026, code from the coordinator, 'Verify and continue').</t>
        </is>
      </c>
      <c r="E855" s="11" t="inlineStr">
        <is>
          <t>The Dashboard opens with the heading 'Good day, Meera' and the role badge 'R&amp;D Collection Owner'.</t>
        </is>
      </c>
      <c r="F855" s="16" t="n"/>
      <c r="G855" s="16" t="n"/>
    </row>
    <row r="856">
      <c r="A856" s="10" t="inlineStr">
        <is>
          <t>OVS-03</t>
        </is>
      </c>
      <c r="B856" s="11" t="inlineStr">
        <is>
          <t>DCO and RCO dashboards show their collection work and no audit link</t>
        </is>
      </c>
      <c r="C856" s="11" t="n">
        <v>7</v>
      </c>
      <c r="D856" s="11" t="inlineStr">
        <is>
          <t>Read the line under the heading and 'Needs attention'.</t>
        </is>
      </c>
      <c r="E856" s="11" t="inlineStr">
        <is>
          <t>The line reads 'The collection your team runs itself — your approved projects, the links collecting against them, and anything that failed to reconcile on import.' 'Needs attention' uses the same four DCO labels only.</t>
        </is>
      </c>
      <c r="F856" s="16" t="n"/>
      <c r="G856" s="16" t="n"/>
    </row>
    <row r="857">
      <c r="A857" s="10" t="inlineStr">
        <is>
          <t>OVS-03</t>
        </is>
      </c>
      <c r="B857" s="11" t="inlineStr">
        <is>
          <t>DCO and RCO dashboards show their collection work and no audit link</t>
        </is>
      </c>
      <c r="C857" s="11" t="n">
        <v>8</v>
      </c>
      <c r="D857" s="11" t="inlineStr">
        <is>
          <t>Look at the 'Recent activity' card.</t>
        </is>
      </c>
      <c r="E857" s="11" t="inlineStr">
        <is>
          <t>Events on Meera's projects only, no sign-in events, and no 'Full audit trail' link.</t>
        </is>
      </c>
      <c r="F857" s="16" t="n"/>
      <c r="G857" s="16" t="n"/>
    </row>
    <row r="858">
      <c r="A858" s="10" t="inlineStr">
        <is>
          <t>OVS-04</t>
        </is>
      </c>
      <c r="B858" s="11" t="inlineStr">
        <is>
          <t>DCO Admin and R&amp;D User dashboards show only their own queues</t>
        </is>
      </c>
      <c r="C858" s="11" t="n">
        <v>1</v>
      </c>
      <c r="D858" s="11" t="inlineStr">
        <is>
          <t>Open http://localhost:3000. Type dcoadmin@cmp.local in 'Email or username' and SeedPassw0rd!2026 in 'Password', click 'Sign in'. On the 'Verify it is you' page type the six-digit code the test coordinator relays into '6-digit code' and click 'Verify and continue'.</t>
        </is>
      </c>
      <c r="E858" s="11" t="inlineStr">
        <is>
          <t>You land on the Dashboard with the heading 'Good day, Nikhil'. The top right of the header shows the person's name with the role badge 'DCO Admin'.</t>
        </is>
      </c>
      <c r="F858" s="16" t="n"/>
      <c r="G858" s="16" t="n"/>
    </row>
    <row r="859">
      <c r="A859" s="10" t="inlineStr">
        <is>
          <t>OVS-04</t>
        </is>
      </c>
      <c r="B859" s="11" t="inlineStr">
        <is>
          <t>DCO Admin and R&amp;D User dashboards show only their own queues</t>
        </is>
      </c>
      <c r="C859" s="11" t="n">
        <v>2</v>
      </c>
      <c r="D859" s="11" t="inlineStr">
        <is>
          <t>Read the line under the heading and look at 'Needs attention'.</t>
        </is>
      </c>
      <c r="E859" s="11" t="inlineStr">
        <is>
          <t>The line reads 'Projects collected by a third party: which sites are still waiting for a data source, and who picks them up when you attach one.' Rows come only from: 'Tickets past their date', 'Sites awaiting a data source', 'Sources without an owner', 'Processors with no collection set up', 'Tickets addressed to you'.</t>
        </is>
      </c>
      <c r="F859" s="16" t="n"/>
      <c r="G859" s="16" t="n"/>
    </row>
    <row r="860">
      <c r="A860" s="10" t="inlineStr">
        <is>
          <t>OVS-04</t>
        </is>
      </c>
      <c r="B860" s="11" t="inlineStr">
        <is>
          <t>DCO Admin and R&amp;D User dashboards show only their own queues</t>
        </is>
      </c>
      <c r="C860" s="11" t="n">
        <v>3</v>
      </c>
      <c r="D860" s="11" t="inlineStr">
        <is>
          <t>If 'Sites awaiting a data source' is listed, click it.</t>
        </is>
      </c>
      <c r="E860" s="11" t="inlineStr">
        <is>
          <t>The page scrolls down to the 'Sites awaiting a data source' queue card on the same dashboard; each row names a project and says 'Attach the data source that will collect here'.</t>
        </is>
      </c>
      <c r="F860" s="16" t="n"/>
      <c r="G860" s="16" t="n"/>
    </row>
    <row r="861">
      <c r="A861" s="10" t="inlineStr">
        <is>
          <t>OVS-04</t>
        </is>
      </c>
      <c r="B861" s="11" t="inlineStr">
        <is>
          <t>DCO Admin and R&amp;D User dashboards show only their own queues</t>
        </is>
      </c>
      <c r="C861" s="11" t="n">
        <v>4</v>
      </c>
      <c r="D861" s="11" t="inlineStr">
        <is>
          <t>If 'Sources without an owner' is listed, click it.</t>
        </is>
      </c>
      <c r="E861" s="11" t="inlineStr">
        <is>
          <t>The 'Data sources' page opens (not 'Not part of your account'). Use Back to return.</t>
        </is>
      </c>
      <c r="F861" s="16" t="n"/>
      <c r="G861" s="16" t="n"/>
    </row>
    <row r="862">
      <c r="A862" s="10" t="inlineStr">
        <is>
          <t>OVS-04</t>
        </is>
      </c>
      <c r="B862" s="11" t="inlineStr">
        <is>
          <t>DCO Admin and R&amp;D User dashboards show only their own queues</t>
        </is>
      </c>
      <c r="C862" s="11" t="n">
        <v>5</v>
      </c>
      <c r="D862" s="11" t="inlineStr">
        <is>
          <t>Look at 'Recent activity'.</t>
        </is>
      </c>
      <c r="E862" s="11" t="inlineStr">
        <is>
          <t>No sign-in events and no 'Full audit trail' link.</t>
        </is>
      </c>
      <c r="F862" s="16" t="n"/>
      <c r="G862" s="16" t="n"/>
    </row>
    <row r="863">
      <c r="A863" s="10" t="inlineStr">
        <is>
          <t>OVS-04</t>
        </is>
      </c>
      <c r="B863" s="11" t="inlineStr">
        <is>
          <t>DCO Admin and R&amp;D User dashboards show only their own queues</t>
        </is>
      </c>
      <c r="C863" s="11" t="n">
        <v>6</v>
      </c>
      <c r="D863" s="11" t="inlineStr">
        <is>
          <t>Click 'Sign out' at the bottom of the sidebar. Then sign in again as rnd@cmp.local (password SeedPassw0rd!2026, code from the coordinator, 'Verify and continue').</t>
        </is>
      </c>
      <c r="E863" s="11" t="inlineStr">
        <is>
          <t>The Dashboard opens with the heading 'Good day, Kavya' and the role badge 'R&amp;D User'.</t>
        </is>
      </c>
      <c r="F863" s="16" t="n"/>
      <c r="G863" s="16" t="n"/>
    </row>
    <row r="864">
      <c r="A864" s="10" t="inlineStr">
        <is>
          <t>OVS-04</t>
        </is>
      </c>
      <c r="B864" s="11" t="inlineStr">
        <is>
          <t>DCO Admin and R&amp;D User dashboards show only their own queues</t>
        </is>
      </c>
      <c r="C864" s="11" t="n">
        <v>7</v>
      </c>
      <c r="D864" s="11" t="inlineStr">
        <is>
          <t>Read the line under the heading and look at 'Needs attention'.</t>
        </is>
      </c>
      <c r="E864" s="11" t="inlineStr">
        <is>
          <t>The line reads 'Your projects and what each one needs from you before it can move forward.' Rows come only from 'Projects needing something from you' and 'Tickets addressed to you'.</t>
        </is>
      </c>
      <c r="F864" s="16" t="n"/>
      <c r="G864" s="16" t="n"/>
    </row>
    <row r="865">
      <c r="A865" s="10" t="inlineStr">
        <is>
          <t>OVS-04</t>
        </is>
      </c>
      <c r="B865" s="11" t="inlineStr">
        <is>
          <t>DCO Admin and R&amp;D User dashboards show only their own queues</t>
        </is>
      </c>
      <c r="C865" s="11" t="n">
        <v>8</v>
      </c>
      <c r="D865" s="11" t="inlineStr">
        <is>
          <t>If 'Projects needing something from you' is listed, click it, then click the first row of the queue it jumps to.</t>
        </is>
      </c>
      <c r="E865" s="11" t="inlineStr">
        <is>
          <t>The page scrolls to the 'Needs your action' queue; rows name Kavya's draft projects with 'Upload a security approval with its proof file'. Clicking a row opens that project's page.</t>
        </is>
      </c>
      <c r="F865" s="16" t="n"/>
      <c r="G865" s="16" t="n"/>
    </row>
    <row r="866">
      <c r="A866" s="10" t="inlineStr">
        <is>
          <t>OVS-04</t>
        </is>
      </c>
      <c r="B866" s="11" t="inlineStr">
        <is>
          <t>DCO Admin and R&amp;D User dashboards show only their own queues</t>
        </is>
      </c>
      <c r="C866" s="11" t="n">
        <v>9</v>
      </c>
      <c r="D866" s="11" t="inlineStr">
        <is>
          <t>Scroll to the bottom of the dashboard.</t>
        </is>
      </c>
      <c r="E866" s="11" t="inlineStr">
        <is>
          <t>A 'Waiting for DPO review' queue lists Kavya's projects pending approval (or is named in the 'Clear:' line). 'Projects by stage' is shown (counting only Kavya's projects); there is no 'Consent position' card; 'Recent activity' has no 'Full audit trail' link.</t>
        </is>
      </c>
      <c r="F866" s="16" t="n"/>
      <c r="G866" s="16" t="n"/>
    </row>
    <row r="867">
      <c r="A867" s="10" t="inlineStr">
        <is>
          <t>OVS-05</t>
        </is>
      </c>
      <c r="B867" s="11" t="inlineStr">
        <is>
          <t>Sidebar for the DPO and the Administrator</t>
        </is>
      </c>
      <c r="C867" s="11" t="n">
        <v>1</v>
      </c>
      <c r="D867" s="11" t="inlineStr">
        <is>
          <t>Open http://localhost:3000. Type dpo@cmp.local in 'Email or username' and SeedPassw0rd!2026 in 'Password', click 'Sign in'. On the 'Verify it is you' page type the six-digit code the test coordinator relays into '6-digit code' and click 'Verify and continue'.</t>
        </is>
      </c>
      <c r="E867" s="11" t="inlineStr">
        <is>
          <t>You land on the Dashboard with the heading 'Good day, Priya'. The top right of the header shows the person's name with the role badge 'DPO'.</t>
        </is>
      </c>
      <c r="F867" s="16" t="n"/>
      <c r="G867" s="16" t="n"/>
    </row>
    <row r="868">
      <c r="A868" s="10" t="inlineStr">
        <is>
          <t>OVS-05</t>
        </is>
      </c>
      <c r="B868" s="11" t="inlineStr">
        <is>
          <t>Sidebar for the DPO and the Administrator</t>
        </is>
      </c>
      <c r="C868" s="11" t="n">
        <v>2</v>
      </c>
      <c r="D868" s="11" t="inlineStr">
        <is>
          <t>Read the whole left-hand sidebar from top to bottom (section headings are shown in small capitals).</t>
        </is>
      </c>
      <c r="E868" s="11" t="inlineStr">
        <is>
          <t>In this order: YOUR WORK - Dashboard, Rights requests, Breaches, My tasks, Projects, Notices; GOVERNANCE - Approval documents, Purposes; CONSENT - Consents, Consent links, Collection sites; REGISTRY - Processors, Data sources; DATA MOVEMENT - Collections, Exports, Imports; OVERSIGHT - Audit trail, Users, Delegations, Message templates. There is no 'My profile' or 'Notifications' entry: 'My profile' is in the account menu (click your name at the top right) and notifications open from the bell in the header. A 'Sign out' button sits at the bottom.</t>
        </is>
      </c>
      <c r="F868" s="16" t="n"/>
      <c r="G868" s="16" t="n"/>
    </row>
    <row r="869">
      <c r="A869" s="10" t="inlineStr">
        <is>
          <t>OVS-05</t>
        </is>
      </c>
      <c r="B869" s="11" t="inlineStr">
        <is>
          <t>Sidebar for the DPO and the Administrator</t>
        </is>
      </c>
      <c r="C869" s="11" t="n">
        <v>3</v>
      </c>
      <c r="D869" s="11" t="inlineStr">
        <is>
          <t>Click each sidebar link in turn.</t>
        </is>
      </c>
      <c r="E869" s="11" t="inlineStr">
        <is>
          <t>Every link opens a page with its own heading. None shows 'We can't find that page' or 'Not part of your account'. The link for the open page is highlighted.</t>
        </is>
      </c>
      <c r="F869" s="16" t="n"/>
      <c r="G869" s="16" t="n"/>
    </row>
    <row r="870">
      <c r="A870" s="10" t="inlineStr">
        <is>
          <t>OVS-05</t>
        </is>
      </c>
      <c r="B870" s="11" t="inlineStr">
        <is>
          <t>Sidebar for the DPO and the Administrator</t>
        </is>
      </c>
      <c r="C870" s="11" t="n">
        <v>4</v>
      </c>
      <c r="D870" s="11" t="inlineStr">
        <is>
          <t>Click 'Sign out' at the bottom of the sidebar. Then sign in again as admin@cmp.local (password SeedPassw0rd!2026, code from the coordinator, 'Verify and continue').</t>
        </is>
      </c>
      <c r="E870" s="11" t="inlineStr">
        <is>
          <t>The Dashboard opens with the heading 'Good day, System' and the role badge 'Administrator'.</t>
        </is>
      </c>
      <c r="F870" s="16" t="n"/>
      <c r="G870" s="16" t="n"/>
    </row>
    <row r="871">
      <c r="A871" s="10" t="inlineStr">
        <is>
          <t>OVS-05</t>
        </is>
      </c>
      <c r="B871" s="11" t="inlineStr">
        <is>
          <t>Sidebar for the DPO and the Administrator</t>
        </is>
      </c>
      <c r="C871" s="11" t="n">
        <v>5</v>
      </c>
      <c r="D871" s="11" t="inlineStr">
        <is>
          <t>Read the whole sidebar.</t>
        </is>
      </c>
      <c r="E871" s="11" t="inlineStr">
        <is>
          <t>YOUR WORK - Dashboard, Users, Grievances about the DPO, Message templates, Processors, Data sources, Audit trail; OVERSIGHT - Delegations; YOU - My tasks.</t>
        </is>
      </c>
      <c r="F871" s="16" t="n"/>
      <c r="G871" s="16" t="n"/>
    </row>
    <row r="872">
      <c r="A872" s="10" t="inlineStr">
        <is>
          <t>OVS-05</t>
        </is>
      </c>
      <c r="B872" s="11" t="inlineStr">
        <is>
          <t>Sidebar for the DPO and the Administrator</t>
        </is>
      </c>
      <c r="C872" s="11" t="n">
        <v>6</v>
      </c>
      <c r="D872" s="11" t="inlineStr">
        <is>
          <t>Check what is absent for the administrator.</t>
        </is>
      </c>
      <c r="E872" s="11" t="inlineStr">
        <is>
          <t>There are no GOVERNANCE, CONSENT, REGISTRY or DATA MOVEMENT headings and no links to Projects, Approval documents, Notices, Purposes, Consents, Consent links, Collection sites, Collections, Exports or Imports. There is no 'Rights requests' link - that slot reads 'Grievances about the DPO'.</t>
        </is>
      </c>
      <c r="F872" s="16" t="n"/>
      <c r="G872" s="16" t="n"/>
    </row>
    <row r="873">
      <c r="A873" s="10" t="inlineStr">
        <is>
          <t>OVS-05</t>
        </is>
      </c>
      <c r="B873" s="11" t="inlineStr">
        <is>
          <t>Sidebar for the DPO and the Administrator</t>
        </is>
      </c>
      <c r="C873" s="11" t="n">
        <v>7</v>
      </c>
      <c r="D873" s="11" t="inlineStr">
        <is>
          <t>Click 'Grievances about the DPO'.</t>
        </is>
      </c>
      <c r="E873" s="11" t="inlineStr">
        <is>
          <t>A page headed 'Grievances about the DPO' opens.</t>
        </is>
      </c>
      <c r="F873" s="16" t="n"/>
      <c r="G873" s="16" t="n"/>
    </row>
    <row r="874">
      <c r="A874" s="10" t="inlineStr">
        <is>
          <t>OVS-05</t>
        </is>
      </c>
      <c r="B874" s="11" t="inlineStr">
        <is>
          <t>Sidebar for the DPO and the Administrator</t>
        </is>
      </c>
      <c r="C874" s="11" t="n">
        <v>8</v>
      </c>
      <c r="D874" s="11" t="inlineStr">
        <is>
          <t>Click each remaining administrator link in turn.</t>
        </is>
      </c>
      <c r="E874" s="11" t="inlineStr">
        <is>
          <t>Every link opens a page with its own heading; none shows 'We can't find that page' or 'Not part of your account'.</t>
        </is>
      </c>
      <c r="F874" s="16" t="n"/>
      <c r="G874" s="16" t="n"/>
    </row>
    <row r="875">
      <c r="A875" s="10" t="inlineStr">
        <is>
          <t>OVS-06</t>
        </is>
      </c>
      <c r="B875" s="11" t="inlineStr">
        <is>
          <t>Sidebar for DCO, DCO Admin and RCO has no Audit trail</t>
        </is>
      </c>
      <c r="C875" s="11" t="n">
        <v>1</v>
      </c>
      <c r="D875" s="11" t="inlineStr">
        <is>
          <t>Open http://localhost:3000. Type dco@cmp.local in 'Email or username' and SeedPassw0rd!2026 in 'Password', click 'Sign in'. On the 'Verify it is you' page type the six-digit code the test coordinator relays into '6-digit code' and click 'Verify and continue'.</t>
        </is>
      </c>
      <c r="E875" s="11" t="inlineStr">
        <is>
          <t>You land on the Dashboard with the heading 'Good day, Arun'. The top right of the header shows the person's name with the role badge 'Data Collection Owner'.</t>
        </is>
      </c>
      <c r="F875" s="16" t="n"/>
      <c r="G875" s="16" t="n"/>
    </row>
    <row r="876">
      <c r="A876" s="10" t="inlineStr">
        <is>
          <t>OVS-06</t>
        </is>
      </c>
      <c r="B876" s="11" t="inlineStr">
        <is>
          <t>Sidebar for DCO, DCO Admin and RCO has no Audit trail</t>
        </is>
      </c>
      <c r="C876" s="11" t="n">
        <v>2</v>
      </c>
      <c r="D876" s="11" t="inlineStr">
        <is>
          <t>Read the whole sidebar.</t>
        </is>
      </c>
      <c r="E876" s="11" t="inlineStr">
        <is>
          <t>YOUR WORK - Dashboard, My projects, Collection sites, Consent links, My tasks, Collections; CONSENT - Consents; REGISTRY - Data sources; DATA MOVEMENT - Exports, Imports; OVERSIGHT - Delegations. 'My profile' is in the account menu and notifications open from the bell in the header.</t>
        </is>
      </c>
      <c r="F876" s="16" t="n"/>
      <c r="G876" s="16" t="n"/>
    </row>
    <row r="877">
      <c r="A877" s="10" t="inlineStr">
        <is>
          <t>OVS-06</t>
        </is>
      </c>
      <c r="B877" s="11" t="inlineStr">
        <is>
          <t>Sidebar for DCO, DCO Admin and RCO has no Audit trail</t>
        </is>
      </c>
      <c r="C877" s="11" t="n">
        <v>3</v>
      </c>
      <c r="D877" s="11" t="inlineStr">
        <is>
          <t>Look under OVERSIGHT and the rest of the sidebar for oversight and governance links.</t>
        </is>
      </c>
      <c r="E877" s="11" t="inlineStr">
        <is>
          <t>OVERSIGHT holds only 'Delegations'. There is no 'Audit trail', 'Users', 'Rights requests' or 'Message templates', and no 'Approval documents', 'Notices', 'Purposes' or 'Processors' anywhere in the sidebar.</t>
        </is>
      </c>
      <c r="F877" s="16" t="n"/>
      <c r="G877" s="16" t="n"/>
    </row>
    <row r="878">
      <c r="A878" s="10" t="inlineStr">
        <is>
          <t>OVS-06</t>
        </is>
      </c>
      <c r="B878" s="11" t="inlineStr">
        <is>
          <t>Sidebar for DCO, DCO Admin and RCO has no Audit trail</t>
        </is>
      </c>
      <c r="C878" s="11" t="n">
        <v>4</v>
      </c>
      <c r="D878" s="11" t="inlineStr">
        <is>
          <t>Click each sidebar link in turn.</t>
        </is>
      </c>
      <c r="E878" s="11" t="inlineStr">
        <is>
          <t>Every link opens a page with its own heading; none shows 'We can't find that page' or 'Not part of your account'.</t>
        </is>
      </c>
      <c r="F878" s="16" t="n"/>
      <c r="G878" s="16" t="n"/>
    </row>
    <row r="879">
      <c r="A879" s="10" t="inlineStr">
        <is>
          <t>OVS-06</t>
        </is>
      </c>
      <c r="B879" s="11" t="inlineStr">
        <is>
          <t>Sidebar for DCO, DCO Admin and RCO has no Audit trail</t>
        </is>
      </c>
      <c r="C879" s="11" t="n">
        <v>5</v>
      </c>
      <c r="D879" s="11" t="inlineStr">
        <is>
          <t>Click 'Sign out' at the bottom of the sidebar. Then sign in again as dcoadmin@cmp.local (password SeedPassw0rd!2026, code from the coordinator, 'Verify and continue').</t>
        </is>
      </c>
      <c r="E879" s="11" t="inlineStr">
        <is>
          <t>The Dashboard opens with the heading 'Good day, Nikhil' and the role badge 'DCO Admin'.</t>
        </is>
      </c>
      <c r="F879" s="16" t="n"/>
      <c r="G879" s="16" t="n"/>
    </row>
    <row r="880">
      <c r="A880" s="10" t="inlineStr">
        <is>
          <t>OVS-06</t>
        </is>
      </c>
      <c r="B880" s="11" t="inlineStr">
        <is>
          <t>Sidebar for DCO, DCO Admin and RCO has no Audit trail</t>
        </is>
      </c>
      <c r="C880" s="11" t="n">
        <v>6</v>
      </c>
      <c r="D880" s="11" t="inlineStr">
        <is>
          <t>Read the whole sidebar and repeat the check for absent links.</t>
        </is>
      </c>
      <c r="E880" s="11" t="inlineStr">
        <is>
          <t>YOUR WORK - Dashboard, Collection sites, Data sources, My tasks, Consent links, Projects; CONSENT - Consents; DATA MOVEMENT - Collections, Exports, Imports; OVERSIGHT - Delegations. These are the DCO's pages in a different order, and the projects link reads 'Projects' (not 'My projects'). No 'Audit trail', 'Users', 'Rights requests', 'Message templates', 'Approval documents', 'Notices', 'Purposes' or 'Processors'.</t>
        </is>
      </c>
      <c r="F880" s="16" t="n"/>
      <c r="G880" s="16" t="n"/>
    </row>
    <row r="881">
      <c r="A881" s="10" t="inlineStr">
        <is>
          <t>OVS-06</t>
        </is>
      </c>
      <c r="B881" s="11" t="inlineStr">
        <is>
          <t>Sidebar for DCO, DCO Admin and RCO has no Audit trail</t>
        </is>
      </c>
      <c r="C881" s="11" t="n">
        <v>7</v>
      </c>
      <c r="D881" s="11" t="inlineStr">
        <is>
          <t>Click 'Sign out' at the bottom of the sidebar. Then sign in again as rco@cmp.local (password SeedPassw0rd!2026, code from the coordinator, 'Verify and continue').</t>
        </is>
      </c>
      <c r="E881" s="11" t="inlineStr">
        <is>
          <t>The Dashboard opens with the heading 'Good day, Meera' and the role badge 'R&amp;D Collection Owner'.</t>
        </is>
      </c>
      <c r="F881" s="16" t="n"/>
      <c r="G881" s="16" t="n"/>
    </row>
    <row r="882">
      <c r="A882" s="10" t="inlineStr">
        <is>
          <t>OVS-06</t>
        </is>
      </c>
      <c r="B882" s="11" t="inlineStr">
        <is>
          <t>Sidebar for DCO, DCO Admin and RCO has no Audit trail</t>
        </is>
      </c>
      <c r="C882" s="11" t="n">
        <v>8</v>
      </c>
      <c r="D882" s="11" t="inlineStr">
        <is>
          <t>Read the whole sidebar and repeat the check for absent links.</t>
        </is>
      </c>
      <c r="E882" s="11" t="inlineStr">
        <is>
          <t>Exactly the same links, in the same order, as the DCO (including 'My projects'); no 'Audit trail' and none of the other absent links.</t>
        </is>
      </c>
      <c r="F882" s="16" t="n"/>
      <c r="G882" s="16" t="n"/>
    </row>
    <row r="883">
      <c r="A883" s="10" t="inlineStr">
        <is>
          <t>OVS-07</t>
        </is>
      </c>
      <c r="B883" s="11" t="inlineStr">
        <is>
          <t>Sidebar for the R&amp;D User</t>
        </is>
      </c>
      <c r="C883" s="11" t="n">
        <v>1</v>
      </c>
      <c r="D883" s="11" t="inlineStr">
        <is>
          <t>Open http://localhost:3000. Type rnd@cmp.local in 'Email or username' and SeedPassw0rd!2026 in 'Password', click 'Sign in'. On the 'Verify it is you' page type the six-digit code the test coordinator relays into '6-digit code' and click 'Verify and continue'.</t>
        </is>
      </c>
      <c r="E883" s="11" t="inlineStr">
        <is>
          <t>You land on the Dashboard with the heading 'Good day, Kavya'. The top right of the header shows the person's name with the role badge 'R&amp;D User'.</t>
        </is>
      </c>
      <c r="F883" s="16" t="n"/>
      <c r="G883" s="16" t="n"/>
    </row>
    <row r="884">
      <c r="A884" s="10" t="inlineStr">
        <is>
          <t>OVS-07</t>
        </is>
      </c>
      <c r="B884" s="11" t="inlineStr">
        <is>
          <t>Sidebar for the R&amp;D User</t>
        </is>
      </c>
      <c r="C884" s="11" t="n">
        <v>2</v>
      </c>
      <c r="D884" s="11" t="inlineStr">
        <is>
          <t>Read the whole sidebar.</t>
        </is>
      </c>
      <c r="E884" s="11" t="inlineStr">
        <is>
          <t>YOUR WORK - Dashboard, My projects, Approval documents, My tasks, Notices; REGISTRY - Processors; DATA MOVEMENT - Collections, Imports. 'My profile' is in the account menu and notifications open from the bell in the header.</t>
        </is>
      </c>
      <c r="F884" s="16" t="n"/>
      <c r="G884" s="16" t="n"/>
    </row>
    <row r="885">
      <c r="A885" s="10" t="inlineStr">
        <is>
          <t>OVS-07</t>
        </is>
      </c>
      <c r="B885" s="11" t="inlineStr">
        <is>
          <t>Sidebar for the R&amp;D User</t>
        </is>
      </c>
      <c r="C885" s="11" t="n">
        <v>3</v>
      </c>
      <c r="D885" s="11" t="inlineStr">
        <is>
          <t>Check what is absent.</t>
        </is>
      </c>
      <c r="E885" s="11" t="inlineStr">
        <is>
          <t>There is no CONSENT heading and no OVERSIGHT heading. There are no links to Purposes, Consents, Consent links, Collection sites, Data sources, Exports, Rights requests, Audit trail, Users, Delegations or Message templates.</t>
        </is>
      </c>
      <c r="F885" s="16" t="n"/>
      <c r="G885" s="16" t="n"/>
    </row>
    <row r="886">
      <c r="A886" s="10" t="inlineStr">
        <is>
          <t>OVS-07</t>
        </is>
      </c>
      <c r="B886" s="11" t="inlineStr">
        <is>
          <t>Sidebar for the R&amp;D User</t>
        </is>
      </c>
      <c r="C886" s="11" t="n">
        <v>4</v>
      </c>
      <c r="D886" s="11" t="inlineStr">
        <is>
          <t>Click 'Notices'.</t>
        </is>
      </c>
      <c r="E886" s="11" t="inlineStr">
        <is>
          <t>A page headed 'Notices' opens (the R&amp;D User authors notices).</t>
        </is>
      </c>
      <c r="F886" s="16" t="n"/>
      <c r="G886" s="16" t="n"/>
    </row>
    <row r="887">
      <c r="A887" s="10" t="inlineStr">
        <is>
          <t>OVS-07</t>
        </is>
      </c>
      <c r="B887" s="11" t="inlineStr">
        <is>
          <t>Sidebar for the R&amp;D User</t>
        </is>
      </c>
      <c r="C887" s="11" t="n">
        <v>5</v>
      </c>
      <c r="D887" s="11" t="inlineStr">
        <is>
          <t>Click each remaining sidebar link in turn.</t>
        </is>
      </c>
      <c r="E887" s="11" t="inlineStr">
        <is>
          <t>Every link opens a page with its own heading; none shows 'We can't find that page' or 'Not part of your account'.</t>
        </is>
      </c>
      <c r="F887" s="16" t="n"/>
      <c r="G887" s="16" t="n"/>
    </row>
    <row r="888">
      <c r="A888" s="10" t="inlineStr">
        <is>
          <t>OVS-08</t>
        </is>
      </c>
      <c r="B888" s="11" t="inlineStr">
        <is>
          <t>Following a link to another role's section shows 'Not part of your account'</t>
        </is>
      </c>
      <c r="C888" s="11" t="n">
        <v>1</v>
      </c>
      <c r="D888" s="11" t="inlineStr">
        <is>
          <t>Open http://localhost:3000. Type dco@cmp.local in 'Email or username' and SeedPassw0rd!2026 in 'Password', click 'Sign in'. On the 'Verify it is you' page type the six-digit code the test coordinator relays into '6-digit code' and click 'Verify and continue'.</t>
        </is>
      </c>
      <c r="E888" s="11" t="inlineStr">
        <is>
          <t>You land on the Dashboard with the heading 'Good day, Arun'. The top right of the header shows the person's name with the role badge 'Data Collection Owner'.</t>
        </is>
      </c>
      <c r="F888" s="16" t="n"/>
      <c r="G888" s="16" t="n"/>
    </row>
    <row r="889">
      <c r="A889" s="10" t="inlineStr">
        <is>
          <t>OVS-08</t>
        </is>
      </c>
      <c r="B889" s="11" t="inlineStr">
        <is>
          <t>Following a link to another role's section shows 'Not part of your account'</t>
        </is>
      </c>
      <c r="C889" s="11" t="n">
        <v>2</v>
      </c>
      <c r="D889" s="11" t="inlineStr">
        <is>
          <t>In the browser address bar type http://localhost:3000/audit and press Enter.</t>
        </is>
      </c>
      <c r="E889" s="11" t="inlineStr">
        <is>
          <t>The sidebar and header are still shown, but the main area shows only an information box titled 'Not part of your account' with the text 'This section belongs to a different role, so there is nothing here for you. Nothing has gone wrong — the link you followed pointed at a staff console.' and a 'Back to your dashboard' button. No part of the other role's screen (no table, filters, buttons or data) is shown. There is no 'Export CSV' button, no filters and no audit entries.</t>
        </is>
      </c>
      <c r="F889" s="16" t="n"/>
      <c r="G889" s="16" t="n"/>
    </row>
    <row r="890">
      <c r="A890" s="10" t="inlineStr">
        <is>
          <t>OVS-08</t>
        </is>
      </c>
      <c r="B890" s="11" t="inlineStr">
        <is>
          <t>Following a link to another role's section shows 'Not part of your account'</t>
        </is>
      </c>
      <c r="C890" s="11" t="n">
        <v>3</v>
      </c>
      <c r="D890" s="11" t="inlineStr">
        <is>
          <t>Type http://localhost:3000/users and press Enter, then http://localhost:3000/notices.</t>
        </is>
      </c>
      <c r="E890" s="11" t="inlineStr">
        <is>
          <t>Both show the same 'Not part of your account' box instead of the account register or the notices list.</t>
        </is>
      </c>
      <c r="F890" s="16" t="n"/>
      <c r="G890" s="16" t="n"/>
    </row>
    <row r="891">
      <c r="A891" s="10" t="inlineStr">
        <is>
          <t>OVS-08</t>
        </is>
      </c>
      <c r="B891" s="11" t="inlineStr">
        <is>
          <t>Following a link to another role's section shows 'Not part of your account'</t>
        </is>
      </c>
      <c r="C891" s="11" t="n">
        <v>4</v>
      </c>
      <c r="D891" s="11" t="inlineStr">
        <is>
          <t>Type http://localhost:3000/audit?event_group=consent (or paste the audit link a DPO copied from a record page) and press Enter.</t>
        </is>
      </c>
      <c r="E891" s="11" t="inlineStr">
        <is>
          <t>The same 'Not part of your account' box; no pre-filtered entries or chips are shown.</t>
        </is>
      </c>
      <c r="F891" s="16" t="n"/>
      <c r="G891" s="16" t="n"/>
    </row>
    <row r="892">
      <c r="A892" s="10" t="inlineStr">
        <is>
          <t>OVS-08</t>
        </is>
      </c>
      <c r="B892" s="11" t="inlineStr">
        <is>
          <t>Following a link to another role's section shows 'Not part of your account'</t>
        </is>
      </c>
      <c r="C892" s="11" t="n">
        <v>5</v>
      </c>
      <c r="D892" s="11" t="inlineStr">
        <is>
          <t>Click 'Back to your dashboard'.</t>
        </is>
      </c>
      <c r="E892" s="11" t="inlineStr">
        <is>
          <t>Arun's Dashboard opens normally.</t>
        </is>
      </c>
      <c r="F892" s="16" t="n"/>
      <c r="G892" s="16" t="n"/>
    </row>
    <row r="893">
      <c r="A893" s="10" t="inlineStr">
        <is>
          <t>OVS-08</t>
        </is>
      </c>
      <c r="B893" s="11" t="inlineStr">
        <is>
          <t>Following a link to another role's section shows 'Not part of your account'</t>
        </is>
      </c>
      <c r="C893" s="11" t="n">
        <v>6</v>
      </c>
      <c r="D893" s="11" t="inlineStr">
        <is>
          <t>Click 'Sign out' at the bottom of the sidebar. Then sign in again as rnd@cmp.local (password SeedPassw0rd!2026, code from the coordinator, 'Verify and continue').</t>
        </is>
      </c>
      <c r="E893" s="11" t="inlineStr">
        <is>
          <t>The Dashboard opens with the heading 'Good day, Kavya' and the role badge 'R&amp;D User'.</t>
        </is>
      </c>
      <c r="F893" s="16" t="n"/>
      <c r="G893" s="16" t="n"/>
    </row>
    <row r="894">
      <c r="A894" s="10" t="inlineStr">
        <is>
          <t>OVS-08</t>
        </is>
      </c>
      <c r="B894" s="11" t="inlineStr">
        <is>
          <t>Following a link to another role's section shows 'Not part of your account'</t>
        </is>
      </c>
      <c r="C894" s="11" t="n">
        <v>7</v>
      </c>
      <c r="D894" s="11" t="inlineStr">
        <is>
          <t>Type http://localhost:3000/consents, then http://localhost:3000/exports, then http://localhost:3000/audit.</t>
        </is>
      </c>
      <c r="E894" s="11" t="inlineStr">
        <is>
          <t>Each shows the 'Not part of your account' box; no consent register, export list or audit trail is shown.</t>
        </is>
      </c>
      <c r="F894" s="16" t="n"/>
      <c r="G894" s="16" t="n"/>
    </row>
    <row r="895">
      <c r="A895" s="10" t="inlineStr">
        <is>
          <t>OVS-08</t>
        </is>
      </c>
      <c r="B895" s="11" t="inlineStr">
        <is>
          <t>Following a link to another role's section shows 'Not part of your account'</t>
        </is>
      </c>
      <c r="C895" s="11" t="n">
        <v>8</v>
      </c>
      <c r="D895" s="11" t="inlineStr">
        <is>
          <t>Click 'Sign out' at the bottom of the sidebar. Then sign in again as admin@cmp.local (password SeedPassw0rd!2026, code from the coordinator, 'Verify and continue').</t>
        </is>
      </c>
      <c r="E895" s="11" t="inlineStr">
        <is>
          <t>The Dashboard opens with the heading 'Good day, System' and the role badge 'Administrator'.</t>
        </is>
      </c>
      <c r="F895" s="16" t="n"/>
      <c r="G895" s="16" t="n"/>
    </row>
    <row r="896">
      <c r="A896" s="10" t="inlineStr">
        <is>
          <t>OVS-08</t>
        </is>
      </c>
      <c r="B896" s="11" t="inlineStr">
        <is>
          <t>Following a link to another role's section shows 'Not part of your account'</t>
        </is>
      </c>
      <c r="C896" s="11" t="n">
        <v>9</v>
      </c>
      <c r="D896" s="11" t="inlineStr">
        <is>
          <t>Type http://localhost:3000/projects, then http://localhost:3000/consents.</t>
        </is>
      </c>
      <c r="E896" s="11" t="inlineStr">
        <is>
          <t>Each shows the 'Not part of your account' box.</t>
        </is>
      </c>
      <c r="F896" s="16" t="n"/>
      <c r="G896" s="16" t="n"/>
    </row>
    <row r="897">
      <c r="A897" s="10" t="inlineStr">
        <is>
          <t>OVS-08</t>
        </is>
      </c>
      <c r="B897" s="11" t="inlineStr">
        <is>
          <t>Following a link to another role's section shows 'Not part of your account'</t>
        </is>
      </c>
      <c r="C897" s="11" t="n">
        <v>10</v>
      </c>
      <c r="D897" s="11" t="inlineStr">
        <is>
          <t>Sign out, sign in as rco@cmp.local, and type http://localhost:3000/approvals. Then type http://localhost:3000/sites.</t>
        </is>
      </c>
      <c r="E897" s="11" t="inlineStr">
        <is>
          <t>/approvals shows the 'Not part of your account' box. /sites (which IS in Meera's sidebar as 'Collection sites') opens normally - the guard only blocks sections the role does not have.</t>
        </is>
      </c>
      <c r="F897" s="16" t="n"/>
      <c r="G897" s="16" t="n"/>
    </row>
    <row r="898">
      <c r="A898" s="10" t="inlineStr">
        <is>
          <t>OVS-09</t>
        </is>
      </c>
      <c r="B898" s="11" t="inlineStr">
        <is>
          <t>DPO notifications include withdrawals and lockouts and every link opens</t>
        </is>
      </c>
      <c r="C898" s="11" t="n">
        <v>1</v>
      </c>
      <c r="D898" s="11" t="inlineStr">
        <is>
          <t>Open http://localhost:3000. Type dpo@cmp.local in 'Email or username' and SeedPassw0rd!2026 in 'Password', click 'Sign in'. On the 'Verify it is you' page type the six-digit code the test coordinator relays into '6-digit code' and click 'Verify and continue'.</t>
        </is>
      </c>
      <c r="E898" s="11" t="inlineStr">
        <is>
          <t>You land on the Dashboard with the heading 'Good day, Priya'. The top right of the header shows the person's name with the role badge 'DPO'.</t>
        </is>
      </c>
      <c r="F898" s="16" t="n"/>
      <c r="G898" s="16" t="n"/>
    </row>
    <row r="899">
      <c r="A899" s="10" t="inlineStr">
        <is>
          <t>OVS-09</t>
        </is>
      </c>
      <c r="B899" s="11" t="inlineStr">
        <is>
          <t>DPO notifications include withdrawals and lockouts and every link opens</t>
        </is>
      </c>
      <c r="C899" s="11" t="n">
        <v>2</v>
      </c>
      <c r="D899" s="11" t="inlineStr">
        <is>
          <t>Click the bell icon at the top right of the header (its label is 'Notifications').</t>
        </is>
      </c>
      <c r="E899" s="11" t="inlineStr">
        <is>
          <t>A page headed 'Notifications' opens with the text 'What has happened that concerns you, taken from the audit trail itself.' Entries are listed newest first; each shows an event name, how long ago, a one-line explanation, the record it concerns as a link, and 'by &lt;name&gt;'.</t>
        </is>
      </c>
      <c r="F899" s="16" t="n"/>
      <c r="G899" s="16" t="n"/>
    </row>
    <row r="900">
      <c r="A900" s="10" t="inlineStr">
        <is>
          <t>OVS-09</t>
        </is>
      </c>
      <c r="B900" s="11" t="inlineStr">
        <is>
          <t>DPO notifications include withdrawals and lockouts and every link opens</t>
        </is>
      </c>
      <c r="C900" s="11" t="n">
        <v>3</v>
      </c>
      <c r="D900" s="11" t="inlineStr">
        <is>
          <t>Find an entry titled 'Consent withdrawn'.</t>
        </is>
      </c>
      <c r="E900" s="11" t="inlineStr">
        <is>
          <t>Its explanation reads 'Consent was withdrawn. The earlier record still stands as evidence of what was agreed at the time.' Its record link reads 'Consent record: &lt;person's name&gt; — &lt;project&gt;' with the name readable.</t>
        </is>
      </c>
      <c r="F900" s="16" t="n"/>
      <c r="G900" s="16" t="n"/>
    </row>
    <row r="901">
      <c r="A901" s="10" t="inlineStr">
        <is>
          <t>OVS-09</t>
        </is>
      </c>
      <c r="B901" s="11" t="inlineStr">
        <is>
          <t>DPO notifications include withdrawals and lockouts and every link opens</t>
        </is>
      </c>
      <c r="C901" s="11" t="n">
        <v>4</v>
      </c>
      <c r="D901" s="11" t="inlineStr">
        <is>
          <t>Find an entry titled 'Auth login locked out' (from the precondition).</t>
        </is>
      </c>
      <c r="E901" s="11" t="inlineStr">
        <is>
          <t>Its explanation reads 'An account was locked after repeated failed sign-ins.' and its record link reads 'Account: &lt;name of the locked account&gt;'.</t>
        </is>
      </c>
      <c r="F901" s="16" t="n"/>
      <c r="G901" s="16" t="n"/>
    </row>
    <row r="902">
      <c r="A902" s="10" t="inlineStr">
        <is>
          <t>OVS-09</t>
        </is>
      </c>
      <c r="B902" s="11" t="inlineStr">
        <is>
          <t>DPO notifications include withdrawals and lockouts and every link opens</t>
        </is>
      </c>
      <c r="C902" s="11" t="n">
        <v>5</v>
      </c>
      <c r="D902" s="11" t="inlineStr">
        <is>
          <t>Click the body of the 'Consent withdrawn' entry (not the link).</t>
        </is>
      </c>
      <c r="E902" s="11" t="inlineStr">
        <is>
          <t>A dialog titled 'Consent withdrawn' opens showing 'What', 'When', 'Who', 'About', 'Event' (consent.withdrawn) and 'Record', the note 'This entry is append-only and part of a hash chain. ...', and the buttons 'Open consent record' and 'Close'.</t>
        </is>
      </c>
      <c r="F902" s="16" t="n"/>
      <c r="G902" s="16" t="n"/>
    </row>
    <row r="903">
      <c r="A903" s="10" t="inlineStr">
        <is>
          <t>OVS-09</t>
        </is>
      </c>
      <c r="B903" s="11" t="inlineStr">
        <is>
          <t>DPO notifications include withdrawals and lockouts and every link opens</t>
        </is>
      </c>
      <c r="C903" s="11" t="n">
        <v>6</v>
      </c>
      <c r="D903" s="11" t="inlineStr">
        <is>
          <t>Click 'Open consent record'.</t>
        </is>
      </c>
      <c r="E903" s="11" t="inlineStr">
        <is>
          <t>The consent record page opens, headed with the person's name and an 'All consents' back link - not 'Not part of your account' and not 'We can't find that page'.</t>
        </is>
      </c>
      <c r="F903" s="16" t="n"/>
      <c r="G903" s="16" t="n"/>
    </row>
    <row r="904">
      <c r="A904" s="10" t="inlineStr">
        <is>
          <t>OVS-09</t>
        </is>
      </c>
      <c r="B904" s="11" t="inlineStr">
        <is>
          <t>DPO notifications include withdrawals and lockouts and every link opens</t>
        </is>
      </c>
      <c r="C904" s="11" t="n">
        <v>7</v>
      </c>
      <c r="D904" s="11" t="inlineStr">
        <is>
          <t>Go back to 'Notifications' and click the 'Account: ...' link on the lockout entry.</t>
        </is>
      </c>
      <c r="E904" s="11" t="inlineStr">
        <is>
          <t>The 'Users' page opens.</t>
        </is>
      </c>
      <c r="F904" s="16" t="n"/>
      <c r="G904" s="16" t="n"/>
    </row>
    <row r="905">
      <c r="A905" s="10" t="inlineStr">
        <is>
          <t>OVS-09</t>
        </is>
      </c>
      <c r="B905" s="11" t="inlineStr">
        <is>
          <t>DPO notifications include withdrawals and lockouts and every link opens</t>
        </is>
      </c>
      <c r="C905" s="11" t="n">
        <v>8</v>
      </c>
      <c r="D905" s="11" t="inlineStr">
        <is>
          <t>Go back and click the record link on one entry of each other kind shown (e.g. 'Project transitioned', 'Notice published', 'Import rejected', 'Export generated', ticket events).</t>
        </is>
      </c>
      <c r="E905" s="11" t="inlineStr">
        <is>
          <t>Each link opens a page the DPO can use; none shows 'Not part of your account' or 'We can't find that page'.</t>
        </is>
      </c>
      <c r="F905" s="16" t="n"/>
      <c r="G905" s="16" t="n"/>
    </row>
    <row r="906">
      <c r="A906" s="10" t="inlineStr">
        <is>
          <t>OVS-10</t>
        </is>
      </c>
      <c r="B906" s="11" t="inlineStr">
        <is>
          <t>Administrator notifications show lockouts but not consent withdrawals</t>
        </is>
      </c>
      <c r="C906" s="11" t="n">
        <v>1</v>
      </c>
      <c r="D906" s="11" t="inlineStr">
        <is>
          <t>Open http://localhost:3000. Type admin@cmp.local in 'Email or username' and SeedPassw0rd!2026 in 'Password', click 'Sign in'. On the 'Verify it is you' page type the six-digit code the test coordinator relays into '6-digit code' and click 'Verify and continue'.</t>
        </is>
      </c>
      <c r="E906" s="11" t="inlineStr">
        <is>
          <t>You land on the Dashboard with the heading 'Good day, System'. The top right of the header shows the person's name with the role badge 'Administrator'.</t>
        </is>
      </c>
      <c r="F906" s="16" t="n"/>
      <c r="G906" s="16" t="n"/>
    </row>
    <row r="907">
      <c r="A907" s="10" t="inlineStr">
        <is>
          <t>OVS-10</t>
        </is>
      </c>
      <c r="B907" s="11" t="inlineStr">
        <is>
          <t>Administrator notifications show lockouts but not consent withdrawals</t>
        </is>
      </c>
      <c r="C907" s="11" t="n">
        <v>2</v>
      </c>
      <c r="D907" s="11" t="inlineStr">
        <is>
          <t>Click the bell icon at the top right of the header.</t>
        </is>
      </c>
      <c r="E907" s="11" t="inlineStr">
        <is>
          <t>The 'Notifications' page opens.</t>
        </is>
      </c>
      <c r="F907" s="16" t="n"/>
      <c r="G907" s="16" t="n"/>
    </row>
    <row r="908">
      <c r="A908" s="10" t="inlineStr">
        <is>
          <t>OVS-10</t>
        </is>
      </c>
      <c r="B908" s="11" t="inlineStr">
        <is>
          <t>Administrator notifications show lockouts but not consent withdrawals</t>
        </is>
      </c>
      <c r="C908" s="11" t="n">
        <v>3</v>
      </c>
      <c r="D908" s="11" t="inlineStr">
        <is>
          <t>Find the 'Auth login locked out' entry for the account locked in the precondition.</t>
        </is>
      </c>
      <c r="E908" s="11" t="inlineStr">
        <is>
          <t>It is listed with 'An account was locked after repeated failed sign-ins.' and the link 'Account: &lt;name&gt;'.</t>
        </is>
      </c>
      <c r="F908" s="16" t="n"/>
      <c r="G908" s="16" t="n"/>
    </row>
    <row r="909">
      <c r="A909" s="10" t="inlineStr">
        <is>
          <t>OVS-10</t>
        </is>
      </c>
      <c r="B909" s="11" t="inlineStr">
        <is>
          <t>Administrator notifications show lockouts but not consent withdrawals</t>
        </is>
      </c>
      <c r="C909" s="11" t="n">
        <v>4</v>
      </c>
      <c r="D909" s="11" t="inlineStr">
        <is>
          <t>Scroll the whole list looking for 'Consent withdrawn'.</t>
        </is>
      </c>
      <c r="E909" s="11" t="inlineStr">
        <is>
          <t>There is no 'Consent withdrawn' entry at all, even though the DPO sees one.</t>
        </is>
      </c>
      <c r="F909" s="16" t="n"/>
      <c r="G909" s="16" t="n"/>
    </row>
    <row r="910">
      <c r="A910" s="10" t="inlineStr">
        <is>
          <t>OVS-10</t>
        </is>
      </c>
      <c r="B910" s="11" t="inlineStr">
        <is>
          <t>Administrator notifications show lockouts but not consent withdrawals</t>
        </is>
      </c>
      <c r="C910" s="11" t="n">
        <v>5</v>
      </c>
      <c r="D910" s="11" t="inlineStr">
        <is>
          <t>Scroll the list looking for project events.</t>
        </is>
      </c>
      <c r="E910" s="11" t="inlineStr">
        <is>
          <t>There are no 'Project transitioned', 'Notice published', 'Import rejected' or 'Export generated' entries - the administrator cannot open projects. Only lockouts and events on tickets addressed to the administrator appear (or 'Nothing to report' if none).</t>
        </is>
      </c>
      <c r="F910" s="16" t="n"/>
      <c r="G910" s="16" t="n"/>
    </row>
    <row r="911">
      <c r="A911" s="10" t="inlineStr">
        <is>
          <t>OVS-10</t>
        </is>
      </c>
      <c r="B911" s="11" t="inlineStr">
        <is>
          <t>Administrator notifications show lockouts but not consent withdrawals</t>
        </is>
      </c>
      <c r="C911" s="11" t="n">
        <v>6</v>
      </c>
      <c r="D911" s="11" t="inlineStr">
        <is>
          <t>Click the 'Account: &lt;name&gt;' link on the lockout entry.</t>
        </is>
      </c>
      <c r="E911" s="11" t="inlineStr">
        <is>
          <t>The 'Users' page opens (a page the administrator can use).</t>
        </is>
      </c>
      <c r="F911" s="16" t="n"/>
      <c r="G911" s="16" t="n"/>
    </row>
    <row r="912">
      <c r="A912" s="10" t="inlineStr">
        <is>
          <t>OVS-10</t>
        </is>
      </c>
      <c r="B912" s="11" t="inlineStr">
        <is>
          <t>Administrator notifications show lockouts but not consent withdrawals</t>
        </is>
      </c>
      <c r="C912" s="11" t="n">
        <v>7</v>
      </c>
      <c r="D912" s="11" t="inlineStr">
        <is>
          <t>Go back, click the body of the lockout entry, then 'Close'.</t>
        </is>
      </c>
      <c r="E912" s="11" t="inlineStr">
        <is>
          <t>A dialog titled 'Auth login locked out' shows 'What', 'When', 'Who', 'Event' (auth.login_locked_out) and 'Record'; 'Close' dismisses it.</t>
        </is>
      </c>
      <c r="F912" s="16" t="n"/>
      <c r="G912" s="16" t="n"/>
    </row>
    <row r="913">
      <c r="A913" s="10" t="inlineStr">
        <is>
          <t>OVS-11</t>
        </is>
      </c>
      <c r="B913" s="11" t="inlineStr">
        <is>
          <t>DCO and R&amp;D User notifications cover only projects they can see</t>
        </is>
      </c>
      <c r="C913" s="11" t="n">
        <v>1</v>
      </c>
      <c r="D913" s="11" t="inlineStr">
        <is>
          <t>Open http://localhost:3000. Type dco@cmp.local in 'Email or username' and SeedPassw0rd!2026 in 'Password', click 'Sign in'. On the 'Verify it is you' page type the six-digit code the test coordinator relays into '6-digit code' and click 'Verify and continue'.</t>
        </is>
      </c>
      <c r="E913" s="11" t="inlineStr">
        <is>
          <t>You land on the Dashboard with the heading 'Good day, Arun'. The top right of the header shows the person's name with the role badge 'Data Collection Owner'.</t>
        </is>
      </c>
      <c r="F913" s="16" t="n"/>
      <c r="G913" s="16" t="n"/>
    </row>
    <row r="914">
      <c r="A914" s="10" t="inlineStr">
        <is>
          <t>OVS-11</t>
        </is>
      </c>
      <c r="B914" s="11" t="inlineStr">
        <is>
          <t>DCO and R&amp;D User notifications cover only projects they can see</t>
        </is>
      </c>
      <c r="C914" s="11" t="n">
        <v>2</v>
      </c>
      <c r="D914" s="11" t="inlineStr">
        <is>
          <t>Click the bell icon in the header to open 'Notifications', and read the list.</t>
        </is>
      </c>
      <c r="E914" s="11" t="inlineStr">
        <is>
          <t>Entries are only of these kinds: 'Project transitioned', 'Notice published', 'Import rejected', 'Export generated', plus events on tickets addressed to Arun. Each names a project (or a notice, import or export on one).</t>
        </is>
      </c>
      <c r="F914" s="16" t="n"/>
      <c r="G914" s="16" t="n"/>
    </row>
    <row r="915">
      <c r="A915" s="10" t="inlineStr">
        <is>
          <t>OVS-11</t>
        </is>
      </c>
      <c r="B915" s="11" t="inlineStr">
        <is>
          <t>DCO and R&amp;D User notifications cover only projects they can see</t>
        </is>
      </c>
      <c r="C915" s="11" t="n">
        <v>3</v>
      </c>
      <c r="D915" s="11" t="inlineStr">
        <is>
          <t>Look for 'Consent withdrawn' and 'Auth login locked out' entries.</t>
        </is>
      </c>
      <c r="E915" s="11" t="inlineStr">
        <is>
          <t>Neither appears, although the DPO's feed shows both.</t>
        </is>
      </c>
      <c r="F915" s="16" t="n"/>
      <c r="G915" s="16" t="n"/>
    </row>
    <row r="916">
      <c r="A916" s="10" t="inlineStr">
        <is>
          <t>OVS-11</t>
        </is>
      </c>
      <c r="B916" s="11" t="inlineStr">
        <is>
          <t>DCO and R&amp;D User notifications cover only projects they can see</t>
        </is>
      </c>
      <c r="C916" s="11" t="n">
        <v>4</v>
      </c>
      <c r="D916" s="11" t="inlineStr">
        <is>
          <t>Note the project named on two entries, then click 'My projects' in the sidebar.</t>
        </is>
      </c>
      <c r="E916" s="11" t="inlineStr">
        <is>
          <t>Both projects are in Arun's projects list - no entry concerns a project he cannot see.</t>
        </is>
      </c>
      <c r="F916" s="16" t="n"/>
      <c r="G916" s="16" t="n"/>
    </row>
    <row r="917">
      <c r="A917" s="10" t="inlineStr">
        <is>
          <t>OVS-11</t>
        </is>
      </c>
      <c r="B917" s="11" t="inlineStr">
        <is>
          <t>DCO and R&amp;D User notifications cover only projects they can see</t>
        </is>
      </c>
      <c r="C917" s="11" t="n">
        <v>5</v>
      </c>
      <c r="D917" s="11" t="inlineStr">
        <is>
          <t>Back on 'Notifications', click a 'Project: &lt;name&gt;' link, then an 'Export' link on an 'Export generated' entry (if present).</t>
        </is>
      </c>
      <c r="E917" s="11" t="inlineStr">
        <is>
          <t>The project page and the 'Exports' page open normally.</t>
        </is>
      </c>
      <c r="F917" s="16" t="n"/>
      <c r="G917" s="16" t="n"/>
    </row>
    <row r="918">
      <c r="A918" s="10" t="inlineStr">
        <is>
          <t>OVS-11</t>
        </is>
      </c>
      <c r="B918" s="11" t="inlineStr">
        <is>
          <t>DCO and R&amp;D User notifications cover only projects they can see</t>
        </is>
      </c>
      <c r="C918" s="11" t="n">
        <v>6</v>
      </c>
      <c r="D918" s="11" t="inlineStr">
        <is>
          <t>If a 'Notice published' entry is present, click its 'Notice: ...' link (or 'Open notice' in its dialog).</t>
        </is>
      </c>
      <c r="E918" s="11" t="inlineStr">
        <is>
          <t>A page Arun can use opens. It must NOT show 'Not part of your account' (the rule is that no notification link leads to a page the reader cannot open). If it does, record a defect.</t>
        </is>
      </c>
      <c r="F918" s="16" t="n"/>
      <c r="G918" s="16" t="n"/>
    </row>
    <row r="919">
      <c r="A919" s="10" t="inlineStr">
        <is>
          <t>OVS-11</t>
        </is>
      </c>
      <c r="B919" s="11" t="inlineStr">
        <is>
          <t>DCO and R&amp;D User notifications cover only projects they can see</t>
        </is>
      </c>
      <c r="C919" s="11" t="n">
        <v>7</v>
      </c>
      <c r="D919" s="11" t="inlineStr">
        <is>
          <t>Click 'Sign out' at the bottom of the sidebar. Then sign in again as rnd@cmp.local (password SeedPassw0rd!2026, code from the coordinator, 'Verify and continue').</t>
        </is>
      </c>
      <c r="E919" s="11" t="inlineStr">
        <is>
          <t>The Dashboard opens with the heading 'Good day, Kavya' and the role badge 'R&amp;D User'.</t>
        </is>
      </c>
      <c r="F919" s="16" t="n"/>
      <c r="G919" s="16" t="n"/>
    </row>
    <row r="920">
      <c r="A920" s="10" t="inlineStr">
        <is>
          <t>OVS-11</t>
        </is>
      </c>
      <c r="B920" s="11" t="inlineStr">
        <is>
          <t>DCO and R&amp;D User notifications cover only projects they can see</t>
        </is>
      </c>
      <c r="C920" s="11" t="n">
        <v>8</v>
      </c>
      <c r="D920" s="11" t="inlineStr">
        <is>
          <t>Click the bell icon in the header and read the 'Notifications' list.</t>
        </is>
      </c>
      <c r="E920" s="11" t="inlineStr">
        <is>
          <t>Only events on projects Kavya created (and her tickets); no 'Consent withdrawn' and no 'Auth login locked out'.</t>
        </is>
      </c>
      <c r="F920" s="16" t="n"/>
      <c r="G920" s="16" t="n"/>
    </row>
    <row r="921">
      <c r="A921" s="10" t="inlineStr">
        <is>
          <t>OVS-11</t>
        </is>
      </c>
      <c r="B921" s="11" t="inlineStr">
        <is>
          <t>DCO and R&amp;D User notifications cover only projects they can see</t>
        </is>
      </c>
      <c r="C921" s="11" t="n">
        <v>9</v>
      </c>
      <c r="D921" s="11" t="inlineStr">
        <is>
          <t>Click the record link on each entry shown, including any 'Export generated' entry's 'Export' link.</t>
        </is>
      </c>
      <c r="E921" s="11" t="inlineStr">
        <is>
          <t>Each opens a page Kavya can use. None may show 'Not part of your account' (R&amp;D Users have no Exports section, so an export link that lands there is a defect).</t>
        </is>
      </c>
      <c r="F921" s="16" t="n"/>
      <c r="G921" s="16" t="n"/>
    </row>
    <row r="922">
      <c r="A922" s="10" t="inlineStr">
        <is>
          <t>OVS-12</t>
        </is>
      </c>
      <c r="B922" s="11" t="inlineStr">
        <is>
          <t>Filter the audit trail by area, event, actor role, record type and period</t>
        </is>
      </c>
      <c r="C922" s="11" t="n">
        <v>1</v>
      </c>
      <c r="D922" s="11" t="inlineStr">
        <is>
          <t>Open http://localhost:3000. Type dpo@cmp.local in 'Email or username' and SeedPassw0rd!2026 in 'Password', click 'Sign in'. On the 'Verify it is you' page type the six-digit code the test coordinator relays into '6-digit code' and click 'Verify and continue'.</t>
        </is>
      </c>
      <c r="E922" s="11" t="inlineStr">
        <is>
          <t>You land on the Dashboard with the heading 'Good day, Priya'. The top right of the header shows the person's name with the role badge 'DPO'.</t>
        </is>
      </c>
      <c r="F922" s="16" t="n"/>
      <c r="G922" s="16" t="n"/>
    </row>
    <row r="923">
      <c r="A923" s="10" t="inlineStr">
        <is>
          <t>OVS-12</t>
        </is>
      </c>
      <c r="B923" s="11" t="inlineStr">
        <is>
          <t>Filter the audit trail by area, event, actor role, record type and period</t>
        </is>
      </c>
      <c r="C923" s="11" t="n">
        <v>2</v>
      </c>
      <c r="D923" s="11" t="inlineStr">
        <is>
          <t>Click 'Audit trail' under OVERSIGHT in the sidebar.</t>
        </is>
      </c>
      <c r="E923" s="11" t="inlineStr">
        <is>
          <t>The page headed 'Audit trail' opens with the text 'Append-only and hash-chained. Nothing here can be edited or deleted by anyone, including the Privacy Office. Ask it a question: about a person, a record, an area, a period.' Buttons 'Export CSV' and 'Verify chain' are at the top right. The filter panel has 'Search', 'About', 'Name, email or mobile', 'Area', 'Event', 'Record type', 'Actor role', 'From' and 'To'. The table has the columns 'When', 'Event', 'Actor', 'About', 'Record'. There is no edit or delete control anywhere.</t>
        </is>
      </c>
      <c r="F923" s="16" t="n"/>
      <c r="G923" s="16" t="n"/>
    </row>
    <row r="924">
      <c r="A924" s="10" t="inlineStr">
        <is>
          <t>OVS-12</t>
        </is>
      </c>
      <c r="B924" s="11" t="inlineStr">
        <is>
          <t>Filter the audit trail by area, event, actor role, record type and period</t>
        </is>
      </c>
      <c r="C924" s="11" t="n">
        <v>3</v>
      </c>
      <c r="D924" s="11" t="inlineStr">
        <is>
          <t>In 'Area' choose 'Sign-in and access'.</t>
        </is>
      </c>
      <c r="E924" s="11" t="inlineStr">
        <is>
          <t>A 'Filtered by' strip appears with the chip 'Area Sign-in and access'. Every row's Event starts with 'Auth' (e.g. 'Auth login succeeded'). The address bar now contains event_group=auth.</t>
        </is>
      </c>
      <c r="F924" s="16" t="n"/>
      <c r="G924" s="16" t="n"/>
    </row>
    <row r="925">
      <c r="A925" s="10" t="inlineStr">
        <is>
          <t>OVS-12</t>
        </is>
      </c>
      <c r="B925" s="11" t="inlineStr">
        <is>
          <t>Filter the audit trail by area, event, actor role, record type and period</t>
        </is>
      </c>
      <c r="C925" s="11" t="n">
        <v>4</v>
      </c>
      <c r="D925" s="11" t="inlineStr">
        <is>
          <t>Open 'Event'.</t>
        </is>
      </c>
      <c r="E925" s="11" t="inlineStr">
        <is>
          <t>The first option reads 'Every event in this area' and the list holds only sign-in and access events (e.g. 'Access denied', 'Login failed', 'Login locked out').</t>
        </is>
      </c>
      <c r="F925" s="16" t="n"/>
      <c r="G925" s="16" t="n"/>
    </row>
    <row r="926">
      <c r="A926" s="10" t="inlineStr">
        <is>
          <t>OVS-12</t>
        </is>
      </c>
      <c r="B926" s="11" t="inlineStr">
        <is>
          <t>Filter the audit trail by area, event, actor role, record type and period</t>
        </is>
      </c>
      <c r="C926" s="11" t="n">
        <v>5</v>
      </c>
      <c r="D926" s="11" t="inlineStr">
        <is>
          <t>Choose 'Access denied'.</t>
        </is>
      </c>
      <c r="E926" s="11" t="inlineStr">
        <is>
          <t>The chip changes to 'Event Access denied' (the Area chip is replaced). Every row is 'Auth access denied' with the line 'A request was refused by the permission matrix.'</t>
        </is>
      </c>
      <c r="F926" s="16" t="n"/>
      <c r="G926" s="16" t="n"/>
    </row>
    <row r="927">
      <c r="A927" s="10" t="inlineStr">
        <is>
          <t>OVS-12</t>
        </is>
      </c>
      <c r="B927" s="11" t="inlineStr">
        <is>
          <t>Filter the audit trail by area, event, actor role, record type and period</t>
        </is>
      </c>
      <c r="C927" s="11" t="n">
        <v>6</v>
      </c>
      <c r="D927" s="11" t="inlineStr">
        <is>
          <t>Click the small x on the 'Event' chip. Then in 'Actor role' choose 'Admin'.</t>
        </is>
      </c>
      <c r="E927" s="11" t="inlineStr">
        <is>
          <t>The Event filter is removed. A chip 'Actor role Admin' appears and every row's Actor carries the badge 'Administrator'.</t>
        </is>
      </c>
      <c r="F927" s="16" t="n"/>
      <c r="G927" s="16" t="n"/>
    </row>
    <row r="928">
      <c r="A928" s="10" t="inlineStr">
        <is>
          <t>OVS-12</t>
        </is>
      </c>
      <c r="B928" s="11" t="inlineStr">
        <is>
          <t>Filter the audit trail by area, event, actor role, record type and period</t>
        </is>
      </c>
      <c r="C928" s="11" t="n">
        <v>7</v>
      </c>
      <c r="D928" s="11" t="inlineStr">
        <is>
          <t>In 'Record type' choose 'Project'.</t>
        </is>
      </c>
      <c r="E928" s="11" t="inlineStr">
        <is>
          <t>A second chip 'Record type Project' appears next to 'Actor role Admin', and a 'Clear all' button appears. Every row's Record reads 'Project: &lt;name&gt;' (or 'Nothing matches these filters' if the administrator never touched a project).</t>
        </is>
      </c>
      <c r="F928" s="16" t="n"/>
      <c r="G928" s="16" t="n"/>
    </row>
    <row r="929">
      <c r="A929" s="10" t="inlineStr">
        <is>
          <t>OVS-12</t>
        </is>
      </c>
      <c r="B929" s="11" t="inlineStr">
        <is>
          <t>Filter the audit trail by area, event, actor role, record type and period</t>
        </is>
      </c>
      <c r="C929" s="11" t="n">
        <v>8</v>
      </c>
      <c r="D929" s="11" t="inlineStr">
        <is>
          <t>Click 'Clear all'. Then set 'From' and 'To' to today's date.</t>
        </is>
      </c>
      <c r="E929" s="11" t="inlineStr">
        <is>
          <t>All earlier chips disappear. Chips 'From &lt;date&gt;' and 'To &lt;date&gt;' appear and every row's 'When' falls on today.</t>
        </is>
      </c>
      <c r="F929" s="16" t="n"/>
      <c r="G929" s="16" t="n"/>
    </row>
    <row r="930">
      <c r="A930" s="10" t="inlineStr">
        <is>
          <t>OVS-12</t>
        </is>
      </c>
      <c r="B930" s="11" t="inlineStr">
        <is>
          <t>Filter the audit trail by area, event, actor role, record type and period</t>
        </is>
      </c>
      <c r="C930" s="11" t="n">
        <v>9</v>
      </c>
      <c r="D930" s="11" t="inlineStr">
        <is>
          <t>Copy the address from the address bar, open a new tab, paste it and press Enter.</t>
        </is>
      </c>
      <c r="E930" s="11" t="inlineStr">
        <is>
          <t>The new tab shows the same filters, the same chips and the same rows - the question can be bookmarked or shared.</t>
        </is>
      </c>
      <c r="F930" s="16" t="n"/>
      <c r="G930" s="16" t="n"/>
    </row>
    <row r="931">
      <c r="A931" s="10" t="inlineStr">
        <is>
          <t>OVS-12</t>
        </is>
      </c>
      <c r="B931" s="11" t="inlineStr">
        <is>
          <t>Filter the audit trail by area, event, actor role, record type and period</t>
        </is>
      </c>
      <c r="C931" s="11" t="n">
        <v>10</v>
      </c>
      <c r="D931" s="11" t="inlineStr">
        <is>
          <t>Remove the 'From' chip only, using its x.</t>
        </is>
      </c>
      <c r="E931" s="11" t="inlineStr">
        <is>
          <t>Only the From filter is removed; the 'To' chip stays. Under the table, 'Showing &lt;n&gt; of &lt;total&gt;' and 'Previous' / 'Next' buttons page through results.</t>
        </is>
      </c>
      <c r="F931" s="16" t="n"/>
      <c r="G931" s="16" t="n"/>
    </row>
    <row r="932">
      <c r="A932" s="10" t="inlineStr">
        <is>
          <t>OVS-13</t>
        </is>
      </c>
      <c r="B932" s="11" t="inlineStr">
        <is>
          <t>About picker finds a person by part of a name or a whole email</t>
        </is>
      </c>
      <c r="C932" s="11" t="n">
        <v>1</v>
      </c>
      <c r="D932" s="11" t="inlineStr">
        <is>
          <t>Open http://localhost:3000. Type dpo@cmp.local in 'Email or username' and SeedPassw0rd!2026 in 'Password', click 'Sign in'. On the 'Verify it is you' page type the six-digit code the test coordinator relays into '6-digit code' and click 'Verify and continue'.</t>
        </is>
      </c>
      <c r="E932" s="11" t="inlineStr">
        <is>
          <t>You land on the Dashboard with the heading 'Good day, Priya'. The top right of the header shows the person's name with the role badge 'DPO'.</t>
        </is>
      </c>
      <c r="F932" s="16" t="n"/>
      <c r="G932" s="16" t="n"/>
    </row>
    <row r="933">
      <c r="A933" s="10" t="inlineStr">
        <is>
          <t>OVS-13</t>
        </is>
      </c>
      <c r="B933" s="11" t="inlineStr">
        <is>
          <t>About picker finds a person by part of a name or a whole email</t>
        </is>
      </c>
      <c r="C933" s="11" t="n">
        <v>2</v>
      </c>
      <c r="D933" s="11" t="inlineStr">
        <is>
          <t>Click 'Audit trail'. Open the 'About' dropdown.</t>
        </is>
      </c>
      <c r="E933" s="11" t="inlineStr">
        <is>
          <t>It offers 'Data principal', 'Member of staff', 'Consent record', 'Processor', 'Data source', 'Project', 'Notice', 'Collection site', 'Rights request'. 'Data principal' is selected and the box beside it is labelled 'Name, email or mobile' with the grey hint 'The whole address or number'.</t>
        </is>
      </c>
      <c r="F933" s="16" t="n"/>
      <c r="G933" s="16" t="n"/>
    </row>
    <row r="934">
      <c r="A934" s="10" t="inlineStr">
        <is>
          <t>OVS-13</t>
        </is>
      </c>
      <c r="B934" s="11" t="inlineStr">
        <is>
          <t>About picker finds a person by part of a name or a whole email</t>
        </is>
      </c>
      <c r="C934" s="11" t="n">
        <v>3</v>
      </c>
      <c r="D934" s="11" t="inlineStr">
        <is>
          <t>With 'Data principal' selected, type Anj (three letters) in 'Name, email or mobile'.</t>
        </is>
      </c>
      <c r="E934" s="11" t="inlineStr">
        <is>
          <t>A list opens under the box ('Looking…' briefly) and offers 'Anjali Verma' with 'subject@cmp.local' beneath it, both readable. Other people whose names contain those letters may also be offered.</t>
        </is>
      </c>
      <c r="F934" s="16" t="n"/>
      <c r="G934" s="16" t="n"/>
    </row>
    <row r="935">
      <c r="A935" s="10" t="inlineStr">
        <is>
          <t>OVS-13</t>
        </is>
      </c>
      <c r="B935" s="11" t="inlineStr">
        <is>
          <t>About picker finds a person by part of a name or a whole email</t>
        </is>
      </c>
      <c r="C935" s="11" t="n">
        <v>4</v>
      </c>
      <c r="D935" s="11" t="inlineStr">
        <is>
          <t>Click 'Anjali Verma'.</t>
        </is>
      </c>
      <c r="E935" s="11" t="inlineStr">
        <is>
          <t>The box clears. A chip 'Data principal Anjali Verma' appears under 'Filtered by', every row's 'About' column reads 'Anjali Verma', and the summary numbers change to her events only.</t>
        </is>
      </c>
      <c r="F935" s="16" t="n"/>
      <c r="G935" s="16" t="n"/>
    </row>
    <row r="936">
      <c r="A936" s="10" t="inlineStr">
        <is>
          <t>OVS-13</t>
        </is>
      </c>
      <c r="B936" s="11" t="inlineStr">
        <is>
          <t>About picker finds a person by part of a name or a whole email</t>
        </is>
      </c>
      <c r="C936" s="11" t="n">
        <v>5</v>
      </c>
      <c r="D936" s="11" t="inlineStr">
        <is>
          <t>Remove the chip. Type the middle of her surname, Verm, and pick 'Anjali Verma' again.</t>
        </is>
      </c>
      <c r="E936" s="11" t="inlineStr">
        <is>
          <t>She is offered and the same chip returns - part of a name anywhere in it works.</t>
        </is>
      </c>
      <c r="F936" s="16" t="n"/>
      <c r="G936" s="16" t="n"/>
    </row>
    <row r="937">
      <c r="A937" s="10" t="inlineStr">
        <is>
          <t>OVS-13</t>
        </is>
      </c>
      <c r="B937" s="11" t="inlineStr">
        <is>
          <t>About picker finds a person by part of a name or a whole email</t>
        </is>
      </c>
      <c r="C937" s="11" t="n">
        <v>6</v>
      </c>
      <c r="D937" s="11" t="inlineStr">
        <is>
          <t>Remove the chip. Type her whole email subject@cmp.local.</t>
        </is>
      </c>
      <c r="E937" s="11" t="inlineStr">
        <is>
          <t>'Anjali Verma' is offered; picking her gives the same chip.</t>
        </is>
      </c>
      <c r="F937" s="16" t="n"/>
      <c r="G937" s="16" t="n"/>
    </row>
    <row r="938">
      <c r="A938" s="10" t="inlineStr">
        <is>
          <t>OVS-13</t>
        </is>
      </c>
      <c r="B938" s="11" t="inlineStr">
        <is>
          <t>About picker finds a person by part of a name or a whole email</t>
        </is>
      </c>
      <c r="C938" s="11" t="n">
        <v>7</v>
      </c>
      <c r="D938" s="11" t="inlineStr">
        <is>
          <t>Change 'About' to 'Member of staff' and type Priya, then pick 'Priya Menon'.</t>
        </is>
      </c>
      <c r="E938" s="11" t="inlineStr">
        <is>
          <t>'Priya Menon' is offered with the hint 'dpo'. After picking, the Data principal chip is replaced by 'Actor Priya Menon' (the two are not stacked) and every row's Actor reads 'Priya Menon' with the 'DPO' badge.</t>
        </is>
      </c>
      <c r="F938" s="16" t="n"/>
      <c r="G938" s="16" t="n"/>
    </row>
    <row r="939">
      <c r="A939" s="10" t="inlineStr">
        <is>
          <t>OVS-13</t>
        </is>
      </c>
      <c r="B939" s="11" t="inlineStr">
        <is>
          <t>About picker finds a person by part of a name or a whole email</t>
        </is>
      </c>
      <c r="C939" s="11" t="n">
        <v>8</v>
      </c>
      <c r="D939" s="11" t="inlineStr">
        <is>
          <t>Still on 'Member of staff', type the whole address dco@cmp.local and pick the answer.</t>
        </is>
      </c>
      <c r="E939" s="11" t="inlineStr">
        <is>
          <t>'Arun Shetty' (hint 'dco') is offered; the chip becomes 'Actor Arun Shetty'.</t>
        </is>
      </c>
      <c r="F939" s="16" t="n"/>
      <c r="G939" s="16" t="n"/>
    </row>
    <row r="940">
      <c r="A940" s="10" t="inlineStr">
        <is>
          <t>OVS-13</t>
        </is>
      </c>
      <c r="B940" s="11" t="inlineStr">
        <is>
          <t>About picker finds a person by part of a name or a whole email</t>
        </is>
      </c>
      <c r="C940" s="11" t="n">
        <v>9</v>
      </c>
      <c r="D940" s="11" t="inlineStr">
        <is>
          <t>Change 'About' to 'Project'.</t>
        </is>
      </c>
      <c r="E940" s="11" t="inlineStr">
        <is>
          <t>The box label changes to 'Name' with the hint 'Type a few letters'. Typing part of a known project name offers matching projects with their status beneath; picking one gives a chip 'Project &lt;name&gt;'.</t>
        </is>
      </c>
      <c r="F940" s="16" t="n"/>
      <c r="G940" s="16" t="n"/>
    </row>
    <row r="941">
      <c r="A941" s="10" t="inlineStr">
        <is>
          <t>OVS-14</t>
        </is>
      </c>
      <c r="B941" s="11" t="inlineStr">
        <is>
          <t>About picker does not match two letters or part of an email</t>
        </is>
      </c>
      <c r="C941" s="11" t="n">
        <v>1</v>
      </c>
      <c r="D941" s="11" t="inlineStr">
        <is>
          <t>Open http://localhost:3000. Type dpo@cmp.local in 'Email or username' and SeedPassw0rd!2026 in 'Password', click 'Sign in'. On the 'Verify it is you' page type the six-digit code the test coordinator relays into '6-digit code' and click 'Verify and continue'.</t>
        </is>
      </c>
      <c r="E941" s="11" t="inlineStr">
        <is>
          <t>You land on the Dashboard with the heading 'Good day, Priya'. The top right of the header shows the person's name with the role badge 'DPO'.</t>
        </is>
      </c>
      <c r="F941" s="16" t="n"/>
      <c r="G941" s="16" t="n"/>
    </row>
    <row r="942">
      <c r="A942" s="10" t="inlineStr">
        <is>
          <t>OVS-14</t>
        </is>
      </c>
      <c r="B942" s="11" t="inlineStr">
        <is>
          <t>About picker does not match two letters or part of an email</t>
        </is>
      </c>
      <c r="C942" s="11" t="n">
        <v>2</v>
      </c>
      <c r="D942" s="11" t="inlineStr">
        <is>
          <t>Click 'Audit trail'. With 'About' set to 'Data principal', type An (two letters) in 'Name, email or mobile'.</t>
        </is>
      </c>
      <c r="E942" s="11" t="inlineStr">
        <is>
          <t>The list under the box says 'Nothing by that name.' No one is offered and no filter or chip is applied. (Two letters are too few; a name needs three or more. Note: the screen does not currently say 'type more letters' - record the wording you see.)</t>
        </is>
      </c>
      <c r="F942" s="16" t="n"/>
      <c r="G942" s="16" t="n"/>
    </row>
    <row r="943">
      <c r="A943" s="10" t="inlineStr">
        <is>
          <t>OVS-14</t>
        </is>
      </c>
      <c r="B943" s="11" t="inlineStr">
        <is>
          <t>About picker does not match two letters or part of an email</t>
        </is>
      </c>
      <c r="C943" s="11" t="n">
        <v>3</v>
      </c>
      <c r="D943" s="11" t="inlineStr">
        <is>
          <t>Add one letter so the box reads Anj.</t>
        </is>
      </c>
      <c r="E943" s="11" t="inlineStr">
        <is>
          <t>'Anjali Verma' is now offered - the control case works.</t>
        </is>
      </c>
      <c r="F943" s="16" t="n"/>
      <c r="G943" s="16" t="n"/>
    </row>
    <row r="944">
      <c r="A944" s="10" t="inlineStr">
        <is>
          <t>OVS-14</t>
        </is>
      </c>
      <c r="B944" s="11" t="inlineStr">
        <is>
          <t>About picker does not match two letters or part of an email</t>
        </is>
      </c>
      <c r="C944" s="11" t="n">
        <v>4</v>
      </c>
      <c r="D944" s="11" t="inlineStr">
        <is>
          <t>Clear the box and type part of her email: subject@cmp</t>
        </is>
      </c>
      <c r="E944" s="11" t="inlineStr">
        <is>
          <t>'Nothing by that name.' - an email or mobile must be typed whole.</t>
        </is>
      </c>
      <c r="F944" s="16" t="n"/>
      <c r="G944" s="16" t="n"/>
    </row>
    <row r="945">
      <c r="A945" s="10" t="inlineStr">
        <is>
          <t>OVS-14</t>
        </is>
      </c>
      <c r="B945" s="11" t="inlineStr">
        <is>
          <t>About picker does not match two letters or part of an email</t>
        </is>
      </c>
      <c r="C945" s="11" t="n">
        <v>5</v>
      </c>
      <c r="D945" s="11" t="inlineStr">
        <is>
          <t>Change 'About' to 'Member of staff' and type Pr.</t>
        </is>
      </c>
      <c r="E945" s="11" t="inlineStr">
        <is>
          <t>'Nothing by that name.'</t>
        </is>
      </c>
      <c r="F945" s="16" t="n"/>
      <c r="G945" s="16" t="n"/>
    </row>
    <row r="946">
      <c r="A946" s="10" t="inlineStr">
        <is>
          <t>OVS-14</t>
        </is>
      </c>
      <c r="B946" s="11" t="inlineStr">
        <is>
          <t>About picker does not match two letters or part of an email</t>
        </is>
      </c>
      <c r="C946" s="11" t="n">
        <v>6</v>
      </c>
      <c r="D946" s="11" t="inlineStr">
        <is>
          <t>Clear the About box. Set 'From' to 21 September 2026, type Anjali in 'Search' and click 'Search'.</t>
        </is>
      </c>
      <c r="E946" s="11" t="inlineStr">
        <is>
          <t>No entry is found by her name through 'Search' ('Nothing matches these filters' / 'Widen the question: remove a filter, or extend the dates.'), because Search reads event names and recorded details, which carry no names. Use About to find a person.</t>
        </is>
      </c>
      <c r="F946" s="16" t="n"/>
      <c r="G946" s="16" t="n"/>
    </row>
    <row r="947">
      <c r="A947" s="10" t="inlineStr">
        <is>
          <t>OVS-15</t>
        </is>
      </c>
      <c r="B947" s="11" t="inlineStr">
        <is>
          <t>Summary strip, opening an entry and verifying the chain</t>
        </is>
      </c>
      <c r="C947" s="11" t="n">
        <v>1</v>
      </c>
      <c r="D947" s="11" t="inlineStr">
        <is>
          <t>Open http://localhost:3000. Type dpo@cmp.local in 'Email or username' and SeedPassw0rd!2026 in 'Password', click 'Sign in'. On the 'Verify it is you' page type the six-digit code the test coordinator relays into '6-digit code' and click 'Verify and continue'.</t>
        </is>
      </c>
      <c r="E947" s="11" t="inlineStr">
        <is>
          <t>You land on the Dashboard with the heading 'Good day, Priya'. The top right of the header shows the person's name with the role badge 'DPO'.</t>
        </is>
      </c>
      <c r="F947" s="16" t="n"/>
      <c r="G947" s="16" t="n"/>
    </row>
    <row r="948">
      <c r="A948" s="10" t="inlineStr">
        <is>
          <t>OVS-15</t>
        </is>
      </c>
      <c r="B948" s="11" t="inlineStr">
        <is>
          <t>Summary strip, opening an entry and verifying the chain</t>
        </is>
      </c>
      <c r="C948" s="11" t="n">
        <v>2</v>
      </c>
      <c r="D948" s="11" t="inlineStr">
        <is>
          <t>Click 'Audit trail' and look at the summary card above the table (no filters set).</t>
        </is>
      </c>
      <c r="E948" s="11" t="inlineStr">
        <is>
          <t>It shows 'Entries' (a number), 'Span' ('&lt;date&gt; to &lt;date&gt;'), 'Most common event' ('&lt;Area&gt;: &lt;Event&gt; (&lt;count&gt;)') and 'Areas touched' (a number), and four panels: 'By area', 'Top events', 'By actor role' and 'Last 30 days · &lt;n&gt; entries', each with bars and numbers.</t>
        </is>
      </c>
      <c r="F948" s="16" t="n"/>
      <c r="G948" s="16" t="n"/>
    </row>
    <row r="949">
      <c r="A949" s="10" t="inlineStr">
        <is>
          <t>OVS-15</t>
        </is>
      </c>
      <c r="B949" s="11" t="inlineStr">
        <is>
          <t>Summary strip, opening an entry and verifying the chain</t>
        </is>
      </c>
      <c r="C949" s="11" t="n">
        <v>3</v>
      </c>
      <c r="D949" s="11" t="inlineStr">
        <is>
          <t>Compare 'Entries' with the line under the table.</t>
        </is>
      </c>
      <c r="E949" s="11" t="inlineStr">
        <is>
          <t>'Showing 50 of &lt;total&gt;' - the total equals 'Entries'.</t>
        </is>
      </c>
      <c r="F949" s="16" t="n"/>
      <c r="G949" s="16" t="n"/>
    </row>
    <row r="950">
      <c r="A950" s="10" t="inlineStr">
        <is>
          <t>OVS-15</t>
        </is>
      </c>
      <c r="B950" s="11" t="inlineStr">
        <is>
          <t>Summary strip, opening an entry and verifying the chain</t>
        </is>
      </c>
      <c r="C950" s="11" t="n">
        <v>4</v>
      </c>
      <c r="D950" s="11" t="inlineStr">
        <is>
          <t>In 'Area' choose 'Consent'.</t>
        </is>
      </c>
      <c r="E950" s="11" t="inlineStr">
        <is>
          <t>The summary recalculates: 'Areas touched' is 1, 'By area' lists only 'Consent', and 'Entries' again equals the '&lt;total&gt;' under the table.</t>
        </is>
      </c>
      <c r="F950" s="16" t="n"/>
      <c r="G950" s="16" t="n"/>
    </row>
    <row r="951">
      <c r="A951" s="10" t="inlineStr">
        <is>
          <t>OVS-15</t>
        </is>
      </c>
      <c r="B951" s="11" t="inlineStr">
        <is>
          <t>Summary strip, opening an entry and verifying the chain</t>
        </is>
      </c>
      <c r="C951" s="11" t="n">
        <v>5</v>
      </c>
      <c r="D951" s="11" t="inlineStr">
        <is>
          <t>Click any row in the table.</t>
        </is>
      </c>
      <c r="E951" s="11" t="inlineStr">
        <is>
          <t>A dialog opens titled with the event name (e.g. 'Consent given') and shows 'What', 'When', 'Who' (a name with role badge, or 'the system — no signed-in user'), 'About' (when a person is concerned), 'Event' (a code such as consent.given) and 'Record' (a long id); a 'Recorded details' list; the note 'This entry is append-only and part of a hash chain. Nobody — including the Privacy Office — can edit or delete it; the database refuses the statement.' There is no Edit or Delete button.</t>
        </is>
      </c>
      <c r="F951" s="16" t="n"/>
      <c r="G951" s="16" t="n"/>
    </row>
    <row r="952">
      <c r="A952" s="10" t="inlineStr">
        <is>
          <t>OVS-15</t>
        </is>
      </c>
      <c r="B952" s="11" t="inlineStr">
        <is>
          <t>Summary strip, opening an entry and verifying the chain</t>
        </is>
      </c>
      <c r="C952" s="11" t="n">
        <v>6</v>
      </c>
      <c r="D952" s="11" t="inlineStr">
        <is>
          <t>Click 'Show raw JSON', then 'Show as a list'.</t>
        </is>
      </c>
      <c r="E952" s="11" t="inlineStr">
        <is>
          <t>The details switch to raw JSON text and back to the labelled list.</t>
        </is>
      </c>
      <c r="F952" s="16" t="n"/>
      <c r="G952" s="16" t="n"/>
    </row>
    <row r="953">
      <c r="A953" s="10" t="inlineStr">
        <is>
          <t>OVS-15</t>
        </is>
      </c>
      <c r="B953" s="11" t="inlineStr">
        <is>
          <t>Summary strip, opening an entry and verifying the chain</t>
        </is>
      </c>
      <c r="C953" s="11" t="n">
        <v>7</v>
      </c>
      <c r="D953" s="11" t="inlineStr">
        <is>
          <t>Click 'Open consent record' in the dialog.</t>
        </is>
      </c>
      <c r="E953" s="11" t="inlineStr">
        <is>
          <t>The consent record page opens. Use Back to return to the filtered audit trail.</t>
        </is>
      </c>
      <c r="F953" s="16" t="n"/>
      <c r="G953" s="16" t="n"/>
    </row>
    <row r="954">
      <c r="A954" s="10" t="inlineStr">
        <is>
          <t>OVS-15</t>
        </is>
      </c>
      <c r="B954" s="11" t="inlineStr">
        <is>
          <t>Summary strip, opening an entry and verifying the chain</t>
        </is>
      </c>
      <c r="C954" s="11" t="n">
        <v>8</v>
      </c>
      <c r="D954" s="11" t="inlineStr">
        <is>
          <t>Click 'Verify chain' at the top right.</t>
        </is>
      </c>
      <c r="E954" s="11" t="inlineStr">
        <is>
          <t>A green box titled 'Chain intact' appears reading 'Chain intact across &lt;n&gt; rows.' (A red 'Chain broken' box is a defect to report immediately.)</t>
        </is>
      </c>
      <c r="F954" s="16" t="n"/>
      <c r="G954" s="16" t="n"/>
    </row>
    <row r="955">
      <c r="A955" s="10" t="inlineStr">
        <is>
          <t>OVS-16</t>
        </is>
      </c>
      <c r="B955" s="11" t="inlineStr">
        <is>
          <t>Export CSV downloads the filtered rows and the export is itself recorded</t>
        </is>
      </c>
      <c r="C955" s="11" t="n">
        <v>1</v>
      </c>
      <c r="D955" s="11" t="inlineStr">
        <is>
          <t>Open http://localhost:3000. Type dpo@cmp.local in 'Email or username' and SeedPassw0rd!2026 in 'Password', click 'Sign in'. On the 'Verify it is you' page type the six-digit code the test coordinator relays into '6-digit code' and click 'Verify and continue'.</t>
        </is>
      </c>
      <c r="E955" s="11" t="inlineStr">
        <is>
          <t>You land on the Dashboard with the heading 'Good day, Priya'. The top right of the header shows the person's name with the role badge 'DPO'.</t>
        </is>
      </c>
      <c r="F955" s="16" t="n"/>
      <c r="G955" s="16" t="n"/>
    </row>
    <row r="956">
      <c r="A956" s="10" t="inlineStr">
        <is>
          <t>OVS-16</t>
        </is>
      </c>
      <c r="B956" s="11" t="inlineStr">
        <is>
          <t>Export CSV downloads the filtered rows and the export is itself recorded</t>
        </is>
      </c>
      <c r="C956" s="11" t="n">
        <v>2</v>
      </c>
      <c r="D956" s="11" t="inlineStr">
        <is>
          <t>Click 'Audit trail', choose 'Consent' in 'Area' and note the 'Entries' number in the summary.</t>
        </is>
      </c>
      <c r="E956" s="11" t="inlineStr">
        <is>
          <t>Chip 'Area Consent'; the rows are consent events only.</t>
        </is>
      </c>
      <c r="F956" s="16" t="n"/>
      <c r="G956" s="16" t="n"/>
    </row>
    <row r="957">
      <c r="A957" s="10" t="inlineStr">
        <is>
          <t>OVS-16</t>
        </is>
      </c>
      <c r="B957" s="11" t="inlineStr">
        <is>
          <t>Export CSV downloads the filtered rows and the export is itself recorded</t>
        </is>
      </c>
      <c r="C957" s="11" t="n">
        <v>3</v>
      </c>
      <c r="D957" s="11" t="inlineStr">
        <is>
          <t>Click 'Export CSV'.</t>
        </is>
      </c>
      <c r="E957" s="11" t="inlineStr">
        <is>
          <t>A message 'Audit trail exported' appears with '&lt;audit-trail-YYYYMMDD-HHMM.csv&gt; - the download is itself recorded in the trail.' A file with that name is saved to the browser's downloads.</t>
        </is>
      </c>
      <c r="F957" s="16" t="n"/>
      <c r="G957" s="16" t="n"/>
    </row>
    <row r="958">
      <c r="A958" s="10" t="inlineStr">
        <is>
          <t>OVS-16</t>
        </is>
      </c>
      <c r="B958" s="11" t="inlineStr">
        <is>
          <t>Export CSV downloads the filtered rows and the export is itself recorded</t>
        </is>
      </c>
      <c r="C958" s="11" t="n">
        <v>4</v>
      </c>
      <c r="D958" s="11" t="inlineStr">
        <is>
          <t>Open the file.</t>
        </is>
      </c>
      <c r="E958" s="11" t="inlineStr">
        <is>
          <t>The first row holds the column names occurred_at, event_type, actor_name, actor_role, subject_name, entity_type, entity_id, entity_label, detail, log_uuid. Rows are newest first, every event_type starts 'consent.', and the number of data rows equals the 'Entries' number (up to 10,000).</t>
        </is>
      </c>
      <c r="F958" s="16" t="n"/>
      <c r="G958" s="16" t="n"/>
    </row>
    <row r="959">
      <c r="A959" s="10" t="inlineStr">
        <is>
          <t>OVS-16</t>
        </is>
      </c>
      <c r="B959" s="11" t="inlineStr">
        <is>
          <t>Export CSV downloads the filtered rows and the export is itself recorded</t>
        </is>
      </c>
      <c r="C959" s="11" t="n">
        <v>5</v>
      </c>
      <c r="D959" s="11" t="inlineStr">
        <is>
          <t>Search the file for '@', for a mobile number and for '127.0.0.1'.</t>
        </is>
      </c>
      <c r="E959" s="11" t="inlineStr">
        <is>
          <t>No email address, mobile number or IP address appears anywhere in the file.</t>
        </is>
      </c>
      <c r="F959" s="16" t="n"/>
      <c r="G959" s="16" t="n"/>
    </row>
    <row r="960">
      <c r="A960" s="10" t="inlineStr">
        <is>
          <t>OVS-16</t>
        </is>
      </c>
      <c r="B960" s="11" t="inlineStr">
        <is>
          <t>Export CSV downloads the filtered rows and the export is itself recorded</t>
        </is>
      </c>
      <c r="C960" s="11" t="n">
        <v>6</v>
      </c>
      <c r="D960" s="11" t="inlineStr">
        <is>
          <t>Look at the actor_name and subject_name columns.</t>
        </is>
      </c>
      <c r="E960" s="11" t="inlineStr">
        <is>
          <t>Names are readable (e.g. 'Anjali Verma') or blank; no cell starts with 'SE::'. If scrambled 'SE::...' text appears, record a defect quoting one cell.</t>
        </is>
      </c>
      <c r="F960" s="16" t="n"/>
      <c r="G960" s="16" t="n"/>
    </row>
    <row r="961">
      <c r="A961" s="10" t="inlineStr">
        <is>
          <t>OVS-16</t>
        </is>
      </c>
      <c r="B961" s="11" t="inlineStr">
        <is>
          <t>Export CSV downloads the filtered rows and the export is itself recorded</t>
        </is>
      </c>
      <c r="C961" s="11" t="n">
        <v>7</v>
      </c>
      <c r="D961" s="11" t="inlineStr">
        <is>
          <t>Back in the console click 'Clear all' (or remove the chip), then choose Area 'Audit trail' and Event 'Exported'.</t>
        </is>
      </c>
      <c r="E961" s="11" t="inlineStr">
        <is>
          <t>The newest row is 'Audit exported' by 'Priya Menon' with the 'DPO' badge, timed at the moment of the download.</t>
        </is>
      </c>
      <c r="F961" s="16" t="n"/>
      <c r="G961" s="16" t="n"/>
    </row>
    <row r="962">
      <c r="A962" s="10" t="inlineStr">
        <is>
          <t>OVS-16</t>
        </is>
      </c>
      <c r="B962" s="11" t="inlineStr">
        <is>
          <t>Export CSV downloads the filtered rows and the export is itself recorded</t>
        </is>
      </c>
      <c r="C962" s="11" t="n">
        <v>8</v>
      </c>
      <c r="D962" s="11" t="inlineStr">
        <is>
          <t>Click that row.</t>
        </is>
      </c>
      <c r="E962" s="11" t="inlineStr">
        <is>
          <t>The dialog 'Audit exported' shows 'Who' Priya Menon and, under 'Recorded details', 'Rows' equal to the file's data rows and 'Filters' showing the filter used (event_group consent). 'What' shows 'audit_log#0' with the words 'no longer exists' - the export is recorded against the trail itself, which has no page of its own (note this wording as an observation, not a failure).</t>
        </is>
      </c>
      <c r="F962" s="16" t="n"/>
      <c r="G962" s="16" t="n"/>
    </row>
    <row r="963">
      <c r="A963" s="10" t="inlineStr">
        <is>
          <t>OVS-17</t>
        </is>
      </c>
      <c r="B963" s="11" t="inlineStr">
        <is>
          <t>'Audit trail' button on a record page opens the trail pre-filtered; absent for other roles</t>
        </is>
      </c>
      <c r="C963" s="11" t="n">
        <v>1</v>
      </c>
      <c r="D963" s="11" t="inlineStr">
        <is>
          <t>Open http://localhost:3000. Type dpo@cmp.local in 'Email or username' and SeedPassw0rd!2026 in 'Password', click 'Sign in'. On the 'Verify it is you' page type the six-digit code the test coordinator relays into '6-digit code' and click 'Verify and continue'.</t>
        </is>
      </c>
      <c r="E963" s="11" t="inlineStr">
        <is>
          <t>You land on the Dashboard with the heading 'Good day, Priya'. The top right of the header shows the person's name with the role badge 'DPO'.</t>
        </is>
      </c>
      <c r="F963" s="16" t="n"/>
      <c r="G963" s="16" t="n"/>
    </row>
    <row r="964">
      <c r="A964" s="10" t="inlineStr">
        <is>
          <t>OVS-17</t>
        </is>
      </c>
      <c r="B964" s="11" t="inlineStr">
        <is>
          <t>'Audit trail' button on a record page opens the trail pre-filtered; absent for other roles</t>
        </is>
      </c>
      <c r="C964" s="11" t="n">
        <v>2</v>
      </c>
      <c r="D964" s="11" t="inlineStr">
        <is>
          <t>Click 'Consents' and click a person's name in the 'Data subject' column (e.g. Anjali Verma).</t>
        </is>
      </c>
      <c r="E964" s="11" t="inlineStr">
        <is>
          <t>The consent record opens, headed with the person's readable name, '&lt;project&gt; · &lt;site&gt;' underneath, a status badge and an 'Audit trail' button at the top right.</t>
        </is>
      </c>
      <c r="F964" s="16" t="n"/>
      <c r="G964" s="16" t="n"/>
    </row>
    <row r="965">
      <c r="A965" s="10" t="inlineStr">
        <is>
          <t>OVS-17</t>
        </is>
      </c>
      <c r="B965" s="11" t="inlineStr">
        <is>
          <t>'Audit trail' button on a record page opens the trail pre-filtered; absent for other roles</t>
        </is>
      </c>
      <c r="C965" s="11" t="n">
        <v>3</v>
      </c>
      <c r="D965" s="11" t="inlineStr">
        <is>
          <t>Click 'Audit trail'. Copy the address bar for OVS-08.</t>
        </is>
      </c>
      <c r="E965" s="11" t="inlineStr">
        <is>
          <t>The Audit trail page opens with the chip 'Consent record &lt;name&gt; — &lt;project&gt;'. The rows are only events on that record (e.g. 'Consent given'); each Record cell reads 'Consent record: &lt;name&gt; — &lt;project&gt;'; the summary counts only them.</t>
        </is>
      </c>
      <c r="F965" s="16" t="n"/>
      <c r="G965" s="16" t="n"/>
    </row>
    <row r="966">
      <c r="A966" s="10" t="inlineStr">
        <is>
          <t>OVS-17</t>
        </is>
      </c>
      <c r="B966" s="11" t="inlineStr">
        <is>
          <t>'Audit trail' button on a record page opens the trail pre-filtered; absent for other roles</t>
        </is>
      </c>
      <c r="C966" s="11" t="n">
        <v>4</v>
      </c>
      <c r="D966" s="11" t="inlineStr">
        <is>
          <t>Click 'Projects', open any project and click its 'Audit trail' button (next to the status badge).</t>
        </is>
      </c>
      <c r="E966" s="11" t="inlineStr">
        <is>
          <t>The trail opens with the chip 'Project &lt;project name&gt;' and events such as 'Project created' or 'Project transitioned'.</t>
        </is>
      </c>
      <c r="F966" s="16" t="n"/>
      <c r="G966" s="16" t="n"/>
    </row>
    <row r="967">
      <c r="A967" s="10" t="inlineStr">
        <is>
          <t>OVS-17</t>
        </is>
      </c>
      <c r="B967" s="11" t="inlineStr">
        <is>
          <t>'Audit trail' button on a record page opens the trail pre-filtered; absent for other roles</t>
        </is>
      </c>
      <c r="C967" s="11" t="n">
        <v>5</v>
      </c>
      <c r="D967" s="11" t="inlineStr">
        <is>
          <t>Click 'Notices', open a notice and click 'Audit trail'.</t>
        </is>
      </c>
      <c r="E967" s="11" t="inlineStr">
        <is>
          <t>The trail opens with the chip 'Notice &lt;code&gt; v&lt;version&gt;'.</t>
        </is>
      </c>
      <c r="F967" s="16" t="n"/>
      <c r="G967" s="16" t="n"/>
    </row>
    <row r="968">
      <c r="A968" s="10" t="inlineStr">
        <is>
          <t>OVS-17</t>
        </is>
      </c>
      <c r="B968" s="11" t="inlineStr">
        <is>
          <t>'Audit trail' button on a record page opens the trail pre-filtered; absent for other roles</t>
        </is>
      </c>
      <c r="C968" s="11" t="n">
        <v>6</v>
      </c>
      <c r="D968" s="11" t="inlineStr">
        <is>
          <t>Click 'Rights requests', open a request by its 'Reference' and click 'Audit trail'.</t>
        </is>
      </c>
      <c r="E968" s="11" t="inlineStr">
        <is>
          <t>The trail opens with the chip 'Rights request &lt;reference&gt;'.</t>
        </is>
      </c>
      <c r="F968" s="16" t="n"/>
      <c r="G968" s="16" t="n"/>
    </row>
    <row r="969">
      <c r="A969" s="10" t="inlineStr">
        <is>
          <t>OVS-17</t>
        </is>
      </c>
      <c r="B969" s="11" t="inlineStr">
        <is>
          <t>'Audit trail' button on a record page opens the trail pre-filtered; absent for other roles</t>
        </is>
      </c>
      <c r="C969" s="11" t="n">
        <v>7</v>
      </c>
      <c r="D969" s="11" t="inlineStr">
        <is>
          <t>Click 'Sign out' at the bottom of the sidebar. Then sign in again as dco@cmp.local (password SeedPassw0rd!2026, code from the coordinator, 'Verify and continue').</t>
        </is>
      </c>
      <c r="E969" s="11" t="inlineStr">
        <is>
          <t>The Dashboard opens with the heading 'Good day, Arun' and the role badge 'Data Collection Owner'.</t>
        </is>
      </c>
      <c r="F969" s="16" t="n"/>
      <c r="G969" s="16" t="n"/>
    </row>
    <row r="970">
      <c r="A970" s="10" t="inlineStr">
        <is>
          <t>OVS-17</t>
        </is>
      </c>
      <c r="B970" s="11" t="inlineStr">
        <is>
          <t>'Audit trail' button on a record page opens the trail pre-filtered; absent for other roles</t>
        </is>
      </c>
      <c r="C970" s="11" t="n">
        <v>8</v>
      </c>
      <c r="D970" s="11" t="inlineStr">
        <is>
          <t>Click 'Consents', open a record, then open a project from 'My projects'.</t>
        </is>
      </c>
      <c r="E970" s="11" t="inlineStr">
        <is>
          <t>Both pages open, but neither shows an 'Audit trail' button (a DCO has no audit section).</t>
        </is>
      </c>
      <c r="F970" s="16" t="n"/>
      <c r="G970" s="16" t="n"/>
    </row>
    <row r="971">
      <c r="A971" s="10" t="inlineStr">
        <is>
          <t>OVS-17</t>
        </is>
      </c>
      <c r="B971" s="11" t="inlineStr">
        <is>
          <t>'Audit trail' button on a record page opens the trail pre-filtered; absent for other roles</t>
        </is>
      </c>
      <c r="C971" s="11" t="n">
        <v>9</v>
      </c>
      <c r="D971" s="11" t="inlineStr">
        <is>
          <t>Sign out, sign in as rnd@cmp.local and open one of Kavya's projects.</t>
        </is>
      </c>
      <c r="E971" s="11" t="inlineStr">
        <is>
          <t>The project page has no 'Audit trail' button.</t>
        </is>
      </c>
      <c r="F971" s="16" t="n"/>
      <c r="G971" s="16" t="n"/>
    </row>
    <row r="972">
      <c r="A972" s="10" t="inlineStr">
        <is>
          <t>OVS-18</t>
        </is>
      </c>
      <c r="B972" s="11" t="inlineStr">
        <is>
          <t>The audit trail carries no personal words - reasons flagged, addresses hashed</t>
        </is>
      </c>
      <c r="C972" s="11" t="n">
        <v>1</v>
      </c>
      <c r="D972" s="11" t="inlineStr">
        <is>
          <t>Open http://localhost:3000. Type dpo@cmp.local in 'Email or username' and SeedPassw0rd!2026 in 'Password', click 'Sign in'. On the 'Verify it is you' page type the six-digit code the test coordinator relays into '6-digit code' and click 'Verify and continue'.</t>
        </is>
      </c>
      <c r="E972" s="11" t="inlineStr">
        <is>
          <t>You land on the Dashboard with the heading 'Good day, Priya'. The top right of the header shows the person's name with the role badge 'DPO'.</t>
        </is>
      </c>
      <c r="F972" s="16" t="n"/>
      <c r="G972" s="16" t="n"/>
    </row>
    <row r="973">
      <c r="A973" s="10" t="inlineStr">
        <is>
          <t>OVS-18</t>
        </is>
      </c>
      <c r="B973" s="11" t="inlineStr">
        <is>
          <t>The audit trail carries no personal words - reasons flagged, addresses hashed</t>
        </is>
      </c>
      <c r="C973" s="11" t="n">
        <v>2</v>
      </c>
      <c r="D973" s="11" t="inlineStr">
        <is>
          <t>Click 'Audit trail' and set 'From' to 21 September 2026. Look at the table columns.</t>
        </is>
      </c>
      <c r="E973" s="11" t="inlineStr">
        <is>
          <t>The columns are 'When', 'Event', 'Actor', 'About', 'Record' - there is no IP address column.</t>
        </is>
      </c>
      <c r="F973" s="16" t="n"/>
      <c r="G973" s="16" t="n"/>
    </row>
    <row r="974">
      <c r="A974" s="10" t="inlineStr">
        <is>
          <t>OVS-18</t>
        </is>
      </c>
      <c r="B974" s="11" t="inlineStr">
        <is>
          <t>The audit trail carries no personal words - reasons flagged, addresses hashed</t>
        </is>
      </c>
      <c r="C974" s="11" t="n">
        <v>3</v>
      </c>
      <c r="D974" s="11" t="inlineStr">
        <is>
          <t>Choose Area 'Projects', Event 'Transitioned', and click the newest row.</t>
        </is>
      </c>
      <c r="E974" s="11" t="inlineStr">
        <is>
          <t>'Recorded details' lists 'From', 'To', 'Reason given' (a 'yes' or 'no' badge) and 'Published notice'. The words of any reason are not shown anywhere in the dialog.</t>
        </is>
      </c>
      <c r="F974" s="16" t="n"/>
      <c r="G974" s="16" t="n"/>
    </row>
    <row r="975">
      <c r="A975" s="10" t="inlineStr">
        <is>
          <t>OVS-18</t>
        </is>
      </c>
      <c r="B975" s="11" t="inlineStr">
        <is>
          <t>The audit trail carries no personal words - reasons flagged, addresses hashed</t>
        </is>
      </c>
      <c r="C975" s="11" t="n">
        <v>4</v>
      </c>
      <c r="D975" s="11" t="inlineStr">
        <is>
          <t>Click 'Show raw JSON' and read it.</t>
        </is>
      </c>
      <c r="E975" s="11" t="inlineStr">
        <is>
          <t>It shows "reason_given": true or false - no free-text reason. If an "ip" line is present its value is a long string of letters and digits (a keyed hash), never an address like 127.0.0.1 or 192.168.x.x. Close the dialog.</t>
        </is>
      </c>
      <c r="F975" s="16" t="n"/>
      <c r="G975" s="16" t="n"/>
    </row>
    <row r="976">
      <c r="A976" s="10" t="inlineStr">
        <is>
          <t>OVS-18</t>
        </is>
      </c>
      <c r="B976" s="11" t="inlineStr">
        <is>
          <t>The audit trail carries no personal words - reasons flagged, addresses hashed</t>
        </is>
      </c>
      <c r="C976" s="11" t="n">
        <v>5</v>
      </c>
      <c r="D976" s="11" t="inlineStr">
        <is>
          <t>Change to Area 'Accounts', Event 'Invited', and open the newest row; click 'Show raw JSON'.</t>
        </is>
      </c>
      <c r="E976" s="11" t="inlineStr">
        <is>
          <t>No email address appears in the details; the person is identified only through 'Who' / 'About' and the record link.</t>
        </is>
      </c>
      <c r="F976" s="16" t="n"/>
      <c r="G976" s="16" t="n"/>
    </row>
    <row r="977">
      <c r="A977" s="10" t="inlineStr">
        <is>
          <t>OVS-18</t>
        </is>
      </c>
      <c r="B977" s="11" t="inlineStr">
        <is>
          <t>The audit trail carries no personal words - reasons flagged, addresses hashed</t>
        </is>
      </c>
      <c r="C977" s="11" t="n">
        <v>6</v>
      </c>
      <c r="D977" s="11" t="inlineStr">
        <is>
          <t>Clear the Area and Event filters (keep From). Type 127.0.0.1 in 'Search' and click 'Search'.</t>
        </is>
      </c>
      <c r="E977" s="11" t="inlineStr">
        <is>
          <t>'Nothing matches these filters'.</t>
        </is>
      </c>
      <c r="F977" s="16" t="n"/>
      <c r="G977" s="16" t="n"/>
    </row>
    <row r="978">
      <c r="A978" s="10" t="inlineStr">
        <is>
          <t>OVS-18</t>
        </is>
      </c>
      <c r="B978" s="11" t="inlineStr">
        <is>
          <t>The audit trail carries no personal words - reasons flagged, addresses hashed</t>
        </is>
      </c>
      <c r="C978" s="11" t="n">
        <v>7</v>
      </c>
      <c r="D978" s="11" t="inlineStr">
        <is>
          <t>Search for subject@cmp.local, then for @cmp.local.</t>
        </is>
      </c>
      <c r="E978" s="11" t="inlineStr">
        <is>
          <t>'Nothing matches these filters' both times - no contact is written into the trail.</t>
        </is>
      </c>
      <c r="F978" s="16" t="n"/>
      <c r="G978" s="16" t="n"/>
    </row>
    <row r="979">
      <c r="A979" s="10" t="inlineStr">
        <is>
          <t>OVS-18</t>
        </is>
      </c>
      <c r="B979" s="11" t="inlineStr">
        <is>
          <t>The audit trail carries no personal words - reasons flagged, addresses hashed</t>
        </is>
      </c>
      <c r="C979" s="11" t="n">
        <v>8</v>
      </c>
      <c r="D979" s="11" t="inlineStr">
        <is>
          <t>If entries exist, choose Area 'Delegation', Event 'Granted', open the newest row and click 'Open cover arrangement'.</t>
        </is>
      </c>
      <c r="E979" s="11" t="inlineStr">
        <is>
          <t>The details show 'Reason given' yes/no and no reason text. The button opens the 'Delegations' page. If it shows 'We can't find that page', record a defect.</t>
        </is>
      </c>
      <c r="F979" s="16" t="n"/>
      <c r="G979" s="16" t="n"/>
    </row>
    <row r="980">
      <c r="A980" s="10" t="inlineStr">
        <is>
          <t>OVS-19</t>
        </is>
      </c>
      <c r="B980" s="11" t="inlineStr">
        <is>
          <t>Personal data is never shown as scrambled 'SE::' text on staff screens</t>
        </is>
      </c>
      <c r="C980" s="11" t="n">
        <v>1</v>
      </c>
      <c r="D980" s="11" t="inlineStr">
        <is>
          <t>Open http://localhost:3000. Type dpo@cmp.local in 'Email or username' and SeedPassw0rd!2026 in 'Password', click 'Sign in'. On the 'Verify it is you' page type the six-digit code the test coordinator relays into '6-digit code' and click 'Verify and continue'.</t>
        </is>
      </c>
      <c r="E980" s="11" t="inlineStr">
        <is>
          <t>You land on the Dashboard with the heading 'Good day, Priya'. The top right of the header shows the person's name with the role badge 'DPO'.</t>
        </is>
      </c>
      <c r="F980" s="16" t="n"/>
      <c r="G980" s="16" t="n"/>
    </row>
    <row r="981">
      <c r="A981" s="10" t="inlineStr">
        <is>
          <t>OVS-19</t>
        </is>
      </c>
      <c r="B981" s="11" t="inlineStr">
        <is>
          <t>Personal data is never shown as scrambled 'SE::' text on staff screens</t>
        </is>
      </c>
      <c r="C981" s="11" t="n">
        <v>2</v>
      </c>
      <c r="D981" s="11" t="inlineStr">
        <is>
          <t>Click 'Users' and read the 'Name' column (wait for the table to finish loading).</t>
        </is>
      </c>
      <c r="E981" s="11" t="inlineStr">
        <is>
          <t>Every name is readable (e.g. 'Priya Menon', 'Anjali Verma'); no text starting 'SE::' appears anywhere on the page.</t>
        </is>
      </c>
      <c r="F981" s="16" t="n"/>
      <c r="G981" s="16" t="n"/>
    </row>
    <row r="982">
      <c r="A982" s="10" t="inlineStr">
        <is>
          <t>OVS-19</t>
        </is>
      </c>
      <c r="B982" s="11" t="inlineStr">
        <is>
          <t>Personal data is never shown as scrambled 'SE::' text on staff screens</t>
        </is>
      </c>
      <c r="C982" s="11" t="n">
        <v>3</v>
      </c>
      <c r="D982" s="11" t="inlineStr">
        <is>
          <t>Click 'Consents' and read the 'Data subject' column, including the email shown under each name.</t>
        </is>
      </c>
      <c r="E982" s="11" t="inlineStr">
        <is>
          <t>Names and emails are readable; no 'SE::' text.</t>
        </is>
      </c>
      <c r="F982" s="16" t="n"/>
      <c r="G982" s="16" t="n"/>
    </row>
    <row r="983">
      <c r="A983" s="10" t="inlineStr">
        <is>
          <t>OVS-19</t>
        </is>
      </c>
      <c r="B983" s="11" t="inlineStr">
        <is>
          <t>Personal data is never shown as scrambled 'SE::' text on staff screens</t>
        </is>
      </c>
      <c r="C983" s="11" t="n">
        <v>4</v>
      </c>
      <c r="D983" s="11" t="inlineStr">
        <is>
          <t>Click 'Rights requests' and read the 'Who' column; open one request.</t>
        </is>
      </c>
      <c r="E983" s="11" t="inlineStr">
        <is>
          <t>Names and the request's details are readable; no 'SE::' text.</t>
        </is>
      </c>
      <c r="F983" s="16" t="n"/>
      <c r="G983" s="16" t="n"/>
    </row>
    <row r="984">
      <c r="A984" s="10" t="inlineStr">
        <is>
          <t>OVS-19</t>
        </is>
      </c>
      <c r="B984" s="11" t="inlineStr">
        <is>
          <t>Personal data is never shown as scrambled 'SE::' text on staff screens</t>
        </is>
      </c>
      <c r="C984" s="11" t="n">
        <v>5</v>
      </c>
      <c r="D984" s="11" t="inlineStr">
        <is>
          <t>Click 'Audit trail'; read the 'Actor', 'About' and 'Record' columns; type Anj in the About box and read the offered names; open one entry.</t>
        </is>
      </c>
      <c r="E984" s="11" t="inlineStr">
        <is>
          <t>All names, emails and record labels are readable in the table, the About list and the dialog; no 'SE::' text.</t>
        </is>
      </c>
      <c r="F984" s="16" t="n"/>
      <c r="G984" s="16" t="n"/>
    </row>
    <row r="985">
      <c r="A985" s="10" t="inlineStr">
        <is>
          <t>OVS-19</t>
        </is>
      </c>
      <c r="B985" s="11" t="inlineStr">
        <is>
          <t>Personal data is never shown as scrambled 'SE::' text on staff screens</t>
        </is>
      </c>
      <c r="C985" s="11" t="n">
        <v>6</v>
      </c>
      <c r="D985" s="11" t="inlineStr">
        <is>
          <t>Click 'Dashboard' and read the queue rows and 'Recent activity'.</t>
        </is>
      </c>
      <c r="E985" s="11" t="inlineStr">
        <is>
          <t>People's names are readable; no 'SE::' text.</t>
        </is>
      </c>
      <c r="F985" s="16" t="n"/>
      <c r="G985" s="16" t="n"/>
    </row>
    <row r="986">
      <c r="A986" s="10" t="inlineStr">
        <is>
          <t>OVS-19</t>
        </is>
      </c>
      <c r="B986" s="11" t="inlineStr">
        <is>
          <t>Personal data is never shown as scrambled 'SE::' text on staff screens</t>
        </is>
      </c>
      <c r="C986" s="11" t="n">
        <v>7</v>
      </c>
      <c r="D986" s="11" t="inlineStr">
        <is>
          <t>Click 'Sign out' at the bottom of the sidebar. Then sign in again as admin@cmp.local (password SeedPassw0rd!2026, code from the coordinator, 'Verify and continue').</t>
        </is>
      </c>
      <c r="E986" s="11" t="inlineStr">
        <is>
          <t>The Dashboard opens with the heading 'Good day, System' and the role badge 'Administrator'.</t>
        </is>
      </c>
      <c r="F986" s="16" t="n"/>
      <c r="G986" s="16" t="n"/>
    </row>
    <row r="987">
      <c r="A987" s="10" t="inlineStr">
        <is>
          <t>OVS-19</t>
        </is>
      </c>
      <c r="B987" s="11" t="inlineStr">
        <is>
          <t>Personal data is never shown as scrambled 'SE::' text on staff screens</t>
        </is>
      </c>
      <c r="C987" s="11" t="n">
        <v>8</v>
      </c>
      <c r="D987" s="11" t="inlineStr">
        <is>
          <t>Click 'Users', click 'Edit' on any row, read 'Full name', 'Email' and 'Mobile', then close the dialog without saving.</t>
        </is>
      </c>
      <c r="E987" s="11" t="inlineStr">
        <is>
          <t>The 'Edit account' form is filled with the readable name and a readable email and/or mobile; no field contains 'SE::'.</t>
        </is>
      </c>
      <c r="F987" s="16" t="n"/>
      <c r="G987" s="16" t="n"/>
    </row>
    <row r="988">
      <c r="A988" s="10" t="inlineStr">
        <is>
          <t>OVS-19</t>
        </is>
      </c>
      <c r="B988" s="11" t="inlineStr">
        <is>
          <t>Personal data is never shown as scrambled 'SE::' text on staff screens</t>
        </is>
      </c>
      <c r="C988" s="11" t="n">
        <v>9</v>
      </c>
      <c r="D988" s="11" t="inlineStr">
        <is>
          <t>Sign out, sign in as dco@cmp.local, click 'Consents' and open one record.</t>
        </is>
      </c>
      <c r="E988" s="11" t="inlineStr">
        <is>
          <t>The register and the record's heading show the person's readable name; no 'SE::' text.</t>
        </is>
      </c>
      <c r="F988" s="16" t="n"/>
      <c r="G988" s="16" t="n"/>
    </row>
    <row r="989">
      <c r="A989" s="10" t="inlineStr">
        <is>
          <t>OVS-20</t>
        </is>
      </c>
      <c r="B989" s="11" t="inlineStr">
        <is>
          <t>Data principal's portal notifications show only her own events and open her own pages</t>
        </is>
      </c>
      <c r="C989" s="11" t="n">
        <v>1</v>
      </c>
      <c r="D989" s="11" t="inlineStr">
        <is>
          <t>Open http://localhost:3001/sign-in. Under 'Sign in with' choose 'Email', type subject@cmp.local in 'Email address' and click 'Send me a code'.</t>
        </is>
      </c>
      <c r="E989" s="11" t="inlineStr">
        <is>
          <t>A 'Check your messages' notice appears and a 'Six-digit code' box is shown.</t>
        </is>
      </c>
      <c r="F989" s="16" t="n"/>
      <c r="G989" s="16" t="n"/>
    </row>
    <row r="990">
      <c r="A990" s="10" t="inlineStr">
        <is>
          <t>OVS-20</t>
        </is>
      </c>
      <c r="B990" s="11" t="inlineStr">
        <is>
          <t>Data principal's portal notifications show only her own events and open her own pages</t>
        </is>
      </c>
      <c r="C990" s="11" t="n">
        <v>2</v>
      </c>
      <c r="D990" s="11" t="inlineStr">
        <is>
          <t>Type the code the test coordinator relays and click 'Verify'.</t>
        </is>
      </c>
      <c r="E990" s="11" t="inlineStr">
        <is>
          <t>The 'My consents' page opens. The sidebar shows YOUR DATA - 'My consents', 'My requests', 'My nominations' and 'Updates', and nothing else; 'My profile' is in the account menu under her name at the top right.</t>
        </is>
      </c>
      <c r="F990" s="16" t="n"/>
      <c r="G990" s="16" t="n"/>
    </row>
    <row r="991">
      <c r="A991" s="10" t="inlineStr">
        <is>
          <t>OVS-20</t>
        </is>
      </c>
      <c r="B991" s="11" t="inlineStr">
        <is>
          <t>Data principal's portal notifications show only her own events and open her own pages</t>
        </is>
      </c>
      <c r="C991" s="11" t="n">
        <v>3</v>
      </c>
      <c r="D991" s="11" t="inlineStr">
        <is>
          <t>Click 'Updates'.</t>
        </is>
      </c>
      <c r="E991" s="11" t="inlineStr">
        <is>
          <t>The page 'Updates' opens with 'What has happened that concerns you, taken from the audit trail itself.' Entries are about Anjali only, e.g. 'Consent given', 'Consent withdrawn', 'Notice served', 'Subject registered', 'Rights request received'. If there are none it says 'Nothing to report'.</t>
        </is>
      </c>
      <c r="F991" s="16" t="n"/>
      <c r="G991" s="16" t="n"/>
    </row>
    <row r="992">
      <c r="A992" s="10" t="inlineStr">
        <is>
          <t>OVS-20</t>
        </is>
      </c>
      <c r="B992" s="11" t="inlineStr">
        <is>
          <t>Data principal's portal notifications show only her own events and open her own pages</t>
        </is>
      </c>
      <c r="C992" s="11" t="n">
        <v>4</v>
      </c>
      <c r="D992" s="11" t="inlineStr">
        <is>
          <t>Check the list for events that are not hers to see.</t>
        </is>
      </c>
      <c r="E992" s="11" t="inlineStr">
        <is>
          <t>No sign-in events ('Auth ...'), no 'Project transitioned', no office working on her request (e.g. 'Rights ticket issued', 'Rights holders derived') and no events about other people.</t>
        </is>
      </c>
      <c r="F992" s="16" t="n"/>
      <c r="G992" s="16" t="n"/>
    </row>
    <row r="993">
      <c r="A993" s="10" t="inlineStr">
        <is>
          <t>OVS-20</t>
        </is>
      </c>
      <c r="B993" s="11" t="inlineStr">
        <is>
          <t>Data principal's portal notifications show only her own events and open her own pages</t>
        </is>
      </c>
      <c r="C993" s="11" t="n">
        <v>5</v>
      </c>
      <c r="D993" s="11" t="inlineStr">
        <is>
          <t>Click the body of a 'Consent given' entry.</t>
        </is>
      </c>
      <c r="E993" s="11" t="inlineStr">
        <is>
          <t>A dialog shows 'What' ('Consent record: Anjali Verma — &lt;project&gt;'), 'When', 'Who', 'Event' (consent.given) and 'Record', with an 'Open consent record' button. All names are readable; no 'SE::' text.</t>
        </is>
      </c>
      <c r="F993" s="16" t="n"/>
      <c r="G993" s="16" t="n"/>
    </row>
    <row r="994">
      <c r="A994" s="10" t="inlineStr">
        <is>
          <t>OVS-20</t>
        </is>
      </c>
      <c r="B994" s="11" t="inlineStr">
        <is>
          <t>Data principal's portal notifications show only her own events and open her own pages</t>
        </is>
      </c>
      <c r="C994" s="11" t="n">
        <v>6</v>
      </c>
      <c r="D994" s="11" t="inlineStr">
        <is>
          <t>Click 'Open consent record'.</t>
        </is>
      </c>
      <c r="E994" s="11" t="inlineStr">
        <is>
          <t>The 'My consents' page on the portal opens - not a staff page and not 'Not part of your account'.</t>
        </is>
      </c>
      <c r="F994" s="16" t="n"/>
      <c r="G994" s="16" t="n"/>
    </row>
    <row r="995">
      <c r="A995" s="10" t="inlineStr">
        <is>
          <t>OVS-20</t>
        </is>
      </c>
      <c r="B995" s="11" t="inlineStr">
        <is>
          <t>Data principal's portal notifications show only her own events and open her own pages</t>
        </is>
      </c>
      <c r="C995" s="11" t="n">
        <v>7</v>
      </c>
      <c r="D995" s="11" t="inlineStr">
        <is>
          <t>Back on 'Updates', click the record link on a rights request entry (if present) and on a 'Subject registered' entry ('Account: Anjali Verma' / 'Open account').</t>
        </is>
      </c>
      <c r="E995" s="11" t="inlineStr">
        <is>
          <t>The request link opens 'My requests'. The account link opens her own account page ('My profile'). If either shows 'We can't find that page', record a defect.</t>
        </is>
      </c>
      <c r="F995" s="16" t="n"/>
      <c r="G995" s="16" t="n"/>
    </row>
    <row r="996">
      <c r="A996" s="10" t="inlineStr">
        <is>
          <t>OVS-20</t>
        </is>
      </c>
      <c r="B996" s="11" t="inlineStr">
        <is>
          <t>Data principal's portal notifications show only her own events and open her own pages</t>
        </is>
      </c>
      <c r="C996" s="11" t="n">
        <v>8</v>
      </c>
      <c r="D996" s="11" t="inlineStr">
        <is>
          <t>Type http://localhost:3001/users in the address bar, then http://localhost:3001/audit.</t>
        </is>
      </c>
      <c r="E996" s="11" t="inlineStr">
        <is>
          <t>Both show the portal's 404 page, headed 'We can't find that page', with the buttons 'Go to My consents' and 'Your rights' - no staff screen exists on the portal.</t>
        </is>
      </c>
      <c r="F996" s="16" t="n"/>
      <c r="G996" s="16" t="n"/>
    </row>
    <row r="997">
      <c r="A997" s="10" t="inlineStr">
        <is>
          <t>OVS-21</t>
        </is>
      </c>
      <c r="B997" s="11" t="inlineStr">
        <is>
          <t>Find your way: the command palette, breadcrumb, account menu, foldable sidebar and folding cards</t>
        </is>
      </c>
      <c r="C997" s="11" t="n">
        <v>1</v>
      </c>
      <c r="D997" s="11" t="inlineStr">
        <is>
          <t>Open http://localhost:3000. Type dpo@cmp.local in 'Email or username' and SeedPassw0rd!2026 in 'Password', click 'Sign in'. On the 'Verify it is you' page type the six-digit code the test coordinator relays into '6-digit code' and click 'Verify and continue'.</t>
        </is>
      </c>
      <c r="E997" s="11" t="inlineStr">
        <is>
          <t>You land on the Dashboard with the heading 'Good day, Priya'. The top right of the header shows the person's name with the role badge 'DPO'.</t>
        </is>
      </c>
      <c r="F997" s="16" t="n"/>
      <c r="G997" s="16" t="n"/>
    </row>
    <row r="998">
      <c r="A998" s="10" t="inlineStr">
        <is>
          <t>OVS-21</t>
        </is>
      </c>
      <c r="B998" s="11" t="inlineStr">
        <is>
          <t>Find your way: the command palette, breadcrumb, account menu, foldable sidebar and folding cards</t>
        </is>
      </c>
      <c r="C998" s="11" t="n">
        <v>2</v>
      </c>
      <c r="D998" s="11" t="inlineStr">
        <is>
          <t>Click 'Projects' in the sidebar and look to the right of the logo in the header.</t>
        </is>
      </c>
      <c r="E998" s="11" t="inlineStr">
        <is>
          <t>A breadcrumb reads 'Governance › Projects'. In the header are a box 'Jump to page…' showing ⌘K (on a Mac) or Ctrl K, a help (?) button, a bell, and Priya's name with the 'DPO' badge and her initials.</t>
        </is>
      </c>
      <c r="F998" s="16" t="n"/>
      <c r="G998" s="16" t="n"/>
    </row>
    <row r="999">
      <c r="A999" s="10" t="inlineStr">
        <is>
          <t>OVS-21</t>
        </is>
      </c>
      <c r="B999" s="11" t="inlineStr">
        <is>
          <t>Find your way: the command palette, breadcrumb, account menu, foldable sidebar and folding cards</t>
        </is>
      </c>
      <c r="C999" s="11" t="n">
        <v>3</v>
      </c>
      <c r="D999" s="11" t="inlineStr">
        <is>
          <t>Press Ctrl+K (⌘K on a Mac), or click 'Jump to page…'. Type 'aud'.</t>
        </is>
      </c>
      <c r="E999" s="11" t="inlineStr">
        <is>
          <t>A search box opens over the page ('Search pages and actions…'). Typing narrows the list to 'Audit trail' under the heading 'Oversight'. The footer reads '↑ ↓ to move', '↵ to open', 'Esc to close'.</t>
        </is>
      </c>
      <c r="F999" s="16" t="n"/>
      <c r="G999" s="16" t="n"/>
    </row>
    <row r="1000">
      <c r="A1000" s="10" t="inlineStr">
        <is>
          <t>OVS-21</t>
        </is>
      </c>
      <c r="B1000" s="11" t="inlineStr">
        <is>
          <t>Find your way: the command palette, breadcrumb, account menu, foldable sidebar and folding cards</t>
        </is>
      </c>
      <c r="C1000" s="11" t="n">
        <v>4</v>
      </c>
      <c r="D1000" s="11" t="inlineStr">
        <is>
          <t>Press Enter.</t>
        </is>
      </c>
      <c r="E1000" s="11" t="inlineStr">
        <is>
          <t>The 'Audit trail' page opens and the box closes. The breadcrumb reads 'Oversight › Audit trail'.</t>
        </is>
      </c>
      <c r="F1000" s="16" t="n"/>
      <c r="G1000" s="16" t="n"/>
    </row>
    <row r="1001">
      <c r="A1001" s="10" t="inlineStr">
        <is>
          <t>OVS-21</t>
        </is>
      </c>
      <c r="B1001" s="11" t="inlineStr">
        <is>
          <t>Find your way: the command palette, breadcrumb, account menu, foldable sidebar and folding cards</t>
        </is>
      </c>
      <c r="C1001" s="11" t="n">
        <v>5</v>
      </c>
      <c r="D1001" s="11" t="inlineStr">
        <is>
          <t>Open the box again (Ctrl+K / ⌘K) without typing.</t>
        </is>
      </c>
      <c r="E1001" s="11" t="inlineStr">
        <is>
          <t>A 'Recent' group lists the pages just visited (for example 'Projects'), but not the page you are on. An 'Actions' group offers 'Open the help manual', 'Switch to dark theme' and 'Sign out'. Type 'zzz': it says 'Nothing matches “zzz”'. Press Esc to close it.</t>
        </is>
      </c>
      <c r="F1001" s="16" t="n"/>
      <c r="G1001" s="16" t="n"/>
    </row>
    <row r="1002">
      <c r="A1002" s="10" t="inlineStr">
        <is>
          <t>OVS-21</t>
        </is>
      </c>
      <c r="B1002" s="11" t="inlineStr">
        <is>
          <t>Find your way: the command palette, breadcrumb, account menu, foldable sidebar and folding cards</t>
        </is>
      </c>
      <c r="C1002" s="11" t="n">
        <v>6</v>
      </c>
      <c r="D1002" s="11" t="inlineStr">
        <is>
          <t>Click Priya's name at the top right of the header.</t>
        </is>
      </c>
      <c r="E1002" s="11" t="inlineStr">
        <is>
          <t>An account menu opens showing 'Priya Menon' and 'DPO', then 'My profile', 'Help manual', 'Switch to dark theme' and 'Sign out'. Press Esc: it closes and nothing else changes.</t>
        </is>
      </c>
      <c r="F1002" s="16" t="n"/>
      <c r="G1002" s="16" t="n"/>
    </row>
    <row r="1003">
      <c r="A1003" s="10" t="inlineStr">
        <is>
          <t>OVS-21</t>
        </is>
      </c>
      <c r="B1003" s="11" t="inlineStr">
        <is>
          <t>Find your way: the command palette, breadcrumb, account menu, foldable sidebar and folding cards</t>
        </is>
      </c>
      <c r="C1003" s="11" t="n">
        <v>7</v>
      </c>
      <c r="D1003" s="11" t="inlineStr">
        <is>
          <t>In the sidebar click the heading 'GOVERNANCE', then click it again.</t>
        </is>
      </c>
      <c r="E1003" s="11" t="inlineStr">
        <is>
          <t>The first click folds away 'Approval documents' and 'Purposes'; the second brings them back. The group holding the page you are on cannot be folded away.</t>
        </is>
      </c>
      <c r="F1003" s="16" t="n"/>
      <c r="G1003" s="16" t="n"/>
    </row>
    <row r="1004">
      <c r="A1004" s="10" t="inlineStr">
        <is>
          <t>OVS-21</t>
        </is>
      </c>
      <c r="B1004" s="11" t="inlineStr">
        <is>
          <t>Find your way: the command palette, breadcrumb, account menu, foldable sidebar and folding cards</t>
        </is>
      </c>
      <c r="C1004" s="11" t="n">
        <v>8</v>
      </c>
      <c r="D1004" s="11" t="inlineStr">
        <is>
          <t>Click 'Collapse sidebar' at the bottom of the sidebar, then reload the page.</t>
        </is>
      </c>
      <c r="E1004" s="11" t="inlineStr">
        <is>
          <t>The sidebar becomes a narrow strip of icons (hovering an icon shows its name) and stays that way after the reload. Click 'Expand sidebar' to restore it.</t>
        </is>
      </c>
      <c r="F1004" s="16" t="n"/>
      <c r="G1004" s="16" t="n"/>
    </row>
    <row r="1005">
      <c r="A1005" s="10" t="inlineStr">
        <is>
          <t>OVS-21</t>
        </is>
      </c>
      <c r="B1005" s="11" t="inlineStr">
        <is>
          <t>Find your way: the command palette, breadcrumb, account menu, foldable sidebar and folding cards</t>
        </is>
      </c>
      <c r="C1005" s="11" t="n">
        <v>9</v>
      </c>
      <c r="D1005" s="11" t="inlineStr">
        <is>
          <t>Open 'Rights requests', open any request, and click the card 'Clock and path'.</t>
        </is>
      </c>
      <c r="E1005" s="11" t="inlineStr">
        <is>
          <t>The card folds to its heading, so the working cards below move up. Clicking it again unfolds it. On a project page, the 'History' card folds the same way and shows its number of entries.</t>
        </is>
      </c>
      <c r="F1005" s="16" t="n"/>
      <c r="G1005" s="16" t="n"/>
    </row>
    <row r="1006">
      <c r="A1006" s="10" t="inlineStr">
        <is>
          <t>OVS-22</t>
        </is>
      </c>
      <c r="B1006" s="11" t="inlineStr">
        <is>
          <t>The help manual opens from the sign-in page, the header and the command palette, and follows your role</t>
        </is>
      </c>
      <c r="C1006" s="11" t="n">
        <v>1</v>
      </c>
      <c r="D1006" s="11" t="inlineStr">
        <is>
          <t>Open http://localhost:3000/sign-in and click 'Read the help manual' under the form ('New here, or stuck?').</t>
        </is>
      </c>
      <c r="E1006" s="11" t="inlineStr">
        <is>
          <t>The page 'COMPASS CMP Manual' opens without signing in, with a search box, an 'Every role' choice, '24 sections', a numbered 'Table of contents' and a 'Sign in' button at the top right.</t>
        </is>
      </c>
      <c r="F1006" s="16" t="n"/>
      <c r="G1006" s="16" t="n"/>
    </row>
    <row r="1007">
      <c r="A1007" s="10" t="inlineStr">
        <is>
          <t>OVS-22</t>
        </is>
      </c>
      <c r="B1007" s="11" t="inlineStr">
        <is>
          <t>The help manual opens from the sign-in page, the header and the command palette, and follows your role</t>
        </is>
      </c>
      <c r="C1007" s="11" t="n">
        <v>2</v>
      </c>
      <c r="D1007" s="11" t="inlineStr">
        <is>
          <t>In the table of contents click '16 Rights requests'.</t>
        </is>
      </c>
      <c r="E1007" s="11" t="inlineStr">
        <is>
          <t>The page scrolls to section 16 'Rights requests', whose badges read 'DPO' and 'Administrator'. Its numbered steps show the screen's own words in grey label boxes, for example 'Confirm classification'.</t>
        </is>
      </c>
      <c r="F1007" s="16" t="n"/>
      <c r="G1007" s="16" t="n"/>
    </row>
    <row r="1008">
      <c r="A1008" s="10" t="inlineStr">
        <is>
          <t>OVS-22</t>
        </is>
      </c>
      <c r="B1008" s="11" t="inlineStr">
        <is>
          <t>The help manual opens from the sign-in page, the header and the command palette, and follows your role</t>
        </is>
      </c>
      <c r="C1008" s="11" t="n">
        <v>3</v>
      </c>
      <c r="D1008" s="11" t="inlineStr">
        <is>
          <t>Type 'export' in 'Search the manual'.</t>
        </is>
      </c>
      <c r="E1008" s="11" t="inlineStr">
        <is>
          <t>Only sections that mention exports remain, and the line under the box reads '8 of 24 sections mentioning “export”' (Exports, Purposes, Processors, the audit trail and others). Clicking the × clears it.</t>
        </is>
      </c>
      <c r="F1008" s="16" t="n"/>
      <c r="G1008" s="16" t="n"/>
    </row>
    <row r="1009">
      <c r="A1009" s="10" t="inlineStr">
        <is>
          <t>OVS-22</t>
        </is>
      </c>
      <c r="B1009" s="11" t="inlineStr">
        <is>
          <t>The help manual opens from the sign-in page, the header and the command palette, and follows your role</t>
        </is>
      </c>
      <c r="C1009" s="11" t="n">
        <v>4</v>
      </c>
      <c r="D1009" s="11" t="inlineStr">
        <is>
          <t>Scroll to the end of the manual.</t>
        </is>
      </c>
      <c r="E1009" s="11" t="inlineStr">
        <is>
          <t>A panel 'Have any questions? Contact us' shows the Privacy Office's email address and response time, and says to ask your administrator about sign-in or role problems.</t>
        </is>
      </c>
      <c r="F1009" s="16" t="n"/>
      <c r="G1009" s="16" t="n"/>
    </row>
    <row r="1010">
      <c r="A1010" s="10" t="inlineStr">
        <is>
          <t>OVS-22</t>
        </is>
      </c>
      <c r="B1010" s="11" t="inlineStr">
        <is>
          <t>The help manual opens from the sign-in page, the header and the command palette, and follows your role</t>
        </is>
      </c>
      <c r="C1010" s="11" t="n">
        <v>5</v>
      </c>
      <c r="D1010" s="11" t="inlineStr">
        <is>
          <t>Sign in to the console as dco@cmp.local (SeedPassw0rd!2026 and the relayed code). Click the help (?) button in the header.</t>
        </is>
      </c>
      <c r="E1010" s="11" t="inlineStr">
        <is>
          <t>The manual opens already set to 'For the DCO', reading '15 of 24 sections for the DCO'. Section numbers keep their places (for example 8, 12, 13, 14). The top-right button now reads 'Back to where you were'.</t>
        </is>
      </c>
      <c r="F1010" s="16" t="n"/>
      <c r="G1010" s="16" t="n"/>
    </row>
    <row r="1011">
      <c r="A1011" s="10" t="inlineStr">
        <is>
          <t>OVS-22</t>
        </is>
      </c>
      <c r="B1011" s="11" t="inlineStr">
        <is>
          <t>The help manual opens from the sign-in page, the header and the command palette, and follows your role</t>
        </is>
      </c>
      <c r="C1011" s="11" t="n">
        <v>6</v>
      </c>
      <c r="D1011" s="11" t="inlineStr">
        <is>
          <t>Choose 'Every role' in the role box. Then click 'Back to where you were', press Ctrl+K (⌘K) and choose 'Open the help manual'.</t>
        </is>
      </c>
      <c r="E1011" s="11" t="inlineStr">
        <is>
          <t>'Every role' shows all 24 sections. The command palette opens the manual again.</t>
        </is>
      </c>
      <c r="F1011" s="16" t="n"/>
      <c r="G1011" s="16" t="n"/>
    </row>
    <row r="1012">
      <c r="A1012" s="10" t="inlineStr">
        <is>
          <t>OVS-22</t>
        </is>
      </c>
      <c r="B1012" s="11" t="inlineStr">
        <is>
          <t>The help manual opens from the sign-in page, the header and the command palette, and follows your role</t>
        </is>
      </c>
      <c r="C1012" s="11" t="n">
        <v>7</v>
      </c>
      <c r="D1012" s="11" t="inlineStr">
        <is>
          <t>Open http://localhost:3001/sign-in and click 'Help manual' next to 'Your rights and how to exercise them'.</t>
        </is>
      </c>
      <c r="E1012" s="11" t="inlineStr">
        <is>
          <t>The page 'Consent Portal Manual' opens without signing in, with 15 sections written for data principals (creating an account, giving consent through a link, withdrawing, requests, nominations) and no role choice.</t>
        </is>
      </c>
      <c r="F1012" s="16" t="n"/>
      <c r="G1012" s="16" t="n"/>
    </row>
    <row r="1013">
      <c r="A1013" s="10" t="inlineStr">
        <is>
          <t>OVS-22</t>
        </is>
      </c>
      <c r="B1013" s="11" t="inlineStr">
        <is>
          <t>The help manual opens from the sign-in page, the header and the command palette, and follows your role</t>
        </is>
      </c>
      <c r="C1013" s="11" t="n">
        <v>8</v>
      </c>
      <c r="D1013" s="11" t="inlineStr">
        <is>
          <t>Narrow the browser window to phone width (or use a phone) and look at the portal manual.</t>
        </is>
      </c>
      <c r="E1013" s="11" t="inlineStr">
        <is>
          <t>The table of contents folds into a 'Table of contents · 15' bar above the sections; opening it lists them. Nothing is cut off at the side.</t>
        </is>
      </c>
      <c r="F1013" s="16" t="n"/>
      <c r="G1013" s="16" t="n"/>
    </row>
  </sheetData>
  <autoFilter ref="A1:G1013"/>
  <conditionalFormatting sqref="F2:F1013">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F2:F1013" showDropDown="0" showInputMessage="0" showErrorMessage="0" allowBlank="1" errorTitle="Not a status" error="Choose one of: Pass, Fail, Blocked, Not run" type="list">
      <formula1>"Pass,Fail,Blocked,Not run"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01"/>
  <sheetViews>
    <sheetView zoomScale="10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6" customWidth="1" min="3" max="3"/>
    <col width="36" customWidth="1" min="4" max="4"/>
    <col width="10" customWidth="1" min="5" max="5"/>
    <col width="50" customWidth="1" min="6" max="6"/>
    <col width="34" customWidth="1" min="7" max="7"/>
    <col width="34" customWidth="1" min="8" max="8"/>
    <col width="18" customWidth="1" min="9" max="9"/>
    <col width="14" customWidth="1" min="10" max="10"/>
    <col width="12" customWidth="1" min="11" max="11"/>
    <col width="10" customWidth="1" min="12" max="12"/>
    <col width="34" customWidth="1" min="13" max="13"/>
  </cols>
  <sheetData>
    <row r="1">
      <c r="A1" s="9" t="inlineStr">
        <is>
          <t>Defect ID</t>
        </is>
      </c>
      <c r="B1" s="9" t="inlineStr">
        <is>
          <t>Test case</t>
        </is>
      </c>
      <c r="C1" s="9" t="inlineStr">
        <is>
          <t>Step</t>
        </is>
      </c>
      <c r="D1" s="9" t="inlineStr">
        <is>
          <t>Title</t>
        </is>
      </c>
      <c r="E1" s="9" t="inlineStr">
        <is>
          <t>Severity</t>
        </is>
      </c>
      <c r="F1" s="9" t="inlineStr">
        <is>
          <t>Steps to reproduce</t>
        </is>
      </c>
      <c r="G1" s="9" t="inlineStr">
        <is>
          <t>Expected</t>
        </is>
      </c>
      <c r="H1" s="9" t="inlineStr">
        <is>
          <t>Actual</t>
        </is>
      </c>
      <c r="I1" s="9" t="inlineStr">
        <is>
          <t>Screenshot</t>
        </is>
      </c>
      <c r="J1" s="9" t="inlineStr">
        <is>
          <t>Raised by</t>
        </is>
      </c>
      <c r="K1" s="9" t="inlineStr">
        <is>
          <t>Date raised</t>
        </is>
      </c>
      <c r="L1" s="9" t="inlineStr">
        <is>
          <t>Status</t>
        </is>
      </c>
      <c r="M1" s="9" t="inlineStr">
        <is>
          <t>Resolution / notes</t>
        </is>
      </c>
    </row>
    <row r="2">
      <c r="A2" s="16" t="inlineStr">
        <is>
          <t>DEF-000 (example)</t>
        </is>
      </c>
      <c r="B2" s="16" t="inlineStr">
        <is>
          <t>REG-05</t>
        </is>
      </c>
      <c r="C2" s="16" t="n">
        <v>4</v>
      </c>
      <c r="D2" s="16" t="inlineStr">
        <is>
          <t>Processor edit toast has the wrong wording</t>
        </is>
      </c>
      <c r="E2" s="16" t="inlineStr">
        <is>
          <t>Low</t>
        </is>
      </c>
      <c r="F2" s="16" t="inlineStr">
        <is>
          <t>1. Sign in as dpo@cmp.local. 2. Processors &gt; Edit on UAT Lab 07. 3. Change Country to IN. 4. Save changes.</t>
        </is>
      </c>
      <c r="G2" s="16" t="inlineStr">
        <is>
          <t>Toast "Processor updated"</t>
        </is>
      </c>
      <c r="H2" s="16" t="inlineStr">
        <is>
          <t>Toast "Saved"</t>
        </is>
      </c>
      <c r="I2" s="16" t="inlineStr">
        <is>
          <t>DEF-000.png</t>
        </is>
      </c>
      <c r="J2" s="16" t="inlineStr">
        <is>
          <t>Tester 07</t>
        </is>
      </c>
      <c r="K2" s="16" t="inlineStr">
        <is>
          <t>25-Sep-2026</t>
        </is>
      </c>
      <c r="L2" s="16" t="inlineStr">
        <is>
          <t>Open</t>
        </is>
      </c>
      <c r="M2" s="16" t="inlineStr">
        <is>
          <t>Example row - delete or overwrite</t>
        </is>
      </c>
    </row>
    <row r="3">
      <c r="A3" s="16" t="n"/>
      <c r="B3" s="16" t="n"/>
      <c r="C3" s="16" t="n"/>
      <c r="D3" s="16" t="n"/>
      <c r="E3" s="16" t="n"/>
      <c r="F3" s="16" t="n"/>
      <c r="G3" s="16" t="n"/>
      <c r="H3" s="16" t="n"/>
      <c r="I3" s="16" t="n"/>
      <c r="J3" s="16" t="n"/>
      <c r="K3" s="16" t="n"/>
      <c r="L3" s="16" t="n"/>
      <c r="M3" s="16" t="n"/>
    </row>
    <row r="4">
      <c r="A4" s="16" t="n"/>
      <c r="B4" s="16" t="n"/>
      <c r="C4" s="16" t="n"/>
      <c r="D4" s="16" t="n"/>
      <c r="E4" s="16" t="n"/>
      <c r="F4" s="16" t="n"/>
      <c r="G4" s="16" t="n"/>
      <c r="H4" s="16" t="n"/>
      <c r="I4" s="16" t="n"/>
      <c r="J4" s="16" t="n"/>
      <c r="K4" s="16" t="n"/>
      <c r="L4" s="16" t="n"/>
      <c r="M4" s="16" t="n"/>
    </row>
    <row r="5">
      <c r="A5" s="16" t="n"/>
      <c r="B5" s="16" t="n"/>
      <c r="C5" s="16" t="n"/>
      <c r="D5" s="16" t="n"/>
      <c r="E5" s="16" t="n"/>
      <c r="F5" s="16" t="n"/>
      <c r="G5" s="16" t="n"/>
      <c r="H5" s="16" t="n"/>
      <c r="I5" s="16" t="n"/>
      <c r="J5" s="16" t="n"/>
      <c r="K5" s="16" t="n"/>
      <c r="L5" s="16" t="n"/>
      <c r="M5" s="16" t="n"/>
    </row>
    <row r="6">
      <c r="A6" s="16" t="n"/>
      <c r="B6" s="16" t="n"/>
      <c r="C6" s="16" t="n"/>
      <c r="D6" s="16" t="n"/>
      <c r="E6" s="16" t="n"/>
      <c r="F6" s="16" t="n"/>
      <c r="G6" s="16" t="n"/>
      <c r="H6" s="16" t="n"/>
      <c r="I6" s="16" t="n"/>
      <c r="J6" s="16" t="n"/>
      <c r="K6" s="16" t="n"/>
      <c r="L6" s="16" t="n"/>
      <c r="M6" s="16" t="n"/>
    </row>
    <row r="7">
      <c r="A7" s="16" t="n"/>
      <c r="B7" s="16" t="n"/>
      <c r="C7" s="16" t="n"/>
      <c r="D7" s="16" t="n"/>
      <c r="E7" s="16" t="n"/>
      <c r="F7" s="16" t="n"/>
      <c r="G7" s="16" t="n"/>
      <c r="H7" s="16" t="n"/>
      <c r="I7" s="16" t="n"/>
      <c r="J7" s="16" t="n"/>
      <c r="K7" s="16" t="n"/>
      <c r="L7" s="16" t="n"/>
      <c r="M7" s="16" t="n"/>
    </row>
    <row r="8">
      <c r="A8" s="16" t="n"/>
      <c r="B8" s="16" t="n"/>
      <c r="C8" s="16" t="n"/>
      <c r="D8" s="16" t="n"/>
      <c r="E8" s="16" t="n"/>
      <c r="F8" s="16" t="n"/>
      <c r="G8" s="16" t="n"/>
      <c r="H8" s="16" t="n"/>
      <c r="I8" s="16" t="n"/>
      <c r="J8" s="16" t="n"/>
      <c r="K8" s="16" t="n"/>
      <c r="L8" s="16" t="n"/>
      <c r="M8" s="16" t="n"/>
    </row>
    <row r="9">
      <c r="A9" s="16" t="n"/>
      <c r="B9" s="16" t="n"/>
      <c r="C9" s="16" t="n"/>
      <c r="D9" s="16" t="n"/>
      <c r="E9" s="16" t="n"/>
      <c r="F9" s="16" t="n"/>
      <c r="G9" s="16" t="n"/>
      <c r="H9" s="16" t="n"/>
      <c r="I9" s="16" t="n"/>
      <c r="J9" s="16" t="n"/>
      <c r="K9" s="16" t="n"/>
      <c r="L9" s="16" t="n"/>
      <c r="M9" s="16" t="n"/>
    </row>
    <row r="10">
      <c r="A10" s="16" t="n"/>
      <c r="B10" s="16" t="n"/>
      <c r="C10" s="16" t="n"/>
      <c r="D10" s="16" t="n"/>
      <c r="E10" s="16" t="n"/>
      <c r="F10" s="16" t="n"/>
      <c r="G10" s="16" t="n"/>
      <c r="H10" s="16" t="n"/>
      <c r="I10" s="16" t="n"/>
      <c r="J10" s="16" t="n"/>
      <c r="K10" s="16" t="n"/>
      <c r="L10" s="16" t="n"/>
      <c r="M10" s="16" t="n"/>
    </row>
    <row r="11">
      <c r="A11" s="16" t="n"/>
      <c r="B11" s="16" t="n"/>
      <c r="C11" s="16" t="n"/>
      <c r="D11" s="16" t="n"/>
      <c r="E11" s="16" t="n"/>
      <c r="F11" s="16" t="n"/>
      <c r="G11" s="16" t="n"/>
      <c r="H11" s="16" t="n"/>
      <c r="I11" s="16" t="n"/>
      <c r="J11" s="16" t="n"/>
      <c r="K11" s="16" t="n"/>
      <c r="L11" s="16" t="n"/>
      <c r="M11" s="16" t="n"/>
    </row>
    <row r="12">
      <c r="A12" s="16" t="n"/>
      <c r="B12" s="16" t="n"/>
      <c r="C12" s="16" t="n"/>
      <c r="D12" s="16" t="n"/>
      <c r="E12" s="16" t="n"/>
      <c r="F12" s="16" t="n"/>
      <c r="G12" s="16" t="n"/>
      <c r="H12" s="16" t="n"/>
      <c r="I12" s="16" t="n"/>
      <c r="J12" s="16" t="n"/>
      <c r="K12" s="16" t="n"/>
      <c r="L12" s="16" t="n"/>
      <c r="M12" s="16" t="n"/>
    </row>
    <row r="13">
      <c r="A13" s="16" t="n"/>
      <c r="B13" s="16" t="n"/>
      <c r="C13" s="16" t="n"/>
      <c r="D13" s="16" t="n"/>
      <c r="E13" s="16" t="n"/>
      <c r="F13" s="16" t="n"/>
      <c r="G13" s="16" t="n"/>
      <c r="H13" s="16" t="n"/>
      <c r="I13" s="16" t="n"/>
      <c r="J13" s="16" t="n"/>
      <c r="K13" s="16" t="n"/>
      <c r="L13" s="16" t="n"/>
      <c r="M13" s="16" t="n"/>
    </row>
    <row r="14">
      <c r="A14" s="16" t="n"/>
      <c r="B14" s="16" t="n"/>
      <c r="C14" s="16" t="n"/>
      <c r="D14" s="16" t="n"/>
      <c r="E14" s="16" t="n"/>
      <c r="F14" s="16" t="n"/>
      <c r="G14" s="16" t="n"/>
      <c r="H14" s="16" t="n"/>
      <c r="I14" s="16" t="n"/>
      <c r="J14" s="16" t="n"/>
      <c r="K14" s="16" t="n"/>
      <c r="L14" s="16" t="n"/>
      <c r="M14" s="16" t="n"/>
    </row>
    <row r="15">
      <c r="A15" s="16" t="n"/>
      <c r="B15" s="16" t="n"/>
      <c r="C15" s="16" t="n"/>
      <c r="D15" s="16" t="n"/>
      <c r="E15" s="16" t="n"/>
      <c r="F15" s="16" t="n"/>
      <c r="G15" s="16" t="n"/>
      <c r="H15" s="16" t="n"/>
      <c r="I15" s="16" t="n"/>
      <c r="J15" s="16" t="n"/>
      <c r="K15" s="16" t="n"/>
      <c r="L15" s="16" t="n"/>
      <c r="M15" s="16" t="n"/>
    </row>
    <row r="16">
      <c r="A16" s="16" t="n"/>
      <c r="B16" s="16" t="n"/>
      <c r="C16" s="16" t="n"/>
      <c r="D16" s="16" t="n"/>
      <c r="E16" s="16" t="n"/>
      <c r="F16" s="16" t="n"/>
      <c r="G16" s="16" t="n"/>
      <c r="H16" s="16" t="n"/>
      <c r="I16" s="16" t="n"/>
      <c r="J16" s="16" t="n"/>
      <c r="K16" s="16" t="n"/>
      <c r="L16" s="16" t="n"/>
      <c r="M16" s="16" t="n"/>
    </row>
    <row r="17">
      <c r="A17" s="16" t="n"/>
      <c r="B17" s="16" t="n"/>
      <c r="C17" s="16" t="n"/>
      <c r="D17" s="16" t="n"/>
      <c r="E17" s="16" t="n"/>
      <c r="F17" s="16" t="n"/>
      <c r="G17" s="16" t="n"/>
      <c r="H17" s="16" t="n"/>
      <c r="I17" s="16" t="n"/>
      <c r="J17" s="16" t="n"/>
      <c r="K17" s="16" t="n"/>
      <c r="L17" s="16" t="n"/>
      <c r="M17" s="16" t="n"/>
    </row>
    <row r="18">
      <c r="A18" s="16" t="n"/>
      <c r="B18" s="16" t="n"/>
      <c r="C18" s="16" t="n"/>
      <c r="D18" s="16" t="n"/>
      <c r="E18" s="16" t="n"/>
      <c r="F18" s="16" t="n"/>
      <c r="G18" s="16" t="n"/>
      <c r="H18" s="16" t="n"/>
      <c r="I18" s="16" t="n"/>
      <c r="J18" s="16" t="n"/>
      <c r="K18" s="16" t="n"/>
      <c r="L18" s="16" t="n"/>
      <c r="M18" s="16" t="n"/>
    </row>
    <row r="19">
      <c r="A19" s="16" t="n"/>
      <c r="B19" s="16" t="n"/>
      <c r="C19" s="16" t="n"/>
      <c r="D19" s="16" t="n"/>
      <c r="E19" s="16" t="n"/>
      <c r="F19" s="16" t="n"/>
      <c r="G19" s="16" t="n"/>
      <c r="H19" s="16" t="n"/>
      <c r="I19" s="16" t="n"/>
      <c r="J19" s="16" t="n"/>
      <c r="K19" s="16" t="n"/>
      <c r="L19" s="16" t="n"/>
      <c r="M19" s="16" t="n"/>
    </row>
    <row r="20">
      <c r="A20" s="16" t="n"/>
      <c r="B20" s="16" t="n"/>
      <c r="C20" s="16" t="n"/>
      <c r="D20" s="16" t="n"/>
      <c r="E20" s="16" t="n"/>
      <c r="F20" s="16" t="n"/>
      <c r="G20" s="16" t="n"/>
      <c r="H20" s="16" t="n"/>
      <c r="I20" s="16" t="n"/>
      <c r="J20" s="16" t="n"/>
      <c r="K20" s="16" t="n"/>
      <c r="L20" s="16" t="n"/>
      <c r="M20" s="16" t="n"/>
    </row>
    <row r="21">
      <c r="A21" s="16" t="n"/>
      <c r="B21" s="16" t="n"/>
      <c r="C21" s="16" t="n"/>
      <c r="D21" s="16" t="n"/>
      <c r="E21" s="16" t="n"/>
      <c r="F21" s="16" t="n"/>
      <c r="G21" s="16" t="n"/>
      <c r="H21" s="16" t="n"/>
      <c r="I21" s="16" t="n"/>
      <c r="J21" s="16" t="n"/>
      <c r="K21" s="16" t="n"/>
      <c r="L21" s="16" t="n"/>
      <c r="M21" s="16" t="n"/>
    </row>
    <row r="22">
      <c r="A22" s="16" t="n"/>
      <c r="B22" s="16" t="n"/>
      <c r="C22" s="16" t="n"/>
      <c r="D22" s="16" t="n"/>
      <c r="E22" s="16" t="n"/>
      <c r="F22" s="16" t="n"/>
      <c r="G22" s="16" t="n"/>
      <c r="H22" s="16" t="n"/>
      <c r="I22" s="16" t="n"/>
      <c r="J22" s="16" t="n"/>
      <c r="K22" s="16" t="n"/>
      <c r="L22" s="16" t="n"/>
      <c r="M22" s="16" t="n"/>
    </row>
    <row r="23">
      <c r="A23" s="16" t="n"/>
      <c r="B23" s="16" t="n"/>
      <c r="C23" s="16" t="n"/>
      <c r="D23" s="16" t="n"/>
      <c r="E23" s="16" t="n"/>
      <c r="F23" s="16" t="n"/>
      <c r="G23" s="16" t="n"/>
      <c r="H23" s="16" t="n"/>
      <c r="I23" s="16" t="n"/>
      <c r="J23" s="16" t="n"/>
      <c r="K23" s="16" t="n"/>
      <c r="L23" s="16" t="n"/>
      <c r="M23" s="16" t="n"/>
    </row>
    <row r="24">
      <c r="A24" s="16" t="n"/>
      <c r="B24" s="16" t="n"/>
      <c r="C24" s="16" t="n"/>
      <c r="D24" s="16" t="n"/>
      <c r="E24" s="16" t="n"/>
      <c r="F24" s="16" t="n"/>
      <c r="G24" s="16" t="n"/>
      <c r="H24" s="16" t="n"/>
      <c r="I24" s="16" t="n"/>
      <c r="J24" s="16" t="n"/>
      <c r="K24" s="16" t="n"/>
      <c r="L24" s="16" t="n"/>
      <c r="M24" s="16" t="n"/>
    </row>
    <row r="25">
      <c r="A25" s="16" t="n"/>
      <c r="B25" s="16" t="n"/>
      <c r="C25" s="16" t="n"/>
      <c r="D25" s="16" t="n"/>
      <c r="E25" s="16" t="n"/>
      <c r="F25" s="16" t="n"/>
      <c r="G25" s="16" t="n"/>
      <c r="H25" s="16" t="n"/>
      <c r="I25" s="16" t="n"/>
      <c r="J25" s="16" t="n"/>
      <c r="K25" s="16" t="n"/>
      <c r="L25" s="16" t="n"/>
      <c r="M25" s="16" t="n"/>
    </row>
    <row r="26">
      <c r="A26" s="16" t="n"/>
      <c r="B26" s="16" t="n"/>
      <c r="C26" s="16" t="n"/>
      <c r="D26" s="16" t="n"/>
      <c r="E26" s="16" t="n"/>
      <c r="F26" s="16" t="n"/>
      <c r="G26" s="16" t="n"/>
      <c r="H26" s="16" t="n"/>
      <c r="I26" s="16" t="n"/>
      <c r="J26" s="16" t="n"/>
      <c r="K26" s="16" t="n"/>
      <c r="L26" s="16" t="n"/>
      <c r="M26" s="16" t="n"/>
    </row>
    <row r="27">
      <c r="A27" s="16" t="n"/>
      <c r="B27" s="16" t="n"/>
      <c r="C27" s="16" t="n"/>
      <c r="D27" s="16" t="n"/>
      <c r="E27" s="16" t="n"/>
      <c r="F27" s="16" t="n"/>
      <c r="G27" s="16" t="n"/>
      <c r="H27" s="16" t="n"/>
      <c r="I27" s="16" t="n"/>
      <c r="J27" s="16" t="n"/>
      <c r="K27" s="16" t="n"/>
      <c r="L27" s="16" t="n"/>
      <c r="M27" s="16" t="n"/>
    </row>
    <row r="28">
      <c r="A28" s="16" t="n"/>
      <c r="B28" s="16" t="n"/>
      <c r="C28" s="16" t="n"/>
      <c r="D28" s="16" t="n"/>
      <c r="E28" s="16" t="n"/>
      <c r="F28" s="16" t="n"/>
      <c r="G28" s="16" t="n"/>
      <c r="H28" s="16" t="n"/>
      <c r="I28" s="16" t="n"/>
      <c r="J28" s="16" t="n"/>
      <c r="K28" s="16" t="n"/>
      <c r="L28" s="16" t="n"/>
      <c r="M28" s="16" t="n"/>
    </row>
    <row r="29">
      <c r="A29" s="16" t="n"/>
      <c r="B29" s="16" t="n"/>
      <c r="C29" s="16" t="n"/>
      <c r="D29" s="16" t="n"/>
      <c r="E29" s="16" t="n"/>
      <c r="F29" s="16" t="n"/>
      <c r="G29" s="16" t="n"/>
      <c r="H29" s="16" t="n"/>
      <c r="I29" s="16" t="n"/>
      <c r="J29" s="16" t="n"/>
      <c r="K29" s="16" t="n"/>
      <c r="L29" s="16" t="n"/>
      <c r="M29" s="16" t="n"/>
    </row>
    <row r="30">
      <c r="A30" s="16" t="n"/>
      <c r="B30" s="16" t="n"/>
      <c r="C30" s="16" t="n"/>
      <c r="D30" s="16" t="n"/>
      <c r="E30" s="16" t="n"/>
      <c r="F30" s="16" t="n"/>
      <c r="G30" s="16" t="n"/>
      <c r="H30" s="16" t="n"/>
      <c r="I30" s="16" t="n"/>
      <c r="J30" s="16" t="n"/>
      <c r="K30" s="16" t="n"/>
      <c r="L30" s="16" t="n"/>
      <c r="M30" s="16" t="n"/>
    </row>
    <row r="31">
      <c r="A31" s="16" t="n"/>
      <c r="B31" s="16" t="n"/>
      <c r="C31" s="16" t="n"/>
      <c r="D31" s="16" t="n"/>
      <c r="E31" s="16" t="n"/>
      <c r="F31" s="16" t="n"/>
      <c r="G31" s="16" t="n"/>
      <c r="H31" s="16" t="n"/>
      <c r="I31" s="16" t="n"/>
      <c r="J31" s="16" t="n"/>
      <c r="K31" s="16" t="n"/>
      <c r="L31" s="16" t="n"/>
      <c r="M31" s="16" t="n"/>
    </row>
    <row r="32">
      <c r="A32" s="16" t="n"/>
      <c r="B32" s="16" t="n"/>
      <c r="C32" s="16" t="n"/>
      <c r="D32" s="16" t="n"/>
      <c r="E32" s="16" t="n"/>
      <c r="F32" s="16" t="n"/>
      <c r="G32" s="16" t="n"/>
      <c r="H32" s="16" t="n"/>
      <c r="I32" s="16" t="n"/>
      <c r="J32" s="16" t="n"/>
      <c r="K32" s="16" t="n"/>
      <c r="L32" s="16" t="n"/>
      <c r="M32" s="16" t="n"/>
    </row>
    <row r="33">
      <c r="A33" s="16" t="n"/>
      <c r="B33" s="16" t="n"/>
      <c r="C33" s="16" t="n"/>
      <c r="D33" s="16" t="n"/>
      <c r="E33" s="16" t="n"/>
      <c r="F33" s="16" t="n"/>
      <c r="G33" s="16" t="n"/>
      <c r="H33" s="16" t="n"/>
      <c r="I33" s="16" t="n"/>
      <c r="J33" s="16" t="n"/>
      <c r="K33" s="16" t="n"/>
      <c r="L33" s="16" t="n"/>
      <c r="M33" s="16" t="n"/>
    </row>
    <row r="34">
      <c r="A34" s="16" t="n"/>
      <c r="B34" s="16" t="n"/>
      <c r="C34" s="16" t="n"/>
      <c r="D34" s="16" t="n"/>
      <c r="E34" s="16" t="n"/>
      <c r="F34" s="16" t="n"/>
      <c r="G34" s="16" t="n"/>
      <c r="H34" s="16" t="n"/>
      <c r="I34" s="16" t="n"/>
      <c r="J34" s="16" t="n"/>
      <c r="K34" s="16" t="n"/>
      <c r="L34" s="16" t="n"/>
      <c r="M34" s="16" t="n"/>
    </row>
    <row r="35">
      <c r="A35" s="16" t="n"/>
      <c r="B35" s="16" t="n"/>
      <c r="C35" s="16" t="n"/>
      <c r="D35" s="16" t="n"/>
      <c r="E35" s="16" t="n"/>
      <c r="F35" s="16" t="n"/>
      <c r="G35" s="16" t="n"/>
      <c r="H35" s="16" t="n"/>
      <c r="I35" s="16" t="n"/>
      <c r="J35" s="16" t="n"/>
      <c r="K35" s="16" t="n"/>
      <c r="L35" s="16" t="n"/>
      <c r="M35" s="16" t="n"/>
    </row>
    <row r="36">
      <c r="A36" s="16" t="n"/>
      <c r="B36" s="16" t="n"/>
      <c r="C36" s="16" t="n"/>
      <c r="D36" s="16" t="n"/>
      <c r="E36" s="16" t="n"/>
      <c r="F36" s="16" t="n"/>
      <c r="G36" s="16" t="n"/>
      <c r="H36" s="16" t="n"/>
      <c r="I36" s="16" t="n"/>
      <c r="J36" s="16" t="n"/>
      <c r="K36" s="16" t="n"/>
      <c r="L36" s="16" t="n"/>
      <c r="M36" s="16" t="n"/>
    </row>
    <row r="37">
      <c r="A37" s="16" t="n"/>
      <c r="B37" s="16" t="n"/>
      <c r="C37" s="16" t="n"/>
      <c r="D37" s="16" t="n"/>
      <c r="E37" s="16" t="n"/>
      <c r="F37" s="16" t="n"/>
      <c r="G37" s="16" t="n"/>
      <c r="H37" s="16" t="n"/>
      <c r="I37" s="16" t="n"/>
      <c r="J37" s="16" t="n"/>
      <c r="K37" s="16" t="n"/>
      <c r="L37" s="16" t="n"/>
      <c r="M37" s="16" t="n"/>
    </row>
    <row r="38">
      <c r="A38" s="16" t="n"/>
      <c r="B38" s="16" t="n"/>
      <c r="C38" s="16" t="n"/>
      <c r="D38" s="16" t="n"/>
      <c r="E38" s="16" t="n"/>
      <c r="F38" s="16" t="n"/>
      <c r="G38" s="16" t="n"/>
      <c r="H38" s="16" t="n"/>
      <c r="I38" s="16" t="n"/>
      <c r="J38" s="16" t="n"/>
      <c r="K38" s="16" t="n"/>
      <c r="L38" s="16" t="n"/>
      <c r="M38" s="16" t="n"/>
    </row>
    <row r="39">
      <c r="A39" s="16" t="n"/>
      <c r="B39" s="16" t="n"/>
      <c r="C39" s="16" t="n"/>
      <c r="D39" s="16" t="n"/>
      <c r="E39" s="16" t="n"/>
      <c r="F39" s="16" t="n"/>
      <c r="G39" s="16" t="n"/>
      <c r="H39" s="16" t="n"/>
      <c r="I39" s="16" t="n"/>
      <c r="J39" s="16" t="n"/>
      <c r="K39" s="16" t="n"/>
      <c r="L39" s="16" t="n"/>
      <c r="M39" s="16" t="n"/>
    </row>
    <row r="40">
      <c r="A40" s="16" t="n"/>
      <c r="B40" s="16" t="n"/>
      <c r="C40" s="16" t="n"/>
      <c r="D40" s="16" t="n"/>
      <c r="E40" s="16" t="n"/>
      <c r="F40" s="16" t="n"/>
      <c r="G40" s="16" t="n"/>
      <c r="H40" s="16" t="n"/>
      <c r="I40" s="16" t="n"/>
      <c r="J40" s="16" t="n"/>
      <c r="K40" s="16" t="n"/>
      <c r="L40" s="16" t="n"/>
      <c r="M40" s="16" t="n"/>
    </row>
    <row r="41">
      <c r="A41" s="16" t="n"/>
      <c r="B41" s="16" t="n"/>
      <c r="C41" s="16" t="n"/>
      <c r="D41" s="16" t="n"/>
      <c r="E41" s="16" t="n"/>
      <c r="F41" s="16" t="n"/>
      <c r="G41" s="16" t="n"/>
      <c r="H41" s="16" t="n"/>
      <c r="I41" s="16" t="n"/>
      <c r="J41" s="16" t="n"/>
      <c r="K41" s="16" t="n"/>
      <c r="L41" s="16" t="n"/>
      <c r="M41" s="16" t="n"/>
    </row>
    <row r="42">
      <c r="A42" s="16" t="n"/>
      <c r="B42" s="16" t="n"/>
      <c r="C42" s="16" t="n"/>
      <c r="D42" s="16" t="n"/>
      <c r="E42" s="16" t="n"/>
      <c r="F42" s="16" t="n"/>
      <c r="G42" s="16" t="n"/>
      <c r="H42" s="16" t="n"/>
      <c r="I42" s="16" t="n"/>
      <c r="J42" s="16" t="n"/>
      <c r="K42" s="16" t="n"/>
      <c r="L42" s="16" t="n"/>
      <c r="M42" s="16" t="n"/>
    </row>
    <row r="43">
      <c r="A43" s="16" t="n"/>
      <c r="B43" s="16" t="n"/>
      <c r="C43" s="16" t="n"/>
      <c r="D43" s="16" t="n"/>
      <c r="E43" s="16" t="n"/>
      <c r="F43" s="16" t="n"/>
      <c r="G43" s="16" t="n"/>
      <c r="H43" s="16" t="n"/>
      <c r="I43" s="16" t="n"/>
      <c r="J43" s="16" t="n"/>
      <c r="K43" s="16" t="n"/>
      <c r="L43" s="16" t="n"/>
      <c r="M43" s="16" t="n"/>
    </row>
    <row r="44">
      <c r="A44" s="16" t="n"/>
      <c r="B44" s="16" t="n"/>
      <c r="C44" s="16" t="n"/>
      <c r="D44" s="16" t="n"/>
      <c r="E44" s="16" t="n"/>
      <c r="F44" s="16" t="n"/>
      <c r="G44" s="16" t="n"/>
      <c r="H44" s="16" t="n"/>
      <c r="I44" s="16" t="n"/>
      <c r="J44" s="16" t="n"/>
      <c r="K44" s="16" t="n"/>
      <c r="L44" s="16" t="n"/>
      <c r="M44" s="16" t="n"/>
    </row>
    <row r="45">
      <c r="A45" s="16" t="n"/>
      <c r="B45" s="16" t="n"/>
      <c r="C45" s="16" t="n"/>
      <c r="D45" s="16" t="n"/>
      <c r="E45" s="16" t="n"/>
      <c r="F45" s="16" t="n"/>
      <c r="G45" s="16" t="n"/>
      <c r="H45" s="16" t="n"/>
      <c r="I45" s="16" t="n"/>
      <c r="J45" s="16" t="n"/>
      <c r="K45" s="16" t="n"/>
      <c r="L45" s="16" t="n"/>
      <c r="M45" s="16" t="n"/>
    </row>
    <row r="46">
      <c r="A46" s="16" t="n"/>
      <c r="B46" s="16" t="n"/>
      <c r="C46" s="16" t="n"/>
      <c r="D46" s="16" t="n"/>
      <c r="E46" s="16" t="n"/>
      <c r="F46" s="16" t="n"/>
      <c r="G46" s="16" t="n"/>
      <c r="H46" s="16" t="n"/>
      <c r="I46" s="16" t="n"/>
      <c r="J46" s="16" t="n"/>
      <c r="K46" s="16" t="n"/>
      <c r="L46" s="16" t="n"/>
      <c r="M46" s="16" t="n"/>
    </row>
    <row r="47">
      <c r="A47" s="16" t="n"/>
      <c r="B47" s="16" t="n"/>
      <c r="C47" s="16" t="n"/>
      <c r="D47" s="16" t="n"/>
      <c r="E47" s="16" t="n"/>
      <c r="F47" s="16" t="n"/>
      <c r="G47" s="16" t="n"/>
      <c r="H47" s="16" t="n"/>
      <c r="I47" s="16" t="n"/>
      <c r="J47" s="16" t="n"/>
      <c r="K47" s="16" t="n"/>
      <c r="L47" s="16" t="n"/>
      <c r="M47" s="16" t="n"/>
    </row>
    <row r="48">
      <c r="A48" s="16" t="n"/>
      <c r="B48" s="16" t="n"/>
      <c r="C48" s="16" t="n"/>
      <c r="D48" s="16" t="n"/>
      <c r="E48" s="16" t="n"/>
      <c r="F48" s="16" t="n"/>
      <c r="G48" s="16" t="n"/>
      <c r="H48" s="16" t="n"/>
      <c r="I48" s="16" t="n"/>
      <c r="J48" s="16" t="n"/>
      <c r="K48" s="16" t="n"/>
      <c r="L48" s="16" t="n"/>
      <c r="M48" s="16" t="n"/>
    </row>
    <row r="49">
      <c r="A49" s="16" t="n"/>
      <c r="B49" s="16" t="n"/>
      <c r="C49" s="16" t="n"/>
      <c r="D49" s="16" t="n"/>
      <c r="E49" s="16" t="n"/>
      <c r="F49" s="16" t="n"/>
      <c r="G49" s="16" t="n"/>
      <c r="H49" s="16" t="n"/>
      <c r="I49" s="16" t="n"/>
      <c r="J49" s="16" t="n"/>
      <c r="K49" s="16" t="n"/>
      <c r="L49" s="16" t="n"/>
      <c r="M49" s="16" t="n"/>
    </row>
    <row r="50">
      <c r="A50" s="16" t="n"/>
      <c r="B50" s="16" t="n"/>
      <c r="C50" s="16" t="n"/>
      <c r="D50" s="16" t="n"/>
      <c r="E50" s="16" t="n"/>
      <c r="F50" s="16" t="n"/>
      <c r="G50" s="16" t="n"/>
      <c r="H50" s="16" t="n"/>
      <c r="I50" s="16" t="n"/>
      <c r="J50" s="16" t="n"/>
      <c r="K50" s="16" t="n"/>
      <c r="L50" s="16" t="n"/>
      <c r="M50" s="16" t="n"/>
    </row>
    <row r="51">
      <c r="A51" s="16" t="n"/>
      <c r="B51" s="16" t="n"/>
      <c r="C51" s="16" t="n"/>
      <c r="D51" s="16" t="n"/>
      <c r="E51" s="16" t="n"/>
      <c r="F51" s="16" t="n"/>
      <c r="G51" s="16" t="n"/>
      <c r="H51" s="16" t="n"/>
      <c r="I51" s="16" t="n"/>
      <c r="J51" s="16" t="n"/>
      <c r="K51" s="16" t="n"/>
      <c r="L51" s="16" t="n"/>
      <c r="M51" s="16" t="n"/>
    </row>
    <row r="52">
      <c r="A52" s="16" t="n"/>
      <c r="B52" s="16" t="n"/>
      <c r="C52" s="16" t="n"/>
      <c r="D52" s="16" t="n"/>
      <c r="E52" s="16" t="n"/>
      <c r="F52" s="16" t="n"/>
      <c r="G52" s="16" t="n"/>
      <c r="H52" s="16" t="n"/>
      <c r="I52" s="16" t="n"/>
      <c r="J52" s="16" t="n"/>
      <c r="K52" s="16" t="n"/>
      <c r="L52" s="16" t="n"/>
      <c r="M52" s="16" t="n"/>
    </row>
    <row r="53">
      <c r="A53" s="16" t="n"/>
      <c r="B53" s="16" t="n"/>
      <c r="C53" s="16" t="n"/>
      <c r="D53" s="16" t="n"/>
      <c r="E53" s="16" t="n"/>
      <c r="F53" s="16" t="n"/>
      <c r="G53" s="16" t="n"/>
      <c r="H53" s="16" t="n"/>
      <c r="I53" s="16" t="n"/>
      <c r="J53" s="16" t="n"/>
      <c r="K53" s="16" t="n"/>
      <c r="L53" s="16" t="n"/>
      <c r="M53" s="16" t="n"/>
    </row>
    <row r="54">
      <c r="A54" s="16" t="n"/>
      <c r="B54" s="16" t="n"/>
      <c r="C54" s="16" t="n"/>
      <c r="D54" s="16" t="n"/>
      <c r="E54" s="16" t="n"/>
      <c r="F54" s="16" t="n"/>
      <c r="G54" s="16" t="n"/>
      <c r="H54" s="16" t="n"/>
      <c r="I54" s="16" t="n"/>
      <c r="J54" s="16" t="n"/>
      <c r="K54" s="16" t="n"/>
      <c r="L54" s="16" t="n"/>
      <c r="M54" s="16" t="n"/>
    </row>
    <row r="55">
      <c r="A55" s="16" t="n"/>
      <c r="B55" s="16" t="n"/>
      <c r="C55" s="16" t="n"/>
      <c r="D55" s="16" t="n"/>
      <c r="E55" s="16" t="n"/>
      <c r="F55" s="16" t="n"/>
      <c r="G55" s="16" t="n"/>
      <c r="H55" s="16" t="n"/>
      <c r="I55" s="16" t="n"/>
      <c r="J55" s="16" t="n"/>
      <c r="K55" s="16" t="n"/>
      <c r="L55" s="16" t="n"/>
      <c r="M55" s="16" t="n"/>
    </row>
    <row r="56">
      <c r="A56" s="16" t="n"/>
      <c r="B56" s="16" t="n"/>
      <c r="C56" s="16" t="n"/>
      <c r="D56" s="16" t="n"/>
      <c r="E56" s="16" t="n"/>
      <c r="F56" s="16" t="n"/>
      <c r="G56" s="16" t="n"/>
      <c r="H56" s="16" t="n"/>
      <c r="I56" s="16" t="n"/>
      <c r="J56" s="16" t="n"/>
      <c r="K56" s="16" t="n"/>
      <c r="L56" s="16" t="n"/>
      <c r="M56" s="16" t="n"/>
    </row>
    <row r="57">
      <c r="A57" s="16" t="n"/>
      <c r="B57" s="16" t="n"/>
      <c r="C57" s="16" t="n"/>
      <c r="D57" s="16" t="n"/>
      <c r="E57" s="16" t="n"/>
      <c r="F57" s="16" t="n"/>
      <c r="G57" s="16" t="n"/>
      <c r="H57" s="16" t="n"/>
      <c r="I57" s="16" t="n"/>
      <c r="J57" s="16" t="n"/>
      <c r="K57" s="16" t="n"/>
      <c r="L57" s="16" t="n"/>
      <c r="M57" s="16" t="n"/>
    </row>
    <row r="58">
      <c r="A58" s="16" t="n"/>
      <c r="B58" s="16" t="n"/>
      <c r="C58" s="16" t="n"/>
      <c r="D58" s="16" t="n"/>
      <c r="E58" s="16" t="n"/>
      <c r="F58" s="16" t="n"/>
      <c r="G58" s="16" t="n"/>
      <c r="H58" s="16" t="n"/>
      <c r="I58" s="16" t="n"/>
      <c r="J58" s="16" t="n"/>
      <c r="K58" s="16" t="n"/>
      <c r="L58" s="16" t="n"/>
      <c r="M58" s="16" t="n"/>
    </row>
    <row r="59">
      <c r="A59" s="16" t="n"/>
      <c r="B59" s="16" t="n"/>
      <c r="C59" s="16" t="n"/>
      <c r="D59" s="16" t="n"/>
      <c r="E59" s="16" t="n"/>
      <c r="F59" s="16" t="n"/>
      <c r="G59" s="16" t="n"/>
      <c r="H59" s="16" t="n"/>
      <c r="I59" s="16" t="n"/>
      <c r="J59" s="16" t="n"/>
      <c r="K59" s="16" t="n"/>
      <c r="L59" s="16" t="n"/>
      <c r="M59" s="16" t="n"/>
    </row>
    <row r="60">
      <c r="A60" s="16" t="n"/>
      <c r="B60" s="16" t="n"/>
      <c r="C60" s="16" t="n"/>
      <c r="D60" s="16" t="n"/>
      <c r="E60" s="16" t="n"/>
      <c r="F60" s="16" t="n"/>
      <c r="G60" s="16" t="n"/>
      <c r="H60" s="16" t="n"/>
      <c r="I60" s="16" t="n"/>
      <c r="J60" s="16" t="n"/>
      <c r="K60" s="16" t="n"/>
      <c r="L60" s="16" t="n"/>
      <c r="M60" s="16" t="n"/>
    </row>
    <row r="61">
      <c r="A61" s="16" t="n"/>
      <c r="B61" s="16" t="n"/>
      <c r="C61" s="16" t="n"/>
      <c r="D61" s="16" t="n"/>
      <c r="E61" s="16" t="n"/>
      <c r="F61" s="16" t="n"/>
      <c r="G61" s="16" t="n"/>
      <c r="H61" s="16" t="n"/>
      <c r="I61" s="16" t="n"/>
      <c r="J61" s="16" t="n"/>
      <c r="K61" s="16" t="n"/>
      <c r="L61" s="16" t="n"/>
      <c r="M61" s="16" t="n"/>
    </row>
    <row r="62">
      <c r="A62" s="16" t="n"/>
      <c r="B62" s="16" t="n"/>
      <c r="C62" s="16" t="n"/>
      <c r="D62" s="16" t="n"/>
      <c r="E62" s="16" t="n"/>
      <c r="F62" s="16" t="n"/>
      <c r="G62" s="16" t="n"/>
      <c r="H62" s="16" t="n"/>
      <c r="I62" s="16" t="n"/>
      <c r="J62" s="16" t="n"/>
      <c r="K62" s="16" t="n"/>
      <c r="L62" s="16" t="n"/>
      <c r="M62" s="16" t="n"/>
    </row>
    <row r="63">
      <c r="A63" s="16" t="n"/>
      <c r="B63" s="16" t="n"/>
      <c r="C63" s="16" t="n"/>
      <c r="D63" s="16" t="n"/>
      <c r="E63" s="16" t="n"/>
      <c r="F63" s="16" t="n"/>
      <c r="G63" s="16" t="n"/>
      <c r="H63" s="16" t="n"/>
      <c r="I63" s="16" t="n"/>
      <c r="J63" s="16" t="n"/>
      <c r="K63" s="16" t="n"/>
      <c r="L63" s="16" t="n"/>
      <c r="M63" s="16" t="n"/>
    </row>
    <row r="64">
      <c r="A64" s="16" t="n"/>
      <c r="B64" s="16" t="n"/>
      <c r="C64" s="16" t="n"/>
      <c r="D64" s="16" t="n"/>
      <c r="E64" s="16" t="n"/>
      <c r="F64" s="16" t="n"/>
      <c r="G64" s="16" t="n"/>
      <c r="H64" s="16" t="n"/>
      <c r="I64" s="16" t="n"/>
      <c r="J64" s="16" t="n"/>
      <c r="K64" s="16" t="n"/>
      <c r="L64" s="16" t="n"/>
      <c r="M64" s="16" t="n"/>
    </row>
    <row r="65">
      <c r="A65" s="16" t="n"/>
      <c r="B65" s="16" t="n"/>
      <c r="C65" s="16" t="n"/>
      <c r="D65" s="16" t="n"/>
      <c r="E65" s="16" t="n"/>
      <c r="F65" s="16" t="n"/>
      <c r="G65" s="16" t="n"/>
      <c r="H65" s="16" t="n"/>
      <c r="I65" s="16" t="n"/>
      <c r="J65" s="16" t="n"/>
      <c r="K65" s="16" t="n"/>
      <c r="L65" s="16" t="n"/>
      <c r="M65" s="16" t="n"/>
    </row>
    <row r="66">
      <c r="A66" s="16" t="n"/>
      <c r="B66" s="16" t="n"/>
      <c r="C66" s="16" t="n"/>
      <c r="D66" s="16" t="n"/>
      <c r="E66" s="16" t="n"/>
      <c r="F66" s="16" t="n"/>
      <c r="G66" s="16" t="n"/>
      <c r="H66" s="16" t="n"/>
      <c r="I66" s="16" t="n"/>
      <c r="J66" s="16" t="n"/>
      <c r="K66" s="16" t="n"/>
      <c r="L66" s="16" t="n"/>
      <c r="M66" s="16" t="n"/>
    </row>
    <row r="67">
      <c r="A67" s="16" t="n"/>
      <c r="B67" s="16" t="n"/>
      <c r="C67" s="16" t="n"/>
      <c r="D67" s="16" t="n"/>
      <c r="E67" s="16" t="n"/>
      <c r="F67" s="16" t="n"/>
      <c r="G67" s="16" t="n"/>
      <c r="H67" s="16" t="n"/>
      <c r="I67" s="16" t="n"/>
      <c r="J67" s="16" t="n"/>
      <c r="K67" s="16" t="n"/>
      <c r="L67" s="16" t="n"/>
      <c r="M67" s="16" t="n"/>
    </row>
    <row r="68">
      <c r="A68" s="16" t="n"/>
      <c r="B68" s="16" t="n"/>
      <c r="C68" s="16" t="n"/>
      <c r="D68" s="16" t="n"/>
      <c r="E68" s="16" t="n"/>
      <c r="F68" s="16" t="n"/>
      <c r="G68" s="16" t="n"/>
      <c r="H68" s="16" t="n"/>
      <c r="I68" s="16" t="n"/>
      <c r="J68" s="16" t="n"/>
      <c r="K68" s="16" t="n"/>
      <c r="L68" s="16" t="n"/>
      <c r="M68" s="16" t="n"/>
    </row>
    <row r="69">
      <c r="A69" s="16" t="n"/>
      <c r="B69" s="16" t="n"/>
      <c r="C69" s="16" t="n"/>
      <c r="D69" s="16" t="n"/>
      <c r="E69" s="16" t="n"/>
      <c r="F69" s="16" t="n"/>
      <c r="G69" s="16" t="n"/>
      <c r="H69" s="16" t="n"/>
      <c r="I69" s="16" t="n"/>
      <c r="J69" s="16" t="n"/>
      <c r="K69" s="16" t="n"/>
      <c r="L69" s="16" t="n"/>
      <c r="M69" s="16" t="n"/>
    </row>
    <row r="70">
      <c r="A70" s="16" t="n"/>
      <c r="B70" s="16" t="n"/>
      <c r="C70" s="16" t="n"/>
      <c r="D70" s="16" t="n"/>
      <c r="E70" s="16" t="n"/>
      <c r="F70" s="16" t="n"/>
      <c r="G70" s="16" t="n"/>
      <c r="H70" s="16" t="n"/>
      <c r="I70" s="16" t="n"/>
      <c r="J70" s="16" t="n"/>
      <c r="K70" s="16" t="n"/>
      <c r="L70" s="16" t="n"/>
      <c r="M70" s="16" t="n"/>
    </row>
    <row r="71">
      <c r="A71" s="16" t="n"/>
      <c r="B71" s="16" t="n"/>
      <c r="C71" s="16" t="n"/>
      <c r="D71" s="16" t="n"/>
      <c r="E71" s="16" t="n"/>
      <c r="F71" s="16" t="n"/>
      <c r="G71" s="16" t="n"/>
      <c r="H71" s="16" t="n"/>
      <c r="I71" s="16" t="n"/>
      <c r="J71" s="16" t="n"/>
      <c r="K71" s="16" t="n"/>
      <c r="L71" s="16" t="n"/>
      <c r="M71" s="16" t="n"/>
    </row>
    <row r="72">
      <c r="A72" s="16" t="n"/>
      <c r="B72" s="16" t="n"/>
      <c r="C72" s="16" t="n"/>
      <c r="D72" s="16" t="n"/>
      <c r="E72" s="16" t="n"/>
      <c r="F72" s="16" t="n"/>
      <c r="G72" s="16" t="n"/>
      <c r="H72" s="16" t="n"/>
      <c r="I72" s="16" t="n"/>
      <c r="J72" s="16" t="n"/>
      <c r="K72" s="16" t="n"/>
      <c r="L72" s="16" t="n"/>
      <c r="M72" s="16" t="n"/>
    </row>
    <row r="73">
      <c r="A73" s="16" t="n"/>
      <c r="B73" s="16" t="n"/>
      <c r="C73" s="16" t="n"/>
      <c r="D73" s="16" t="n"/>
      <c r="E73" s="16" t="n"/>
      <c r="F73" s="16" t="n"/>
      <c r="G73" s="16" t="n"/>
      <c r="H73" s="16" t="n"/>
      <c r="I73" s="16" t="n"/>
      <c r="J73" s="16" t="n"/>
      <c r="K73" s="16" t="n"/>
      <c r="L73" s="16" t="n"/>
      <c r="M73" s="16" t="n"/>
    </row>
    <row r="74">
      <c r="A74" s="16" t="n"/>
      <c r="B74" s="16" t="n"/>
      <c r="C74" s="16" t="n"/>
      <c r="D74" s="16" t="n"/>
      <c r="E74" s="16" t="n"/>
      <c r="F74" s="16" t="n"/>
      <c r="G74" s="16" t="n"/>
      <c r="H74" s="16" t="n"/>
      <c r="I74" s="16" t="n"/>
      <c r="J74" s="16" t="n"/>
      <c r="K74" s="16" t="n"/>
      <c r="L74" s="16" t="n"/>
      <c r="M74" s="16" t="n"/>
    </row>
    <row r="75">
      <c r="A75" s="16" t="n"/>
      <c r="B75" s="16" t="n"/>
      <c r="C75" s="16" t="n"/>
      <c r="D75" s="16" t="n"/>
      <c r="E75" s="16" t="n"/>
      <c r="F75" s="16" t="n"/>
      <c r="G75" s="16" t="n"/>
      <c r="H75" s="16" t="n"/>
      <c r="I75" s="16" t="n"/>
      <c r="J75" s="16" t="n"/>
      <c r="K75" s="16" t="n"/>
      <c r="L75" s="16" t="n"/>
      <c r="M75" s="16" t="n"/>
    </row>
    <row r="76">
      <c r="A76" s="16" t="n"/>
      <c r="B76" s="16" t="n"/>
      <c r="C76" s="16" t="n"/>
      <c r="D76" s="16" t="n"/>
      <c r="E76" s="16" t="n"/>
      <c r="F76" s="16" t="n"/>
      <c r="G76" s="16" t="n"/>
      <c r="H76" s="16" t="n"/>
      <c r="I76" s="16" t="n"/>
      <c r="J76" s="16" t="n"/>
      <c r="K76" s="16" t="n"/>
      <c r="L76" s="16" t="n"/>
      <c r="M76" s="16" t="n"/>
    </row>
    <row r="77">
      <c r="A77" s="16" t="n"/>
      <c r="B77" s="16" t="n"/>
      <c r="C77" s="16" t="n"/>
      <c r="D77" s="16" t="n"/>
      <c r="E77" s="16" t="n"/>
      <c r="F77" s="16" t="n"/>
      <c r="G77" s="16" t="n"/>
      <c r="H77" s="16" t="n"/>
      <c r="I77" s="16" t="n"/>
      <c r="J77" s="16" t="n"/>
      <c r="K77" s="16" t="n"/>
      <c r="L77" s="16" t="n"/>
      <c r="M77" s="16" t="n"/>
    </row>
    <row r="78">
      <c r="A78" s="16" t="n"/>
      <c r="B78" s="16" t="n"/>
      <c r="C78" s="16" t="n"/>
      <c r="D78" s="16" t="n"/>
      <c r="E78" s="16" t="n"/>
      <c r="F78" s="16" t="n"/>
      <c r="G78" s="16" t="n"/>
      <c r="H78" s="16" t="n"/>
      <c r="I78" s="16" t="n"/>
      <c r="J78" s="16" t="n"/>
      <c r="K78" s="16" t="n"/>
      <c r="L78" s="16" t="n"/>
      <c r="M78" s="16" t="n"/>
    </row>
    <row r="79">
      <c r="A79" s="16" t="n"/>
      <c r="B79" s="16" t="n"/>
      <c r="C79" s="16" t="n"/>
      <c r="D79" s="16" t="n"/>
      <c r="E79" s="16" t="n"/>
      <c r="F79" s="16" t="n"/>
      <c r="G79" s="16" t="n"/>
      <c r="H79" s="16" t="n"/>
      <c r="I79" s="16" t="n"/>
      <c r="J79" s="16" t="n"/>
      <c r="K79" s="16" t="n"/>
      <c r="L79" s="16" t="n"/>
      <c r="M79" s="16" t="n"/>
    </row>
    <row r="80">
      <c r="A80" s="16" t="n"/>
      <c r="B80" s="16" t="n"/>
      <c r="C80" s="16" t="n"/>
      <c r="D80" s="16" t="n"/>
      <c r="E80" s="16" t="n"/>
      <c r="F80" s="16" t="n"/>
      <c r="G80" s="16" t="n"/>
      <c r="H80" s="16" t="n"/>
      <c r="I80" s="16" t="n"/>
      <c r="J80" s="16" t="n"/>
      <c r="K80" s="16" t="n"/>
      <c r="L80" s="16" t="n"/>
      <c r="M80" s="16" t="n"/>
    </row>
    <row r="81">
      <c r="A81" s="16" t="n"/>
      <c r="B81" s="16" t="n"/>
      <c r="C81" s="16" t="n"/>
      <c r="D81" s="16" t="n"/>
      <c r="E81" s="16" t="n"/>
      <c r="F81" s="16" t="n"/>
      <c r="G81" s="16" t="n"/>
      <c r="H81" s="16" t="n"/>
      <c r="I81" s="16" t="n"/>
      <c r="J81" s="16" t="n"/>
      <c r="K81" s="16" t="n"/>
      <c r="L81" s="16" t="n"/>
      <c r="M81" s="16" t="n"/>
    </row>
    <row r="82">
      <c r="A82" s="16" t="n"/>
      <c r="B82" s="16" t="n"/>
      <c r="C82" s="16" t="n"/>
      <c r="D82" s="16" t="n"/>
      <c r="E82" s="16" t="n"/>
      <c r="F82" s="16" t="n"/>
      <c r="G82" s="16" t="n"/>
      <c r="H82" s="16" t="n"/>
      <c r="I82" s="16" t="n"/>
      <c r="J82" s="16" t="n"/>
      <c r="K82" s="16" t="n"/>
      <c r="L82" s="16" t="n"/>
      <c r="M82" s="16" t="n"/>
    </row>
    <row r="83">
      <c r="A83" s="16" t="n"/>
      <c r="B83" s="16" t="n"/>
      <c r="C83" s="16" t="n"/>
      <c r="D83" s="16" t="n"/>
      <c r="E83" s="16" t="n"/>
      <c r="F83" s="16" t="n"/>
      <c r="G83" s="16" t="n"/>
      <c r="H83" s="16" t="n"/>
      <c r="I83" s="16" t="n"/>
      <c r="J83" s="16" t="n"/>
      <c r="K83" s="16" t="n"/>
      <c r="L83" s="16" t="n"/>
      <c r="M83" s="16" t="n"/>
    </row>
    <row r="84">
      <c r="A84" s="16" t="n"/>
      <c r="B84" s="16" t="n"/>
      <c r="C84" s="16" t="n"/>
      <c r="D84" s="16" t="n"/>
      <c r="E84" s="16" t="n"/>
      <c r="F84" s="16" t="n"/>
      <c r="G84" s="16" t="n"/>
      <c r="H84" s="16" t="n"/>
      <c r="I84" s="16" t="n"/>
      <c r="J84" s="16" t="n"/>
      <c r="K84" s="16" t="n"/>
      <c r="L84" s="16" t="n"/>
      <c r="M84" s="16" t="n"/>
    </row>
    <row r="85">
      <c r="A85" s="16" t="n"/>
      <c r="B85" s="16" t="n"/>
      <c r="C85" s="16" t="n"/>
      <c r="D85" s="16" t="n"/>
      <c r="E85" s="16" t="n"/>
      <c r="F85" s="16" t="n"/>
      <c r="G85" s="16" t="n"/>
      <c r="H85" s="16" t="n"/>
      <c r="I85" s="16" t="n"/>
      <c r="J85" s="16" t="n"/>
      <c r="K85" s="16" t="n"/>
      <c r="L85" s="16" t="n"/>
      <c r="M85" s="16" t="n"/>
    </row>
    <row r="86">
      <c r="A86" s="16" t="n"/>
      <c r="B86" s="16" t="n"/>
      <c r="C86" s="16" t="n"/>
      <c r="D86" s="16" t="n"/>
      <c r="E86" s="16" t="n"/>
      <c r="F86" s="16" t="n"/>
      <c r="G86" s="16" t="n"/>
      <c r="H86" s="16" t="n"/>
      <c r="I86" s="16" t="n"/>
      <c r="J86" s="16" t="n"/>
      <c r="K86" s="16" t="n"/>
      <c r="L86" s="16" t="n"/>
      <c r="M86" s="16" t="n"/>
    </row>
    <row r="87">
      <c r="A87" s="16" t="n"/>
      <c r="B87" s="16" t="n"/>
      <c r="C87" s="16" t="n"/>
      <c r="D87" s="16" t="n"/>
      <c r="E87" s="16" t="n"/>
      <c r="F87" s="16" t="n"/>
      <c r="G87" s="16" t="n"/>
      <c r="H87" s="16" t="n"/>
      <c r="I87" s="16" t="n"/>
      <c r="J87" s="16" t="n"/>
      <c r="K87" s="16" t="n"/>
      <c r="L87" s="16" t="n"/>
      <c r="M87" s="16" t="n"/>
    </row>
    <row r="88">
      <c r="A88" s="16" t="n"/>
      <c r="B88" s="16" t="n"/>
      <c r="C88" s="16" t="n"/>
      <c r="D88" s="16" t="n"/>
      <c r="E88" s="16" t="n"/>
      <c r="F88" s="16" t="n"/>
      <c r="G88" s="16" t="n"/>
      <c r="H88" s="16" t="n"/>
      <c r="I88" s="16" t="n"/>
      <c r="J88" s="16" t="n"/>
      <c r="K88" s="16" t="n"/>
      <c r="L88" s="16" t="n"/>
      <c r="M88" s="16" t="n"/>
    </row>
    <row r="89">
      <c r="A89" s="16" t="n"/>
      <c r="B89" s="16" t="n"/>
      <c r="C89" s="16" t="n"/>
      <c r="D89" s="16" t="n"/>
      <c r="E89" s="16" t="n"/>
      <c r="F89" s="16" t="n"/>
      <c r="G89" s="16" t="n"/>
      <c r="H89" s="16" t="n"/>
      <c r="I89" s="16" t="n"/>
      <c r="J89" s="16" t="n"/>
      <c r="K89" s="16" t="n"/>
      <c r="L89" s="16" t="n"/>
      <c r="M89" s="16" t="n"/>
    </row>
    <row r="90">
      <c r="A90" s="16" t="n"/>
      <c r="B90" s="16" t="n"/>
      <c r="C90" s="16" t="n"/>
      <c r="D90" s="16" t="n"/>
      <c r="E90" s="16" t="n"/>
      <c r="F90" s="16" t="n"/>
      <c r="G90" s="16" t="n"/>
      <c r="H90" s="16" t="n"/>
      <c r="I90" s="16" t="n"/>
      <c r="J90" s="16" t="n"/>
      <c r="K90" s="16" t="n"/>
      <c r="L90" s="16" t="n"/>
      <c r="M90" s="16" t="n"/>
    </row>
    <row r="91">
      <c r="A91" s="16" t="n"/>
      <c r="B91" s="16" t="n"/>
      <c r="C91" s="16" t="n"/>
      <c r="D91" s="16" t="n"/>
      <c r="E91" s="16" t="n"/>
      <c r="F91" s="16" t="n"/>
      <c r="G91" s="16" t="n"/>
      <c r="H91" s="16" t="n"/>
      <c r="I91" s="16" t="n"/>
      <c r="J91" s="16" t="n"/>
      <c r="K91" s="16" t="n"/>
      <c r="L91" s="16" t="n"/>
      <c r="M91" s="16" t="n"/>
    </row>
    <row r="92">
      <c r="A92" s="16" t="n"/>
      <c r="B92" s="16" t="n"/>
      <c r="C92" s="16" t="n"/>
      <c r="D92" s="16" t="n"/>
      <c r="E92" s="16" t="n"/>
      <c r="F92" s="16" t="n"/>
      <c r="G92" s="16" t="n"/>
      <c r="H92" s="16" t="n"/>
      <c r="I92" s="16" t="n"/>
      <c r="J92" s="16" t="n"/>
      <c r="K92" s="16" t="n"/>
      <c r="L92" s="16" t="n"/>
      <c r="M92" s="16" t="n"/>
    </row>
    <row r="93">
      <c r="A93" s="16" t="n"/>
      <c r="B93" s="16" t="n"/>
      <c r="C93" s="16" t="n"/>
      <c r="D93" s="16" t="n"/>
      <c r="E93" s="16" t="n"/>
      <c r="F93" s="16" t="n"/>
      <c r="G93" s="16" t="n"/>
      <c r="H93" s="16" t="n"/>
      <c r="I93" s="16" t="n"/>
      <c r="J93" s="16" t="n"/>
      <c r="K93" s="16" t="n"/>
      <c r="L93" s="16" t="n"/>
      <c r="M93" s="16" t="n"/>
    </row>
    <row r="94">
      <c r="A94" s="16" t="n"/>
      <c r="B94" s="16" t="n"/>
      <c r="C94" s="16" t="n"/>
      <c r="D94" s="16" t="n"/>
      <c r="E94" s="16" t="n"/>
      <c r="F94" s="16" t="n"/>
      <c r="G94" s="16" t="n"/>
      <c r="H94" s="16" t="n"/>
      <c r="I94" s="16" t="n"/>
      <c r="J94" s="16" t="n"/>
      <c r="K94" s="16" t="n"/>
      <c r="L94" s="16" t="n"/>
      <c r="M94" s="16" t="n"/>
    </row>
    <row r="95">
      <c r="A95" s="16" t="n"/>
      <c r="B95" s="16" t="n"/>
      <c r="C95" s="16" t="n"/>
      <c r="D95" s="16" t="n"/>
      <c r="E95" s="16" t="n"/>
      <c r="F95" s="16" t="n"/>
      <c r="G95" s="16" t="n"/>
      <c r="H95" s="16" t="n"/>
      <c r="I95" s="16" t="n"/>
      <c r="J95" s="16" t="n"/>
      <c r="K95" s="16" t="n"/>
      <c r="L95" s="16" t="n"/>
      <c r="M95" s="16" t="n"/>
    </row>
    <row r="96">
      <c r="A96" s="16" t="n"/>
      <c r="B96" s="16" t="n"/>
      <c r="C96" s="16" t="n"/>
      <c r="D96" s="16" t="n"/>
      <c r="E96" s="16" t="n"/>
      <c r="F96" s="16" t="n"/>
      <c r="G96" s="16" t="n"/>
      <c r="H96" s="16" t="n"/>
      <c r="I96" s="16" t="n"/>
      <c r="J96" s="16" t="n"/>
      <c r="K96" s="16" t="n"/>
      <c r="L96" s="16" t="n"/>
      <c r="M96" s="16" t="n"/>
    </row>
    <row r="97">
      <c r="A97" s="16" t="n"/>
      <c r="B97" s="16" t="n"/>
      <c r="C97" s="16" t="n"/>
      <c r="D97" s="16" t="n"/>
      <c r="E97" s="16" t="n"/>
      <c r="F97" s="16" t="n"/>
      <c r="G97" s="16" t="n"/>
      <c r="H97" s="16" t="n"/>
      <c r="I97" s="16" t="n"/>
      <c r="J97" s="16" t="n"/>
      <c r="K97" s="16" t="n"/>
      <c r="L97" s="16" t="n"/>
      <c r="M97" s="16" t="n"/>
    </row>
    <row r="98">
      <c r="A98" s="16" t="n"/>
      <c r="B98" s="16" t="n"/>
      <c r="C98" s="16" t="n"/>
      <c r="D98" s="16" t="n"/>
      <c r="E98" s="16" t="n"/>
      <c r="F98" s="16" t="n"/>
      <c r="G98" s="16" t="n"/>
      <c r="H98" s="16" t="n"/>
      <c r="I98" s="16" t="n"/>
      <c r="J98" s="16" t="n"/>
      <c r="K98" s="16" t="n"/>
      <c r="L98" s="16" t="n"/>
      <c r="M98" s="16" t="n"/>
    </row>
    <row r="99">
      <c r="A99" s="16" t="n"/>
      <c r="B99" s="16" t="n"/>
      <c r="C99" s="16" t="n"/>
      <c r="D99" s="16" t="n"/>
      <c r="E99" s="16" t="n"/>
      <c r="F99" s="16" t="n"/>
      <c r="G99" s="16" t="n"/>
      <c r="H99" s="16" t="n"/>
      <c r="I99" s="16" t="n"/>
      <c r="J99" s="16" t="n"/>
      <c r="K99" s="16" t="n"/>
      <c r="L99" s="16" t="n"/>
      <c r="M99" s="16" t="n"/>
    </row>
    <row r="100">
      <c r="A100" s="16" t="n"/>
      <c r="B100" s="16" t="n"/>
      <c r="C100" s="16" t="n"/>
      <c r="D100" s="16" t="n"/>
      <c r="E100" s="16" t="n"/>
      <c r="F100" s="16" t="n"/>
      <c r="G100" s="16" t="n"/>
      <c r="H100" s="16" t="n"/>
      <c r="I100" s="16" t="n"/>
      <c r="J100" s="16" t="n"/>
      <c r="K100" s="16" t="n"/>
      <c r="L100" s="16" t="n"/>
      <c r="M100" s="16" t="n"/>
    </row>
    <row r="101">
      <c r="A101" s="16" t="n"/>
      <c r="B101" s="16" t="n"/>
      <c r="C101" s="16" t="n"/>
      <c r="D101" s="16" t="n"/>
      <c r="E101" s="16" t="n"/>
      <c r="F101" s="16" t="n"/>
      <c r="G101" s="16" t="n"/>
      <c r="H101" s="16" t="n"/>
      <c r="I101" s="16" t="n"/>
      <c r="J101" s="16" t="n"/>
      <c r="K101" s="16" t="n"/>
      <c r="L101" s="16" t="n"/>
      <c r="M101" s="16" t="n"/>
    </row>
    <row r="102">
      <c r="A102" s="16" t="n"/>
      <c r="B102" s="16" t="n"/>
      <c r="C102" s="16" t="n"/>
      <c r="D102" s="16" t="n"/>
      <c r="E102" s="16" t="n"/>
      <c r="F102" s="16" t="n"/>
      <c r="G102" s="16" t="n"/>
      <c r="H102" s="16" t="n"/>
      <c r="I102" s="16" t="n"/>
      <c r="J102" s="16" t="n"/>
      <c r="K102" s="16" t="n"/>
      <c r="L102" s="16" t="n"/>
      <c r="M102" s="16" t="n"/>
    </row>
    <row r="103">
      <c r="A103" s="16" t="n"/>
      <c r="B103" s="16" t="n"/>
      <c r="C103" s="16" t="n"/>
      <c r="D103" s="16" t="n"/>
      <c r="E103" s="16" t="n"/>
      <c r="F103" s="16" t="n"/>
      <c r="G103" s="16" t="n"/>
      <c r="H103" s="16" t="n"/>
      <c r="I103" s="16" t="n"/>
      <c r="J103" s="16" t="n"/>
      <c r="K103" s="16" t="n"/>
      <c r="L103" s="16" t="n"/>
      <c r="M103" s="16" t="n"/>
    </row>
    <row r="104">
      <c r="A104" s="16" t="n"/>
      <c r="B104" s="16" t="n"/>
      <c r="C104" s="16" t="n"/>
      <c r="D104" s="16" t="n"/>
      <c r="E104" s="16" t="n"/>
      <c r="F104" s="16" t="n"/>
      <c r="G104" s="16" t="n"/>
      <c r="H104" s="16" t="n"/>
      <c r="I104" s="16" t="n"/>
      <c r="J104" s="16" t="n"/>
      <c r="K104" s="16" t="n"/>
      <c r="L104" s="16" t="n"/>
      <c r="M104" s="16" t="n"/>
    </row>
    <row r="105">
      <c r="A105" s="16" t="n"/>
      <c r="B105" s="16" t="n"/>
      <c r="C105" s="16" t="n"/>
      <c r="D105" s="16" t="n"/>
      <c r="E105" s="16" t="n"/>
      <c r="F105" s="16" t="n"/>
      <c r="G105" s="16" t="n"/>
      <c r="H105" s="16" t="n"/>
      <c r="I105" s="16" t="n"/>
      <c r="J105" s="16" t="n"/>
      <c r="K105" s="16" t="n"/>
      <c r="L105" s="16" t="n"/>
      <c r="M105" s="16" t="n"/>
    </row>
    <row r="106">
      <c r="A106" s="16" t="n"/>
      <c r="B106" s="16" t="n"/>
      <c r="C106" s="16" t="n"/>
      <c r="D106" s="16" t="n"/>
      <c r="E106" s="16" t="n"/>
      <c r="F106" s="16" t="n"/>
      <c r="G106" s="16" t="n"/>
      <c r="H106" s="16" t="n"/>
      <c r="I106" s="16" t="n"/>
      <c r="J106" s="16" t="n"/>
      <c r="K106" s="16" t="n"/>
      <c r="L106" s="16" t="n"/>
      <c r="M106" s="16" t="n"/>
    </row>
    <row r="107">
      <c r="A107" s="16" t="n"/>
      <c r="B107" s="16" t="n"/>
      <c r="C107" s="16" t="n"/>
      <c r="D107" s="16" t="n"/>
      <c r="E107" s="16" t="n"/>
      <c r="F107" s="16" t="n"/>
      <c r="G107" s="16" t="n"/>
      <c r="H107" s="16" t="n"/>
      <c r="I107" s="16" t="n"/>
      <c r="J107" s="16" t="n"/>
      <c r="K107" s="16" t="n"/>
      <c r="L107" s="16" t="n"/>
      <c r="M107" s="16" t="n"/>
    </row>
    <row r="108">
      <c r="A108" s="16" t="n"/>
      <c r="B108" s="16" t="n"/>
      <c r="C108" s="16" t="n"/>
      <c r="D108" s="16" t="n"/>
      <c r="E108" s="16" t="n"/>
      <c r="F108" s="16" t="n"/>
      <c r="G108" s="16" t="n"/>
      <c r="H108" s="16" t="n"/>
      <c r="I108" s="16" t="n"/>
      <c r="J108" s="16" t="n"/>
      <c r="K108" s="16" t="n"/>
      <c r="L108" s="16" t="n"/>
      <c r="M108" s="16" t="n"/>
    </row>
    <row r="109">
      <c r="A109" s="16" t="n"/>
      <c r="B109" s="16" t="n"/>
      <c r="C109" s="16" t="n"/>
      <c r="D109" s="16" t="n"/>
      <c r="E109" s="16" t="n"/>
      <c r="F109" s="16" t="n"/>
      <c r="G109" s="16" t="n"/>
      <c r="H109" s="16" t="n"/>
      <c r="I109" s="16" t="n"/>
      <c r="J109" s="16" t="n"/>
      <c r="K109" s="16" t="n"/>
      <c r="L109" s="16" t="n"/>
      <c r="M109" s="16" t="n"/>
    </row>
    <row r="110">
      <c r="A110" s="16" t="n"/>
      <c r="B110" s="16" t="n"/>
      <c r="C110" s="16" t="n"/>
      <c r="D110" s="16" t="n"/>
      <c r="E110" s="16" t="n"/>
      <c r="F110" s="16" t="n"/>
      <c r="G110" s="16" t="n"/>
      <c r="H110" s="16" t="n"/>
      <c r="I110" s="16" t="n"/>
      <c r="J110" s="16" t="n"/>
      <c r="K110" s="16" t="n"/>
      <c r="L110" s="16" t="n"/>
      <c r="M110" s="16" t="n"/>
    </row>
    <row r="111">
      <c r="A111" s="16" t="n"/>
      <c r="B111" s="16" t="n"/>
      <c r="C111" s="16" t="n"/>
      <c r="D111" s="16" t="n"/>
      <c r="E111" s="16" t="n"/>
      <c r="F111" s="16" t="n"/>
      <c r="G111" s="16" t="n"/>
      <c r="H111" s="16" t="n"/>
      <c r="I111" s="16" t="n"/>
      <c r="J111" s="16" t="n"/>
      <c r="K111" s="16" t="n"/>
      <c r="L111" s="16" t="n"/>
      <c r="M111" s="16" t="n"/>
    </row>
    <row r="112">
      <c r="A112" s="16" t="n"/>
      <c r="B112" s="16" t="n"/>
      <c r="C112" s="16" t="n"/>
      <c r="D112" s="16" t="n"/>
      <c r="E112" s="16" t="n"/>
      <c r="F112" s="16" t="n"/>
      <c r="G112" s="16" t="n"/>
      <c r="H112" s="16" t="n"/>
      <c r="I112" s="16" t="n"/>
      <c r="J112" s="16" t="n"/>
      <c r="K112" s="16" t="n"/>
      <c r="L112" s="16" t="n"/>
      <c r="M112" s="16" t="n"/>
    </row>
    <row r="113">
      <c r="A113" s="16" t="n"/>
      <c r="B113" s="16" t="n"/>
      <c r="C113" s="16" t="n"/>
      <c r="D113" s="16" t="n"/>
      <c r="E113" s="16" t="n"/>
      <c r="F113" s="16" t="n"/>
      <c r="G113" s="16" t="n"/>
      <c r="H113" s="16" t="n"/>
      <c r="I113" s="16" t="n"/>
      <c r="J113" s="16" t="n"/>
      <c r="K113" s="16" t="n"/>
      <c r="L113" s="16" t="n"/>
      <c r="M113" s="16" t="n"/>
    </row>
    <row r="114">
      <c r="A114" s="16" t="n"/>
      <c r="B114" s="16" t="n"/>
      <c r="C114" s="16" t="n"/>
      <c r="D114" s="16" t="n"/>
      <c r="E114" s="16" t="n"/>
      <c r="F114" s="16" t="n"/>
      <c r="G114" s="16" t="n"/>
      <c r="H114" s="16" t="n"/>
      <c r="I114" s="16" t="n"/>
      <c r="J114" s="16" t="n"/>
      <c r="K114" s="16" t="n"/>
      <c r="L114" s="16" t="n"/>
      <c r="M114" s="16" t="n"/>
    </row>
    <row r="115">
      <c r="A115" s="16" t="n"/>
      <c r="B115" s="16" t="n"/>
      <c r="C115" s="16" t="n"/>
      <c r="D115" s="16" t="n"/>
      <c r="E115" s="16" t="n"/>
      <c r="F115" s="16" t="n"/>
      <c r="G115" s="16" t="n"/>
      <c r="H115" s="16" t="n"/>
      <c r="I115" s="16" t="n"/>
      <c r="J115" s="16" t="n"/>
      <c r="K115" s="16" t="n"/>
      <c r="L115" s="16" t="n"/>
      <c r="M115" s="16" t="n"/>
    </row>
    <row r="116">
      <c r="A116" s="16" t="n"/>
      <c r="B116" s="16" t="n"/>
      <c r="C116" s="16" t="n"/>
      <c r="D116" s="16" t="n"/>
      <c r="E116" s="16" t="n"/>
      <c r="F116" s="16" t="n"/>
      <c r="G116" s="16" t="n"/>
      <c r="H116" s="16" t="n"/>
      <c r="I116" s="16" t="n"/>
      <c r="J116" s="16" t="n"/>
      <c r="K116" s="16" t="n"/>
      <c r="L116" s="16" t="n"/>
      <c r="M116" s="16" t="n"/>
    </row>
    <row r="117">
      <c r="A117" s="16" t="n"/>
      <c r="B117" s="16" t="n"/>
      <c r="C117" s="16" t="n"/>
      <c r="D117" s="16" t="n"/>
      <c r="E117" s="16" t="n"/>
      <c r="F117" s="16" t="n"/>
      <c r="G117" s="16" t="n"/>
      <c r="H117" s="16" t="n"/>
      <c r="I117" s="16" t="n"/>
      <c r="J117" s="16" t="n"/>
      <c r="K117" s="16" t="n"/>
      <c r="L117" s="16" t="n"/>
      <c r="M117" s="16" t="n"/>
    </row>
    <row r="118">
      <c r="A118" s="16" t="n"/>
      <c r="B118" s="16" t="n"/>
      <c r="C118" s="16" t="n"/>
      <c r="D118" s="16" t="n"/>
      <c r="E118" s="16" t="n"/>
      <c r="F118" s="16" t="n"/>
      <c r="G118" s="16" t="n"/>
      <c r="H118" s="16" t="n"/>
      <c r="I118" s="16" t="n"/>
      <c r="J118" s="16" t="n"/>
      <c r="K118" s="16" t="n"/>
      <c r="L118" s="16" t="n"/>
      <c r="M118" s="16" t="n"/>
    </row>
    <row r="119">
      <c r="A119" s="16" t="n"/>
      <c r="B119" s="16" t="n"/>
      <c r="C119" s="16" t="n"/>
      <c r="D119" s="16" t="n"/>
      <c r="E119" s="16" t="n"/>
      <c r="F119" s="16" t="n"/>
      <c r="G119" s="16" t="n"/>
      <c r="H119" s="16" t="n"/>
      <c r="I119" s="16" t="n"/>
      <c r="J119" s="16" t="n"/>
      <c r="K119" s="16" t="n"/>
      <c r="L119" s="16" t="n"/>
      <c r="M119" s="16" t="n"/>
    </row>
    <row r="120">
      <c r="A120" s="16" t="n"/>
      <c r="B120" s="16" t="n"/>
      <c r="C120" s="16" t="n"/>
      <c r="D120" s="16" t="n"/>
      <c r="E120" s="16" t="n"/>
      <c r="F120" s="16" t="n"/>
      <c r="G120" s="16" t="n"/>
      <c r="H120" s="16" t="n"/>
      <c r="I120" s="16" t="n"/>
      <c r="J120" s="16" t="n"/>
      <c r="K120" s="16" t="n"/>
      <c r="L120" s="16" t="n"/>
      <c r="M120" s="16" t="n"/>
    </row>
    <row r="121">
      <c r="A121" s="16" t="n"/>
      <c r="B121" s="16" t="n"/>
      <c r="C121" s="16" t="n"/>
      <c r="D121" s="16" t="n"/>
      <c r="E121" s="16" t="n"/>
      <c r="F121" s="16" t="n"/>
      <c r="G121" s="16" t="n"/>
      <c r="H121" s="16" t="n"/>
      <c r="I121" s="16" t="n"/>
      <c r="J121" s="16" t="n"/>
      <c r="K121" s="16" t="n"/>
      <c r="L121" s="16" t="n"/>
      <c r="M121" s="16" t="n"/>
    </row>
    <row r="122">
      <c r="A122" s="16" t="n"/>
      <c r="B122" s="16" t="n"/>
      <c r="C122" s="16" t="n"/>
      <c r="D122" s="16" t="n"/>
      <c r="E122" s="16" t="n"/>
      <c r="F122" s="16" t="n"/>
      <c r="G122" s="16" t="n"/>
      <c r="H122" s="16" t="n"/>
      <c r="I122" s="16" t="n"/>
      <c r="J122" s="16" t="n"/>
      <c r="K122" s="16" t="n"/>
      <c r="L122" s="16" t="n"/>
      <c r="M122" s="16" t="n"/>
    </row>
    <row r="123">
      <c r="A123" s="16" t="n"/>
      <c r="B123" s="16" t="n"/>
      <c r="C123" s="16" t="n"/>
      <c r="D123" s="16" t="n"/>
      <c r="E123" s="16" t="n"/>
      <c r="F123" s="16" t="n"/>
      <c r="G123" s="16" t="n"/>
      <c r="H123" s="16" t="n"/>
      <c r="I123" s="16" t="n"/>
      <c r="J123" s="16" t="n"/>
      <c r="K123" s="16" t="n"/>
      <c r="L123" s="16" t="n"/>
      <c r="M123" s="16" t="n"/>
    </row>
    <row r="124">
      <c r="A124" s="16" t="n"/>
      <c r="B124" s="16" t="n"/>
      <c r="C124" s="16" t="n"/>
      <c r="D124" s="16" t="n"/>
      <c r="E124" s="16" t="n"/>
      <c r="F124" s="16" t="n"/>
      <c r="G124" s="16" t="n"/>
      <c r="H124" s="16" t="n"/>
      <c r="I124" s="16" t="n"/>
      <c r="J124" s="16" t="n"/>
      <c r="K124" s="16" t="n"/>
      <c r="L124" s="16" t="n"/>
      <c r="M124" s="16" t="n"/>
    </row>
    <row r="125">
      <c r="A125" s="16" t="n"/>
      <c r="B125" s="16" t="n"/>
      <c r="C125" s="16" t="n"/>
      <c r="D125" s="16" t="n"/>
      <c r="E125" s="16" t="n"/>
      <c r="F125" s="16" t="n"/>
      <c r="G125" s="16" t="n"/>
      <c r="H125" s="16" t="n"/>
      <c r="I125" s="16" t="n"/>
      <c r="J125" s="16" t="n"/>
      <c r="K125" s="16" t="n"/>
      <c r="L125" s="16" t="n"/>
      <c r="M125" s="16" t="n"/>
    </row>
    <row r="126">
      <c r="A126" s="16" t="n"/>
      <c r="B126" s="16" t="n"/>
      <c r="C126" s="16" t="n"/>
      <c r="D126" s="16" t="n"/>
      <c r="E126" s="16" t="n"/>
      <c r="F126" s="16" t="n"/>
      <c r="G126" s="16" t="n"/>
      <c r="H126" s="16" t="n"/>
      <c r="I126" s="16" t="n"/>
      <c r="J126" s="16" t="n"/>
      <c r="K126" s="16" t="n"/>
      <c r="L126" s="16" t="n"/>
      <c r="M126" s="16" t="n"/>
    </row>
    <row r="127">
      <c r="A127" s="16" t="n"/>
      <c r="B127" s="16" t="n"/>
      <c r="C127" s="16" t="n"/>
      <c r="D127" s="16" t="n"/>
      <c r="E127" s="16" t="n"/>
      <c r="F127" s="16" t="n"/>
      <c r="G127" s="16" t="n"/>
      <c r="H127" s="16" t="n"/>
      <c r="I127" s="16" t="n"/>
      <c r="J127" s="16" t="n"/>
      <c r="K127" s="16" t="n"/>
      <c r="L127" s="16" t="n"/>
      <c r="M127" s="16" t="n"/>
    </row>
    <row r="128">
      <c r="A128" s="16" t="n"/>
      <c r="B128" s="16" t="n"/>
      <c r="C128" s="16" t="n"/>
      <c r="D128" s="16" t="n"/>
      <c r="E128" s="16" t="n"/>
      <c r="F128" s="16" t="n"/>
      <c r="G128" s="16" t="n"/>
      <c r="H128" s="16" t="n"/>
      <c r="I128" s="16" t="n"/>
      <c r="J128" s="16" t="n"/>
      <c r="K128" s="16" t="n"/>
      <c r="L128" s="16" t="n"/>
      <c r="M128" s="16" t="n"/>
    </row>
    <row r="129">
      <c r="A129" s="16" t="n"/>
      <c r="B129" s="16" t="n"/>
      <c r="C129" s="16" t="n"/>
      <c r="D129" s="16" t="n"/>
      <c r="E129" s="16" t="n"/>
      <c r="F129" s="16" t="n"/>
      <c r="G129" s="16" t="n"/>
      <c r="H129" s="16" t="n"/>
      <c r="I129" s="16" t="n"/>
      <c r="J129" s="16" t="n"/>
      <c r="K129" s="16" t="n"/>
      <c r="L129" s="16" t="n"/>
      <c r="M129" s="16" t="n"/>
    </row>
    <row r="130">
      <c r="A130" s="16" t="n"/>
      <c r="B130" s="16" t="n"/>
      <c r="C130" s="16" t="n"/>
      <c r="D130" s="16" t="n"/>
      <c r="E130" s="16" t="n"/>
      <c r="F130" s="16" t="n"/>
      <c r="G130" s="16" t="n"/>
      <c r="H130" s="16" t="n"/>
      <c r="I130" s="16" t="n"/>
      <c r="J130" s="16" t="n"/>
      <c r="K130" s="16" t="n"/>
      <c r="L130" s="16" t="n"/>
      <c r="M130" s="16" t="n"/>
    </row>
    <row r="131">
      <c r="A131" s="16" t="n"/>
      <c r="B131" s="16" t="n"/>
      <c r="C131" s="16" t="n"/>
      <c r="D131" s="16" t="n"/>
      <c r="E131" s="16" t="n"/>
      <c r="F131" s="16" t="n"/>
      <c r="G131" s="16" t="n"/>
      <c r="H131" s="16" t="n"/>
      <c r="I131" s="16" t="n"/>
      <c r="J131" s="16" t="n"/>
      <c r="K131" s="16" t="n"/>
      <c r="L131" s="16" t="n"/>
      <c r="M131" s="16" t="n"/>
    </row>
    <row r="132">
      <c r="A132" s="16" t="n"/>
      <c r="B132" s="16" t="n"/>
      <c r="C132" s="16" t="n"/>
      <c r="D132" s="16" t="n"/>
      <c r="E132" s="16" t="n"/>
      <c r="F132" s="16" t="n"/>
      <c r="G132" s="16" t="n"/>
      <c r="H132" s="16" t="n"/>
      <c r="I132" s="16" t="n"/>
      <c r="J132" s="16" t="n"/>
      <c r="K132" s="16" t="n"/>
      <c r="L132" s="16" t="n"/>
      <c r="M132" s="16" t="n"/>
    </row>
    <row r="133">
      <c r="A133" s="16" t="n"/>
      <c r="B133" s="16" t="n"/>
      <c r="C133" s="16" t="n"/>
      <c r="D133" s="16" t="n"/>
      <c r="E133" s="16" t="n"/>
      <c r="F133" s="16" t="n"/>
      <c r="G133" s="16" t="n"/>
      <c r="H133" s="16" t="n"/>
      <c r="I133" s="16" t="n"/>
      <c r="J133" s="16" t="n"/>
      <c r="K133" s="16" t="n"/>
      <c r="L133" s="16" t="n"/>
      <c r="M133" s="16" t="n"/>
    </row>
    <row r="134">
      <c r="A134" s="16" t="n"/>
      <c r="B134" s="16" t="n"/>
      <c r="C134" s="16" t="n"/>
      <c r="D134" s="16" t="n"/>
      <c r="E134" s="16" t="n"/>
      <c r="F134" s="16" t="n"/>
      <c r="G134" s="16" t="n"/>
      <c r="H134" s="16" t="n"/>
      <c r="I134" s="16" t="n"/>
      <c r="J134" s="16" t="n"/>
      <c r="K134" s="16" t="n"/>
      <c r="L134" s="16" t="n"/>
      <c r="M134" s="16" t="n"/>
    </row>
    <row r="135">
      <c r="A135" s="16" t="n"/>
      <c r="B135" s="16" t="n"/>
      <c r="C135" s="16" t="n"/>
      <c r="D135" s="16" t="n"/>
      <c r="E135" s="16" t="n"/>
      <c r="F135" s="16" t="n"/>
      <c r="G135" s="16" t="n"/>
      <c r="H135" s="16" t="n"/>
      <c r="I135" s="16" t="n"/>
      <c r="J135" s="16" t="n"/>
      <c r="K135" s="16" t="n"/>
      <c r="L135" s="16" t="n"/>
      <c r="M135" s="16" t="n"/>
    </row>
    <row r="136">
      <c r="A136" s="16" t="n"/>
      <c r="B136" s="16" t="n"/>
      <c r="C136" s="16" t="n"/>
      <c r="D136" s="16" t="n"/>
      <c r="E136" s="16" t="n"/>
      <c r="F136" s="16" t="n"/>
      <c r="G136" s="16" t="n"/>
      <c r="H136" s="16" t="n"/>
      <c r="I136" s="16" t="n"/>
      <c r="J136" s="16" t="n"/>
      <c r="K136" s="16" t="n"/>
      <c r="L136" s="16" t="n"/>
      <c r="M136" s="16" t="n"/>
    </row>
    <row r="137">
      <c r="A137" s="16" t="n"/>
      <c r="B137" s="16" t="n"/>
      <c r="C137" s="16" t="n"/>
      <c r="D137" s="16" t="n"/>
      <c r="E137" s="16" t="n"/>
      <c r="F137" s="16" t="n"/>
      <c r="G137" s="16" t="n"/>
      <c r="H137" s="16" t="n"/>
      <c r="I137" s="16" t="n"/>
      <c r="J137" s="16" t="n"/>
      <c r="K137" s="16" t="n"/>
      <c r="L137" s="16" t="n"/>
      <c r="M137" s="16" t="n"/>
    </row>
    <row r="138">
      <c r="A138" s="16" t="n"/>
      <c r="B138" s="16" t="n"/>
      <c r="C138" s="16" t="n"/>
      <c r="D138" s="16" t="n"/>
      <c r="E138" s="16" t="n"/>
      <c r="F138" s="16" t="n"/>
      <c r="G138" s="16" t="n"/>
      <c r="H138" s="16" t="n"/>
      <c r="I138" s="16" t="n"/>
      <c r="J138" s="16" t="n"/>
      <c r="K138" s="16" t="n"/>
      <c r="L138" s="16" t="n"/>
      <c r="M138" s="16" t="n"/>
    </row>
    <row r="139">
      <c r="A139" s="16" t="n"/>
      <c r="B139" s="16" t="n"/>
      <c r="C139" s="16" t="n"/>
      <c r="D139" s="16" t="n"/>
      <c r="E139" s="16" t="n"/>
      <c r="F139" s="16" t="n"/>
      <c r="G139" s="16" t="n"/>
      <c r="H139" s="16" t="n"/>
      <c r="I139" s="16" t="n"/>
      <c r="J139" s="16" t="n"/>
      <c r="K139" s="16" t="n"/>
      <c r="L139" s="16" t="n"/>
      <c r="M139" s="16" t="n"/>
    </row>
    <row r="140">
      <c r="A140" s="16" t="n"/>
      <c r="B140" s="16" t="n"/>
      <c r="C140" s="16" t="n"/>
      <c r="D140" s="16" t="n"/>
      <c r="E140" s="16" t="n"/>
      <c r="F140" s="16" t="n"/>
      <c r="G140" s="16" t="n"/>
      <c r="H140" s="16" t="n"/>
      <c r="I140" s="16" t="n"/>
      <c r="J140" s="16" t="n"/>
      <c r="K140" s="16" t="n"/>
      <c r="L140" s="16" t="n"/>
      <c r="M140" s="16" t="n"/>
    </row>
    <row r="141">
      <c r="A141" s="16" t="n"/>
      <c r="B141" s="16" t="n"/>
      <c r="C141" s="16" t="n"/>
      <c r="D141" s="16" t="n"/>
      <c r="E141" s="16" t="n"/>
      <c r="F141" s="16" t="n"/>
      <c r="G141" s="16" t="n"/>
      <c r="H141" s="16" t="n"/>
      <c r="I141" s="16" t="n"/>
      <c r="J141" s="16" t="n"/>
      <c r="K141" s="16" t="n"/>
      <c r="L141" s="16" t="n"/>
      <c r="M141" s="16" t="n"/>
    </row>
    <row r="142">
      <c r="A142" s="16" t="n"/>
      <c r="B142" s="16" t="n"/>
      <c r="C142" s="16" t="n"/>
      <c r="D142" s="16" t="n"/>
      <c r="E142" s="16" t="n"/>
      <c r="F142" s="16" t="n"/>
      <c r="G142" s="16" t="n"/>
      <c r="H142" s="16" t="n"/>
      <c r="I142" s="16" t="n"/>
      <c r="J142" s="16" t="n"/>
      <c r="K142" s="16" t="n"/>
      <c r="L142" s="16" t="n"/>
      <c r="M142" s="16" t="n"/>
    </row>
    <row r="143">
      <c r="A143" s="16" t="n"/>
      <c r="B143" s="16" t="n"/>
      <c r="C143" s="16" t="n"/>
      <c r="D143" s="16" t="n"/>
      <c r="E143" s="16" t="n"/>
      <c r="F143" s="16" t="n"/>
      <c r="G143" s="16" t="n"/>
      <c r="H143" s="16" t="n"/>
      <c r="I143" s="16" t="n"/>
      <c r="J143" s="16" t="n"/>
      <c r="K143" s="16" t="n"/>
      <c r="L143" s="16" t="n"/>
      <c r="M143" s="16" t="n"/>
    </row>
    <row r="144">
      <c r="A144" s="16" t="n"/>
      <c r="B144" s="16" t="n"/>
      <c r="C144" s="16" t="n"/>
      <c r="D144" s="16" t="n"/>
      <c r="E144" s="16" t="n"/>
      <c r="F144" s="16" t="n"/>
      <c r="G144" s="16" t="n"/>
      <c r="H144" s="16" t="n"/>
      <c r="I144" s="16" t="n"/>
      <c r="J144" s="16" t="n"/>
      <c r="K144" s="16" t="n"/>
      <c r="L144" s="16" t="n"/>
      <c r="M144" s="16" t="n"/>
    </row>
    <row r="145">
      <c r="A145" s="16" t="n"/>
      <c r="B145" s="16" t="n"/>
      <c r="C145" s="16" t="n"/>
      <c r="D145" s="16" t="n"/>
      <c r="E145" s="16" t="n"/>
      <c r="F145" s="16" t="n"/>
      <c r="G145" s="16" t="n"/>
      <c r="H145" s="16" t="n"/>
      <c r="I145" s="16" t="n"/>
      <c r="J145" s="16" t="n"/>
      <c r="K145" s="16" t="n"/>
      <c r="L145" s="16" t="n"/>
      <c r="M145" s="16" t="n"/>
    </row>
    <row r="146">
      <c r="A146" s="16" t="n"/>
      <c r="B146" s="16" t="n"/>
      <c r="C146" s="16" t="n"/>
      <c r="D146" s="16" t="n"/>
      <c r="E146" s="16" t="n"/>
      <c r="F146" s="16" t="n"/>
      <c r="G146" s="16" t="n"/>
      <c r="H146" s="16" t="n"/>
      <c r="I146" s="16" t="n"/>
      <c r="J146" s="16" t="n"/>
      <c r="K146" s="16" t="n"/>
      <c r="L146" s="16" t="n"/>
      <c r="M146" s="16" t="n"/>
    </row>
    <row r="147">
      <c r="A147" s="16" t="n"/>
      <c r="B147" s="16" t="n"/>
      <c r="C147" s="16" t="n"/>
      <c r="D147" s="16" t="n"/>
      <c r="E147" s="16" t="n"/>
      <c r="F147" s="16" t="n"/>
      <c r="G147" s="16" t="n"/>
      <c r="H147" s="16" t="n"/>
      <c r="I147" s="16" t="n"/>
      <c r="J147" s="16" t="n"/>
      <c r="K147" s="16" t="n"/>
      <c r="L147" s="16" t="n"/>
      <c r="M147" s="16" t="n"/>
    </row>
    <row r="148">
      <c r="A148" s="16" t="n"/>
      <c r="B148" s="16" t="n"/>
      <c r="C148" s="16" t="n"/>
      <c r="D148" s="16" t="n"/>
      <c r="E148" s="16" t="n"/>
      <c r="F148" s="16" t="n"/>
      <c r="G148" s="16" t="n"/>
      <c r="H148" s="16" t="n"/>
      <c r="I148" s="16" t="n"/>
      <c r="J148" s="16" t="n"/>
      <c r="K148" s="16" t="n"/>
      <c r="L148" s="16" t="n"/>
      <c r="M148" s="16" t="n"/>
    </row>
    <row r="149">
      <c r="A149" s="16" t="n"/>
      <c r="B149" s="16" t="n"/>
      <c r="C149" s="16" t="n"/>
      <c r="D149" s="16" t="n"/>
      <c r="E149" s="16" t="n"/>
      <c r="F149" s="16" t="n"/>
      <c r="G149" s="16" t="n"/>
      <c r="H149" s="16" t="n"/>
      <c r="I149" s="16" t="n"/>
      <c r="J149" s="16" t="n"/>
      <c r="K149" s="16" t="n"/>
      <c r="L149" s="16" t="n"/>
      <c r="M149" s="16" t="n"/>
    </row>
    <row r="150">
      <c r="A150" s="16" t="n"/>
      <c r="B150" s="16" t="n"/>
      <c r="C150" s="16" t="n"/>
      <c r="D150" s="16" t="n"/>
      <c r="E150" s="16" t="n"/>
      <c r="F150" s="16" t="n"/>
      <c r="G150" s="16" t="n"/>
      <c r="H150" s="16" t="n"/>
      <c r="I150" s="16" t="n"/>
      <c r="J150" s="16" t="n"/>
      <c r="K150" s="16" t="n"/>
      <c r="L150" s="16" t="n"/>
      <c r="M150" s="16" t="n"/>
    </row>
    <row r="151">
      <c r="A151" s="16" t="n"/>
      <c r="B151" s="16" t="n"/>
      <c r="C151" s="16" t="n"/>
      <c r="D151" s="16" t="n"/>
      <c r="E151" s="16" t="n"/>
      <c r="F151" s="16" t="n"/>
      <c r="G151" s="16" t="n"/>
      <c r="H151" s="16" t="n"/>
      <c r="I151" s="16" t="n"/>
      <c r="J151" s="16" t="n"/>
      <c r="K151" s="16" t="n"/>
      <c r="L151" s="16" t="n"/>
      <c r="M151" s="16" t="n"/>
    </row>
    <row r="152">
      <c r="A152" s="16" t="n"/>
      <c r="B152" s="16" t="n"/>
      <c r="C152" s="16" t="n"/>
      <c r="D152" s="16" t="n"/>
      <c r="E152" s="16" t="n"/>
      <c r="F152" s="16" t="n"/>
      <c r="G152" s="16" t="n"/>
      <c r="H152" s="16" t="n"/>
      <c r="I152" s="16" t="n"/>
      <c r="J152" s="16" t="n"/>
      <c r="K152" s="16" t="n"/>
      <c r="L152" s="16" t="n"/>
      <c r="M152" s="16" t="n"/>
    </row>
    <row r="153">
      <c r="A153" s="16" t="n"/>
      <c r="B153" s="16" t="n"/>
      <c r="C153" s="16" t="n"/>
      <c r="D153" s="16" t="n"/>
      <c r="E153" s="16" t="n"/>
      <c r="F153" s="16" t="n"/>
      <c r="G153" s="16" t="n"/>
      <c r="H153" s="16" t="n"/>
      <c r="I153" s="16" t="n"/>
      <c r="J153" s="16" t="n"/>
      <c r="K153" s="16" t="n"/>
      <c r="L153" s="16" t="n"/>
      <c r="M153" s="16" t="n"/>
    </row>
    <row r="154">
      <c r="A154" s="16" t="n"/>
      <c r="B154" s="16" t="n"/>
      <c r="C154" s="16" t="n"/>
      <c r="D154" s="16" t="n"/>
      <c r="E154" s="16" t="n"/>
      <c r="F154" s="16" t="n"/>
      <c r="G154" s="16" t="n"/>
      <c r="H154" s="16" t="n"/>
      <c r="I154" s="16" t="n"/>
      <c r="J154" s="16" t="n"/>
      <c r="K154" s="16" t="n"/>
      <c r="L154" s="16" t="n"/>
      <c r="M154" s="16" t="n"/>
    </row>
    <row r="155">
      <c r="A155" s="16" t="n"/>
      <c r="B155" s="16" t="n"/>
      <c r="C155" s="16" t="n"/>
      <c r="D155" s="16" t="n"/>
      <c r="E155" s="16" t="n"/>
      <c r="F155" s="16" t="n"/>
      <c r="G155" s="16" t="n"/>
      <c r="H155" s="16" t="n"/>
      <c r="I155" s="16" t="n"/>
      <c r="J155" s="16" t="n"/>
      <c r="K155" s="16" t="n"/>
      <c r="L155" s="16" t="n"/>
      <c r="M155" s="16" t="n"/>
    </row>
    <row r="156">
      <c r="A156" s="16" t="n"/>
      <c r="B156" s="16" t="n"/>
      <c r="C156" s="16" t="n"/>
      <c r="D156" s="16" t="n"/>
      <c r="E156" s="16" t="n"/>
      <c r="F156" s="16" t="n"/>
      <c r="G156" s="16" t="n"/>
      <c r="H156" s="16" t="n"/>
      <c r="I156" s="16" t="n"/>
      <c r="J156" s="16" t="n"/>
      <c r="K156" s="16" t="n"/>
      <c r="L156" s="16" t="n"/>
      <c r="M156" s="16" t="n"/>
    </row>
    <row r="157">
      <c r="A157" s="16" t="n"/>
      <c r="B157" s="16" t="n"/>
      <c r="C157" s="16" t="n"/>
      <c r="D157" s="16" t="n"/>
      <c r="E157" s="16" t="n"/>
      <c r="F157" s="16" t="n"/>
      <c r="G157" s="16" t="n"/>
      <c r="H157" s="16" t="n"/>
      <c r="I157" s="16" t="n"/>
      <c r="J157" s="16" t="n"/>
      <c r="K157" s="16" t="n"/>
      <c r="L157" s="16" t="n"/>
      <c r="M157" s="16" t="n"/>
    </row>
    <row r="158">
      <c r="A158" s="16" t="n"/>
      <c r="B158" s="16" t="n"/>
      <c r="C158" s="16" t="n"/>
      <c r="D158" s="16" t="n"/>
      <c r="E158" s="16" t="n"/>
      <c r="F158" s="16" t="n"/>
      <c r="G158" s="16" t="n"/>
      <c r="H158" s="16" t="n"/>
      <c r="I158" s="16" t="n"/>
      <c r="J158" s="16" t="n"/>
      <c r="K158" s="16" t="n"/>
      <c r="L158" s="16" t="n"/>
      <c r="M158" s="16" t="n"/>
    </row>
    <row r="159">
      <c r="A159" s="16" t="n"/>
      <c r="B159" s="16" t="n"/>
      <c r="C159" s="16" t="n"/>
      <c r="D159" s="16" t="n"/>
      <c r="E159" s="16" t="n"/>
      <c r="F159" s="16" t="n"/>
      <c r="G159" s="16" t="n"/>
      <c r="H159" s="16" t="n"/>
      <c r="I159" s="16" t="n"/>
      <c r="J159" s="16" t="n"/>
      <c r="K159" s="16" t="n"/>
      <c r="L159" s="16" t="n"/>
      <c r="M159" s="16" t="n"/>
    </row>
    <row r="160">
      <c r="A160" s="16" t="n"/>
      <c r="B160" s="16" t="n"/>
      <c r="C160" s="16" t="n"/>
      <c r="D160" s="16" t="n"/>
      <c r="E160" s="16" t="n"/>
      <c r="F160" s="16" t="n"/>
      <c r="G160" s="16" t="n"/>
      <c r="H160" s="16" t="n"/>
      <c r="I160" s="16" t="n"/>
      <c r="J160" s="16" t="n"/>
      <c r="K160" s="16" t="n"/>
      <c r="L160" s="16" t="n"/>
      <c r="M160" s="16" t="n"/>
    </row>
    <row r="161">
      <c r="A161" s="16" t="n"/>
      <c r="B161" s="16" t="n"/>
      <c r="C161" s="16" t="n"/>
      <c r="D161" s="16" t="n"/>
      <c r="E161" s="16" t="n"/>
      <c r="F161" s="16" t="n"/>
      <c r="G161" s="16" t="n"/>
      <c r="H161" s="16" t="n"/>
      <c r="I161" s="16" t="n"/>
      <c r="J161" s="16" t="n"/>
      <c r="K161" s="16" t="n"/>
      <c r="L161" s="16" t="n"/>
      <c r="M161" s="16" t="n"/>
    </row>
    <row r="162">
      <c r="A162" s="16" t="n"/>
      <c r="B162" s="16" t="n"/>
      <c r="C162" s="16" t="n"/>
      <c r="D162" s="16" t="n"/>
      <c r="E162" s="16" t="n"/>
      <c r="F162" s="16" t="n"/>
      <c r="G162" s="16" t="n"/>
      <c r="H162" s="16" t="n"/>
      <c r="I162" s="16" t="n"/>
      <c r="J162" s="16" t="n"/>
      <c r="K162" s="16" t="n"/>
      <c r="L162" s="16" t="n"/>
      <c r="M162" s="16" t="n"/>
    </row>
    <row r="163">
      <c r="A163" s="16" t="n"/>
      <c r="B163" s="16" t="n"/>
      <c r="C163" s="16" t="n"/>
      <c r="D163" s="16" t="n"/>
      <c r="E163" s="16" t="n"/>
      <c r="F163" s="16" t="n"/>
      <c r="G163" s="16" t="n"/>
      <c r="H163" s="16" t="n"/>
      <c r="I163" s="16" t="n"/>
      <c r="J163" s="16" t="n"/>
      <c r="K163" s="16" t="n"/>
      <c r="L163" s="16" t="n"/>
      <c r="M163" s="16" t="n"/>
    </row>
    <row r="164">
      <c r="A164" s="16" t="n"/>
      <c r="B164" s="16" t="n"/>
      <c r="C164" s="16" t="n"/>
      <c r="D164" s="16" t="n"/>
      <c r="E164" s="16" t="n"/>
      <c r="F164" s="16" t="n"/>
      <c r="G164" s="16" t="n"/>
      <c r="H164" s="16" t="n"/>
      <c r="I164" s="16" t="n"/>
      <c r="J164" s="16" t="n"/>
      <c r="K164" s="16" t="n"/>
      <c r="L164" s="16" t="n"/>
      <c r="M164" s="16" t="n"/>
    </row>
    <row r="165">
      <c r="A165" s="16" t="n"/>
      <c r="B165" s="16" t="n"/>
      <c r="C165" s="16" t="n"/>
      <c r="D165" s="16" t="n"/>
      <c r="E165" s="16" t="n"/>
      <c r="F165" s="16" t="n"/>
      <c r="G165" s="16" t="n"/>
      <c r="H165" s="16" t="n"/>
      <c r="I165" s="16" t="n"/>
      <c r="J165" s="16" t="n"/>
      <c r="K165" s="16" t="n"/>
      <c r="L165" s="16" t="n"/>
      <c r="M165" s="16" t="n"/>
    </row>
    <row r="166">
      <c r="A166" s="16" t="n"/>
      <c r="B166" s="16" t="n"/>
      <c r="C166" s="16" t="n"/>
      <c r="D166" s="16" t="n"/>
      <c r="E166" s="16" t="n"/>
      <c r="F166" s="16" t="n"/>
      <c r="G166" s="16" t="n"/>
      <c r="H166" s="16" t="n"/>
      <c r="I166" s="16" t="n"/>
      <c r="J166" s="16" t="n"/>
      <c r="K166" s="16" t="n"/>
      <c r="L166" s="16" t="n"/>
      <c r="M166" s="16" t="n"/>
    </row>
    <row r="167">
      <c r="A167" s="16" t="n"/>
      <c r="B167" s="16" t="n"/>
      <c r="C167" s="16" t="n"/>
      <c r="D167" s="16" t="n"/>
      <c r="E167" s="16" t="n"/>
      <c r="F167" s="16" t="n"/>
      <c r="G167" s="16" t="n"/>
      <c r="H167" s="16" t="n"/>
      <c r="I167" s="16" t="n"/>
      <c r="J167" s="16" t="n"/>
      <c r="K167" s="16" t="n"/>
      <c r="L167" s="16" t="n"/>
      <c r="M167" s="16" t="n"/>
    </row>
    <row r="168">
      <c r="A168" s="16" t="n"/>
      <c r="B168" s="16" t="n"/>
      <c r="C168" s="16" t="n"/>
      <c r="D168" s="16" t="n"/>
      <c r="E168" s="16" t="n"/>
      <c r="F168" s="16" t="n"/>
      <c r="G168" s="16" t="n"/>
      <c r="H168" s="16" t="n"/>
      <c r="I168" s="16" t="n"/>
      <c r="J168" s="16" t="n"/>
      <c r="K168" s="16" t="n"/>
      <c r="L168" s="16" t="n"/>
      <c r="M168" s="16" t="n"/>
    </row>
    <row r="169">
      <c r="A169" s="16" t="n"/>
      <c r="B169" s="16" t="n"/>
      <c r="C169" s="16" t="n"/>
      <c r="D169" s="16" t="n"/>
      <c r="E169" s="16" t="n"/>
      <c r="F169" s="16" t="n"/>
      <c r="G169" s="16" t="n"/>
      <c r="H169" s="16" t="n"/>
      <c r="I169" s="16" t="n"/>
      <c r="J169" s="16" t="n"/>
      <c r="K169" s="16" t="n"/>
      <c r="L169" s="16" t="n"/>
      <c r="M169" s="16" t="n"/>
    </row>
    <row r="170">
      <c r="A170" s="16" t="n"/>
      <c r="B170" s="16" t="n"/>
      <c r="C170" s="16" t="n"/>
      <c r="D170" s="16" t="n"/>
      <c r="E170" s="16" t="n"/>
      <c r="F170" s="16" t="n"/>
      <c r="G170" s="16" t="n"/>
      <c r="H170" s="16" t="n"/>
      <c r="I170" s="16" t="n"/>
      <c r="J170" s="16" t="n"/>
      <c r="K170" s="16" t="n"/>
      <c r="L170" s="16" t="n"/>
      <c r="M170" s="16" t="n"/>
    </row>
    <row r="171">
      <c r="A171" s="16" t="n"/>
      <c r="B171" s="16" t="n"/>
      <c r="C171" s="16" t="n"/>
      <c r="D171" s="16" t="n"/>
      <c r="E171" s="16" t="n"/>
      <c r="F171" s="16" t="n"/>
      <c r="G171" s="16" t="n"/>
      <c r="H171" s="16" t="n"/>
      <c r="I171" s="16" t="n"/>
      <c r="J171" s="16" t="n"/>
      <c r="K171" s="16" t="n"/>
      <c r="L171" s="16" t="n"/>
      <c r="M171" s="16" t="n"/>
    </row>
    <row r="172">
      <c r="A172" s="16" t="n"/>
      <c r="B172" s="16" t="n"/>
      <c r="C172" s="16" t="n"/>
      <c r="D172" s="16" t="n"/>
      <c r="E172" s="16" t="n"/>
      <c r="F172" s="16" t="n"/>
      <c r="G172" s="16" t="n"/>
      <c r="H172" s="16" t="n"/>
      <c r="I172" s="16" t="n"/>
      <c r="J172" s="16" t="n"/>
      <c r="K172" s="16" t="n"/>
      <c r="L172" s="16" t="n"/>
      <c r="M172" s="16" t="n"/>
    </row>
    <row r="173">
      <c r="A173" s="16" t="n"/>
      <c r="B173" s="16" t="n"/>
      <c r="C173" s="16" t="n"/>
      <c r="D173" s="16" t="n"/>
      <c r="E173" s="16" t="n"/>
      <c r="F173" s="16" t="n"/>
      <c r="G173" s="16" t="n"/>
      <c r="H173" s="16" t="n"/>
      <c r="I173" s="16" t="n"/>
      <c r="J173" s="16" t="n"/>
      <c r="K173" s="16" t="n"/>
      <c r="L173" s="16" t="n"/>
      <c r="M173" s="16" t="n"/>
    </row>
    <row r="174">
      <c r="A174" s="16" t="n"/>
      <c r="B174" s="16" t="n"/>
      <c r="C174" s="16" t="n"/>
      <c r="D174" s="16" t="n"/>
      <c r="E174" s="16" t="n"/>
      <c r="F174" s="16" t="n"/>
      <c r="G174" s="16" t="n"/>
      <c r="H174" s="16" t="n"/>
      <c r="I174" s="16" t="n"/>
      <c r="J174" s="16" t="n"/>
      <c r="K174" s="16" t="n"/>
      <c r="L174" s="16" t="n"/>
      <c r="M174" s="16" t="n"/>
    </row>
    <row r="175">
      <c r="A175" s="16" t="n"/>
      <c r="B175" s="16" t="n"/>
      <c r="C175" s="16" t="n"/>
      <c r="D175" s="16" t="n"/>
      <c r="E175" s="16" t="n"/>
      <c r="F175" s="16" t="n"/>
      <c r="G175" s="16" t="n"/>
      <c r="H175" s="16" t="n"/>
      <c r="I175" s="16" t="n"/>
      <c r="J175" s="16" t="n"/>
      <c r="K175" s="16" t="n"/>
      <c r="L175" s="16" t="n"/>
      <c r="M175" s="16" t="n"/>
    </row>
    <row r="176">
      <c r="A176" s="16" t="n"/>
      <c r="B176" s="16" t="n"/>
      <c r="C176" s="16" t="n"/>
      <c r="D176" s="16" t="n"/>
      <c r="E176" s="16" t="n"/>
      <c r="F176" s="16" t="n"/>
      <c r="G176" s="16" t="n"/>
      <c r="H176" s="16" t="n"/>
      <c r="I176" s="16" t="n"/>
      <c r="J176" s="16" t="n"/>
      <c r="K176" s="16" t="n"/>
      <c r="L176" s="16" t="n"/>
      <c r="M176" s="16" t="n"/>
    </row>
    <row r="177">
      <c r="A177" s="16" t="n"/>
      <c r="B177" s="16" t="n"/>
      <c r="C177" s="16" t="n"/>
      <c r="D177" s="16" t="n"/>
      <c r="E177" s="16" t="n"/>
      <c r="F177" s="16" t="n"/>
      <c r="G177" s="16" t="n"/>
      <c r="H177" s="16" t="n"/>
      <c r="I177" s="16" t="n"/>
      <c r="J177" s="16" t="n"/>
      <c r="K177" s="16" t="n"/>
      <c r="L177" s="16" t="n"/>
      <c r="M177" s="16" t="n"/>
    </row>
    <row r="178">
      <c r="A178" s="16" t="n"/>
      <c r="B178" s="16" t="n"/>
      <c r="C178" s="16" t="n"/>
      <c r="D178" s="16" t="n"/>
      <c r="E178" s="16" t="n"/>
      <c r="F178" s="16" t="n"/>
      <c r="G178" s="16" t="n"/>
      <c r="H178" s="16" t="n"/>
      <c r="I178" s="16" t="n"/>
      <c r="J178" s="16" t="n"/>
      <c r="K178" s="16" t="n"/>
      <c r="L178" s="16" t="n"/>
      <c r="M178" s="16" t="n"/>
    </row>
    <row r="179">
      <c r="A179" s="16" t="n"/>
      <c r="B179" s="16" t="n"/>
      <c r="C179" s="16" t="n"/>
      <c r="D179" s="16" t="n"/>
      <c r="E179" s="16" t="n"/>
      <c r="F179" s="16" t="n"/>
      <c r="G179" s="16" t="n"/>
      <c r="H179" s="16" t="n"/>
      <c r="I179" s="16" t="n"/>
      <c r="J179" s="16" t="n"/>
      <c r="K179" s="16" t="n"/>
      <c r="L179" s="16" t="n"/>
      <c r="M179" s="16" t="n"/>
    </row>
    <row r="180">
      <c r="A180" s="16" t="n"/>
      <c r="B180" s="16" t="n"/>
      <c r="C180" s="16" t="n"/>
      <c r="D180" s="16" t="n"/>
      <c r="E180" s="16" t="n"/>
      <c r="F180" s="16" t="n"/>
      <c r="G180" s="16" t="n"/>
      <c r="H180" s="16" t="n"/>
      <c r="I180" s="16" t="n"/>
      <c r="J180" s="16" t="n"/>
      <c r="K180" s="16" t="n"/>
      <c r="L180" s="16" t="n"/>
      <c r="M180" s="16" t="n"/>
    </row>
    <row r="181">
      <c r="A181" s="16" t="n"/>
      <c r="B181" s="16" t="n"/>
      <c r="C181" s="16" t="n"/>
      <c r="D181" s="16" t="n"/>
      <c r="E181" s="16" t="n"/>
      <c r="F181" s="16" t="n"/>
      <c r="G181" s="16" t="n"/>
      <c r="H181" s="16" t="n"/>
      <c r="I181" s="16" t="n"/>
      <c r="J181" s="16" t="n"/>
      <c r="K181" s="16" t="n"/>
      <c r="L181" s="16" t="n"/>
      <c r="M181" s="16" t="n"/>
    </row>
    <row r="182">
      <c r="A182" s="16" t="n"/>
      <c r="B182" s="16" t="n"/>
      <c r="C182" s="16" t="n"/>
      <c r="D182" s="16" t="n"/>
      <c r="E182" s="16" t="n"/>
      <c r="F182" s="16" t="n"/>
      <c r="G182" s="16" t="n"/>
      <c r="H182" s="16" t="n"/>
      <c r="I182" s="16" t="n"/>
      <c r="J182" s="16" t="n"/>
      <c r="K182" s="16" t="n"/>
      <c r="L182" s="16" t="n"/>
      <c r="M182" s="16" t="n"/>
    </row>
    <row r="183">
      <c r="A183" s="16" t="n"/>
      <c r="B183" s="16" t="n"/>
      <c r="C183" s="16" t="n"/>
      <c r="D183" s="16" t="n"/>
      <c r="E183" s="16" t="n"/>
      <c r="F183" s="16" t="n"/>
      <c r="G183" s="16" t="n"/>
      <c r="H183" s="16" t="n"/>
      <c r="I183" s="16" t="n"/>
      <c r="J183" s="16" t="n"/>
      <c r="K183" s="16" t="n"/>
      <c r="L183" s="16" t="n"/>
      <c r="M183" s="16" t="n"/>
    </row>
    <row r="184">
      <c r="A184" s="16" t="n"/>
      <c r="B184" s="16" t="n"/>
      <c r="C184" s="16" t="n"/>
      <c r="D184" s="16" t="n"/>
      <c r="E184" s="16" t="n"/>
      <c r="F184" s="16" t="n"/>
      <c r="G184" s="16" t="n"/>
      <c r="H184" s="16" t="n"/>
      <c r="I184" s="16" t="n"/>
      <c r="J184" s="16" t="n"/>
      <c r="K184" s="16" t="n"/>
      <c r="L184" s="16" t="n"/>
      <c r="M184" s="16" t="n"/>
    </row>
    <row r="185">
      <c r="A185" s="16" t="n"/>
      <c r="B185" s="16" t="n"/>
      <c r="C185" s="16" t="n"/>
      <c r="D185" s="16" t="n"/>
      <c r="E185" s="16" t="n"/>
      <c r="F185" s="16" t="n"/>
      <c r="G185" s="16" t="n"/>
      <c r="H185" s="16" t="n"/>
      <c r="I185" s="16" t="n"/>
      <c r="J185" s="16" t="n"/>
      <c r="K185" s="16" t="n"/>
      <c r="L185" s="16" t="n"/>
      <c r="M185" s="16" t="n"/>
    </row>
    <row r="186">
      <c r="A186" s="16" t="n"/>
      <c r="B186" s="16" t="n"/>
      <c r="C186" s="16" t="n"/>
      <c r="D186" s="16" t="n"/>
      <c r="E186" s="16" t="n"/>
      <c r="F186" s="16" t="n"/>
      <c r="G186" s="16" t="n"/>
      <c r="H186" s="16" t="n"/>
      <c r="I186" s="16" t="n"/>
      <c r="J186" s="16" t="n"/>
      <c r="K186" s="16" t="n"/>
      <c r="L186" s="16" t="n"/>
      <c r="M186" s="16" t="n"/>
    </row>
    <row r="187">
      <c r="A187" s="16" t="n"/>
      <c r="B187" s="16" t="n"/>
      <c r="C187" s="16" t="n"/>
      <c r="D187" s="16" t="n"/>
      <c r="E187" s="16" t="n"/>
      <c r="F187" s="16" t="n"/>
      <c r="G187" s="16" t="n"/>
      <c r="H187" s="16" t="n"/>
      <c r="I187" s="16" t="n"/>
      <c r="J187" s="16" t="n"/>
      <c r="K187" s="16" t="n"/>
      <c r="L187" s="16" t="n"/>
      <c r="M187" s="16" t="n"/>
    </row>
    <row r="188">
      <c r="A188" s="16" t="n"/>
      <c r="B188" s="16" t="n"/>
      <c r="C188" s="16" t="n"/>
      <c r="D188" s="16" t="n"/>
      <c r="E188" s="16" t="n"/>
      <c r="F188" s="16" t="n"/>
      <c r="G188" s="16" t="n"/>
      <c r="H188" s="16" t="n"/>
      <c r="I188" s="16" t="n"/>
      <c r="J188" s="16" t="n"/>
      <c r="K188" s="16" t="n"/>
      <c r="L188" s="16" t="n"/>
      <c r="M188" s="16" t="n"/>
    </row>
    <row r="189">
      <c r="A189" s="16" t="n"/>
      <c r="B189" s="16" t="n"/>
      <c r="C189" s="16" t="n"/>
      <c r="D189" s="16" t="n"/>
      <c r="E189" s="16" t="n"/>
      <c r="F189" s="16" t="n"/>
      <c r="G189" s="16" t="n"/>
      <c r="H189" s="16" t="n"/>
      <c r="I189" s="16" t="n"/>
      <c r="J189" s="16" t="n"/>
      <c r="K189" s="16" t="n"/>
      <c r="L189" s="16" t="n"/>
      <c r="M189" s="16" t="n"/>
    </row>
    <row r="190">
      <c r="A190" s="16" t="n"/>
      <c r="B190" s="16" t="n"/>
      <c r="C190" s="16" t="n"/>
      <c r="D190" s="16" t="n"/>
      <c r="E190" s="16" t="n"/>
      <c r="F190" s="16" t="n"/>
      <c r="G190" s="16" t="n"/>
      <c r="H190" s="16" t="n"/>
      <c r="I190" s="16" t="n"/>
      <c r="J190" s="16" t="n"/>
      <c r="K190" s="16" t="n"/>
      <c r="L190" s="16" t="n"/>
      <c r="M190" s="16" t="n"/>
    </row>
    <row r="191">
      <c r="A191" s="16" t="n"/>
      <c r="B191" s="16" t="n"/>
      <c r="C191" s="16" t="n"/>
      <c r="D191" s="16" t="n"/>
      <c r="E191" s="16" t="n"/>
      <c r="F191" s="16" t="n"/>
      <c r="G191" s="16" t="n"/>
      <c r="H191" s="16" t="n"/>
      <c r="I191" s="16" t="n"/>
      <c r="J191" s="16" t="n"/>
      <c r="K191" s="16" t="n"/>
      <c r="L191" s="16" t="n"/>
      <c r="M191" s="16" t="n"/>
    </row>
    <row r="192">
      <c r="A192" s="16" t="n"/>
      <c r="B192" s="16" t="n"/>
      <c r="C192" s="16" t="n"/>
      <c r="D192" s="16" t="n"/>
      <c r="E192" s="16" t="n"/>
      <c r="F192" s="16" t="n"/>
      <c r="G192" s="16" t="n"/>
      <c r="H192" s="16" t="n"/>
      <c r="I192" s="16" t="n"/>
      <c r="J192" s="16" t="n"/>
      <c r="K192" s="16" t="n"/>
      <c r="L192" s="16" t="n"/>
      <c r="M192" s="16" t="n"/>
    </row>
    <row r="193">
      <c r="A193" s="16" t="n"/>
      <c r="B193" s="16" t="n"/>
      <c r="C193" s="16" t="n"/>
      <c r="D193" s="16" t="n"/>
      <c r="E193" s="16" t="n"/>
      <c r="F193" s="16" t="n"/>
      <c r="G193" s="16" t="n"/>
      <c r="H193" s="16" t="n"/>
      <c r="I193" s="16" t="n"/>
      <c r="J193" s="16" t="n"/>
      <c r="K193" s="16" t="n"/>
      <c r="L193" s="16" t="n"/>
      <c r="M193" s="16" t="n"/>
    </row>
    <row r="194">
      <c r="A194" s="16" t="n"/>
      <c r="B194" s="16" t="n"/>
      <c r="C194" s="16" t="n"/>
      <c r="D194" s="16" t="n"/>
      <c r="E194" s="16" t="n"/>
      <c r="F194" s="16" t="n"/>
      <c r="G194" s="16" t="n"/>
      <c r="H194" s="16" t="n"/>
      <c r="I194" s="16" t="n"/>
      <c r="J194" s="16" t="n"/>
      <c r="K194" s="16" t="n"/>
      <c r="L194" s="16" t="n"/>
      <c r="M194" s="16" t="n"/>
    </row>
    <row r="195">
      <c r="A195" s="16" t="n"/>
      <c r="B195" s="16" t="n"/>
      <c r="C195" s="16" t="n"/>
      <c r="D195" s="16" t="n"/>
      <c r="E195" s="16" t="n"/>
      <c r="F195" s="16" t="n"/>
      <c r="G195" s="16" t="n"/>
      <c r="H195" s="16" t="n"/>
      <c r="I195" s="16" t="n"/>
      <c r="J195" s="16" t="n"/>
      <c r="K195" s="16" t="n"/>
      <c r="L195" s="16" t="n"/>
      <c r="M195" s="16" t="n"/>
    </row>
    <row r="196">
      <c r="A196" s="16" t="n"/>
      <c r="B196" s="16" t="n"/>
      <c r="C196" s="16" t="n"/>
      <c r="D196" s="16" t="n"/>
      <c r="E196" s="16" t="n"/>
      <c r="F196" s="16" t="n"/>
      <c r="G196" s="16" t="n"/>
      <c r="H196" s="16" t="n"/>
      <c r="I196" s="16" t="n"/>
      <c r="J196" s="16" t="n"/>
      <c r="K196" s="16" t="n"/>
      <c r="L196" s="16" t="n"/>
      <c r="M196" s="16" t="n"/>
    </row>
    <row r="197">
      <c r="A197" s="16" t="n"/>
      <c r="B197" s="16" t="n"/>
      <c r="C197" s="16" t="n"/>
      <c r="D197" s="16" t="n"/>
      <c r="E197" s="16" t="n"/>
      <c r="F197" s="16" t="n"/>
      <c r="G197" s="16" t="n"/>
      <c r="H197" s="16" t="n"/>
      <c r="I197" s="16" t="n"/>
      <c r="J197" s="16" t="n"/>
      <c r="K197" s="16" t="n"/>
      <c r="L197" s="16" t="n"/>
      <c r="M197" s="16" t="n"/>
    </row>
    <row r="198">
      <c r="A198" s="16" t="n"/>
      <c r="B198" s="16" t="n"/>
      <c r="C198" s="16" t="n"/>
      <c r="D198" s="16" t="n"/>
      <c r="E198" s="16" t="n"/>
      <c r="F198" s="16" t="n"/>
      <c r="G198" s="16" t="n"/>
      <c r="H198" s="16" t="n"/>
      <c r="I198" s="16" t="n"/>
      <c r="J198" s="16" t="n"/>
      <c r="K198" s="16" t="n"/>
      <c r="L198" s="16" t="n"/>
      <c r="M198" s="16" t="n"/>
    </row>
    <row r="199">
      <c r="A199" s="16" t="n"/>
      <c r="B199" s="16" t="n"/>
      <c r="C199" s="16" t="n"/>
      <c r="D199" s="16" t="n"/>
      <c r="E199" s="16" t="n"/>
      <c r="F199" s="16" t="n"/>
      <c r="G199" s="16" t="n"/>
      <c r="H199" s="16" t="n"/>
      <c r="I199" s="16" t="n"/>
      <c r="J199" s="16" t="n"/>
      <c r="K199" s="16" t="n"/>
      <c r="L199" s="16" t="n"/>
      <c r="M199" s="16" t="n"/>
    </row>
    <row r="200">
      <c r="A200" s="16" t="n"/>
      <c r="B200" s="16" t="n"/>
      <c r="C200" s="16" t="n"/>
      <c r="D200" s="16" t="n"/>
      <c r="E200" s="16" t="n"/>
      <c r="F200" s="16" t="n"/>
      <c r="G200" s="16" t="n"/>
      <c r="H200" s="16" t="n"/>
      <c r="I200" s="16" t="n"/>
      <c r="J200" s="16" t="n"/>
      <c r="K200" s="16" t="n"/>
      <c r="L200" s="16" t="n"/>
      <c r="M200" s="16" t="n"/>
    </row>
    <row r="201">
      <c r="A201" s="16" t="n"/>
      <c r="B201" s="16" t="n"/>
      <c r="C201" s="16" t="n"/>
      <c r="D201" s="16" t="n"/>
      <c r="E201" s="16" t="n"/>
      <c r="F201" s="16" t="n"/>
      <c r="G201" s="16" t="n"/>
      <c r="H201" s="16" t="n"/>
      <c r="I201" s="16" t="n"/>
      <c r="J201" s="16" t="n"/>
      <c r="K201" s="16" t="n"/>
      <c r="L201" s="16" t="n"/>
      <c r="M201" s="16" t="n"/>
    </row>
  </sheetData>
  <dataValidations count="2">
    <dataValidation sqref="E2:E201" showDropDown="0" showInputMessage="0" showErrorMessage="0" allowBlank="1" type="list">
      <formula1>"Critical,High,Medium,Low"</formula1>
    </dataValidation>
    <dataValidation sqref="L2:L201" showDropDown="0" showInputMessage="0" showErrorMessage="0" allowBlank="1" type="list">
      <formula1>"Open,In progress,Fixed,Retest,Closed,Rejected"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
  <sheetViews>
    <sheetView zoomScale="100" workbookViewId="0">
      <selection activeCell="A1" sqref="A1"/>
    </sheetView>
  </sheetViews>
  <sheetFormatPr baseColWidth="8" defaultRowHeight="15"/>
  <cols>
    <col width="16" customWidth="1" min="1" max="1"/>
    <col width="34" customWidth="1" min="2" max="2"/>
    <col width="28" customWidth="1" min="3" max="3"/>
    <col width="14" customWidth="1" min="4" max="4"/>
    <col width="80" customWidth="1" min="5" max="5"/>
  </cols>
  <sheetData>
    <row r="1">
      <c r="A1" s="9" t="inlineStr">
        <is>
          <t>Person</t>
        </is>
      </c>
      <c r="B1" s="9" t="inlineStr">
        <is>
          <t>Sign in as</t>
        </is>
      </c>
      <c r="C1" s="9" t="inlineStr">
        <is>
          <t>Role</t>
        </is>
      </c>
      <c r="D1" s="9" t="inlineStr">
        <is>
          <t>Where</t>
        </is>
      </c>
      <c r="E1" s="9" t="inlineStr">
        <is>
          <t>What they do</t>
        </is>
      </c>
    </row>
    <row r="2">
      <c r="A2" s="10" t="inlineStr">
        <is>
          <t>Priya Menon</t>
        </is>
      </c>
      <c r="B2" s="11" t="inlineStr">
        <is>
          <t>dpo@cmp.local</t>
        </is>
      </c>
      <c r="C2" s="11" t="inlineStr">
        <is>
          <t>DPO (Data Protection Officer)</t>
        </is>
      </c>
      <c r="D2" s="11" t="inlineStr">
        <is>
          <t>Console</t>
        </is>
      </c>
      <c r="E2" s="11" t="inlineStr">
        <is>
          <t>Runs the Privacy Office: purposes, notices, approvals, rights requests, audit, legal holds, restricted countries.</t>
        </is>
      </c>
    </row>
    <row r="3">
      <c r="A3" s="10" t="inlineStr">
        <is>
          <t>System Admin</t>
        </is>
      </c>
      <c r="B3" s="11" t="inlineStr">
        <is>
          <t>admin@cmp.local</t>
        </is>
      </c>
      <c r="C3" s="11" t="inlineStr">
        <is>
          <t>Administrator</t>
        </is>
      </c>
      <c r="D3" s="11" t="inlineStr">
        <is>
          <t>Console</t>
        </is>
      </c>
      <c r="E3" s="11" t="inlineStr">
        <is>
          <t>Creates staff accounts and sets roles; reviews grievances about the DPO.</t>
        </is>
      </c>
    </row>
    <row r="4">
      <c r="A4" s="10" t="inlineStr">
        <is>
          <t>Kavya Rao</t>
        </is>
      </c>
      <c r="B4" s="11" t="inlineStr">
        <is>
          <t>rnd@cmp.local</t>
        </is>
      </c>
      <c r="C4" s="11" t="inlineStr">
        <is>
          <t>R&amp;D User</t>
        </is>
      </c>
      <c r="D4" s="11" t="inlineStr">
        <is>
          <t>Console</t>
        </is>
      </c>
      <c r="E4" s="11" t="inlineStr">
        <is>
          <t>Registers research projects, brings the notice, submits for approval.</t>
        </is>
      </c>
    </row>
    <row r="5">
      <c r="A5" s="10" t="inlineStr">
        <is>
          <t>Nikhil Bose</t>
        </is>
      </c>
      <c r="B5" s="11" t="inlineStr">
        <is>
          <t>dcoadmin@cmp.local</t>
        </is>
      </c>
      <c r="C5" s="11" t="inlineStr">
        <is>
          <t>DCO Admin</t>
        </is>
      </c>
      <c r="D5" s="11" t="inlineStr">
        <is>
          <t>Console</t>
        </is>
      </c>
      <c r="E5" s="11" t="inlineStr">
        <is>
          <t>Routes approved third-party projects: assigns data sources and a DCO.</t>
        </is>
      </c>
    </row>
    <row r="6">
      <c r="A6" s="10" t="inlineStr">
        <is>
          <t>Arun Shetty</t>
        </is>
      </c>
      <c r="B6" s="11" t="inlineStr">
        <is>
          <t>dco@cmp.local</t>
        </is>
      </c>
      <c r="C6" s="11" t="inlineStr">
        <is>
          <t>DCO (Data Collection Owner)</t>
        </is>
      </c>
      <c r="D6" s="11" t="inlineStr">
        <is>
          <t>Console</t>
        </is>
      </c>
      <c r="E6" s="11" t="inlineStr">
        <is>
          <t>Runs collection sites: consent links, exports, imports.</t>
        </is>
      </c>
    </row>
    <row r="7">
      <c r="A7" s="10" t="inlineStr">
        <is>
          <t>Meera Iyer</t>
        </is>
      </c>
      <c r="B7" s="11" t="inlineStr">
        <is>
          <t>rco@cmp.local</t>
        </is>
      </c>
      <c r="C7" s="11" t="inlineStr">
        <is>
          <t>RCO (R&amp;D Collection Owner)</t>
        </is>
      </c>
      <c r="D7" s="11" t="inlineStr">
        <is>
          <t>Console</t>
        </is>
      </c>
      <c r="E7" s="11" t="inlineStr">
        <is>
          <t>Runs in-house collection; answers rights tickets addressed to in-house teams.</t>
        </is>
      </c>
    </row>
    <row r="8">
      <c r="A8" s="10" t="inlineStr">
        <is>
          <t>Anjali Verma</t>
        </is>
      </c>
      <c r="B8" s="11" t="inlineStr">
        <is>
          <t>subject@cmp.local / +91 90000 00001</t>
        </is>
      </c>
      <c r="C8" s="11" t="inlineStr">
        <is>
          <t>Data principal</t>
        </is>
      </c>
      <c r="D8" s="11" t="inlineStr">
        <is>
          <t>Portal</t>
        </is>
      </c>
      <c r="E8" s="11" t="inlineStr">
        <is>
          <t>Gives and withdraws consent, raises rights requests. No password - one-time code.</t>
        </is>
      </c>
    </row>
    <row r="10">
      <c r="A10" s="4" t="inlineStr">
        <is>
          <t>Staff password</t>
        </is>
      </c>
      <c r="B10" s="18" t="inlineStr">
        <is>
          <t>SeedPassw0rd!2026 (test environment only)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2026-10-05T08:36:05Z</dcterms:created>
  <dcterms:modified xsi:type="dcterms:W3CDTF">2026-10-05T08:36:05Z</dcterms:modified>
</cp:coreProperties>
</file>