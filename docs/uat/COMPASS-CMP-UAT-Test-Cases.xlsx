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est Cases" sheetId="3" state="visible" r:id="rId3"/>
    <sheet name="Test Steps" sheetId="4" state="visible" r:id="rId4"/>
    <sheet name="Defect Log" sheetId="5" state="visible" r:id="rId5"/>
    <sheet name="Accounts" sheetId="6" state="visible" r:id="rId6"/>
  </sheets>
  <definedNames>
    <definedName name="_xlnm._FilterDatabase" localSheetId="2" hidden="1">'Test Cases'!$A$1:$R$157</definedName>
    <definedName name="_xlnm._FilterDatabase" localSheetId="3" hidden="1">'Test Steps'!$A$1:$G$1309</definedName>
  </definedNames>
  <calcPr calcId="124519" fullCalcOnLoad="1"/>
</workbook>
</file>

<file path=xl/styles.xml><?xml version="1.0" encoding="utf-8"?>
<styleSheet xmlns="http://schemas.openxmlformats.org/spreadsheetml/2006/main">
  <numFmts count="1">
    <numFmt numFmtId="164" formatCode="DD-MMM-YYYY"/>
  </numFmts>
  <fonts count="10">
    <font>
      <name val="Calibri"/>
      <family val="2"/>
      <color theme="1"/>
      <sz val="11"/>
      <scheme val="minor"/>
    </font>
    <font>
      <name val="Arial"/>
      <b val="1"/>
      <color rgb="001F4E79"/>
      <sz val="16"/>
    </font>
    <font>
      <name val="Arial"/>
      <b val="1"/>
      <color rgb="00000000"/>
      <sz val="10"/>
    </font>
    <font>
      <name val="Arial"/>
      <sz val="10"/>
    </font>
    <font>
      <name val="Arial"/>
      <b val="1"/>
      <sz val="10"/>
    </font>
    <font>
      <name val="Arial"/>
      <i val="1"/>
      <sz val="10"/>
    </font>
    <font>
      <name val="Arial"/>
      <b val="1"/>
      <color rgb="00FFFFFF"/>
      <sz val="10"/>
    </font>
    <font>
      <name val="Arial"/>
      <b val="1"/>
      <color rgb="001F4E79"/>
      <sz val="14"/>
    </font>
    <font>
      <name val="Arial"/>
      <i val="1"/>
      <sz val="9"/>
    </font>
    <font>
      <name val="Arial"/>
      <b val="1"/>
      <color rgb="001F4E79"/>
      <sz val="12"/>
    </font>
  </fonts>
  <fills count="5">
    <fill>
      <patternFill/>
    </fill>
    <fill>
      <patternFill patternType="gray125"/>
    </fill>
    <fill>
      <patternFill patternType="solid">
        <fgColor rgb="00FFF2CC"/>
      </patternFill>
    </fill>
    <fill>
      <patternFill patternType="solid">
        <fgColor rgb="001F4E79"/>
      </patternFill>
    </fill>
    <fill>
      <patternFill patternType="solid">
        <fgColor rgb="00F3F4F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3" fillId="2" borderId="0" pivotButton="0" quotePrefix="0" xfId="0"/>
    <xf numFmtId="0" fontId="7" fillId="0" borderId="0" pivotButton="0" quotePrefix="0" xfId="0"/>
    <xf numFmtId="0" fontId="8" fillId="0" borderId="0" pivotButton="0" quotePrefix="0" xfId="0"/>
    <xf numFmtId="0" fontId="6" fillId="3" borderId="1" applyAlignment="1" pivotButton="0" quotePrefix="0" xfId="0">
      <alignment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9" fontId="3" fillId="0" borderId="1" applyAlignment="1" pivotButton="0" quotePrefix="0" xfId="0">
      <alignment vertical="top" wrapText="1"/>
    </xf>
    <xf numFmtId="0" fontId="4" fillId="4" borderId="1" applyAlignment="1" pivotButton="0" quotePrefix="0" xfId="0">
      <alignment vertical="top" wrapText="1"/>
    </xf>
    <xf numFmtId="9" fontId="4" fillId="4" borderId="1" applyAlignment="1" pivotButton="0" quotePrefix="0" xfId="0">
      <alignment vertical="top" wrapText="1"/>
    </xf>
    <xf numFmtId="0" fontId="9" fillId="0" borderId="0" pivotButton="0" quotePrefix="0" xfId="0"/>
    <xf numFmtId="0" fontId="3" fillId="2" borderId="1" applyAlignment="1" pivotButton="0" quotePrefix="0" xfId="0">
      <alignment vertical="top" wrapText="1"/>
    </xf>
    <xf numFmtId="164" fontId="3" fillId="2" borderId="1" applyAlignment="1" pivotButton="0" quotePrefix="0" xfId="0">
      <alignment vertical="top" wrapText="1"/>
    </xf>
    <xf numFmtId="0" fontId="3"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zoomScale="100" workbookViewId="0">
      <selection activeCell="A1" sqref="A1"/>
    </sheetView>
  </sheetViews>
  <sheetFormatPr baseColWidth="8" defaultRowHeight="15"/>
  <cols>
    <col width="26" customWidth="1" min="1" max="1"/>
    <col width="110" customWidth="1" min="2" max="2"/>
  </cols>
  <sheetData>
    <row r="1">
      <c r="A1" s="1" t="inlineStr">
        <is>
          <t>COMPASS CMP - User Acceptance Testing</t>
        </is>
      </c>
    </row>
    <row r="2">
      <c r="A2" s="2" t="inlineStr">
        <is>
          <t>Build under test</t>
        </is>
      </c>
      <c r="B2" s="3" t="inlineStr">
        <is>
          <t>Branch sprint-3/breach-and-correction, commit 833b58f - 8 October 2026 (pack version 1.6)</t>
        </is>
      </c>
    </row>
    <row r="3">
      <c r="A3" s="2" t="inlineStr">
        <is>
          <t>Retired case IDs</t>
        </is>
      </c>
      <c r="B3" s="3" t="inlineStr">
        <is>
          <t>RGT-19 (a correction nobody carried out cannot close as Complete) - correction is no longer a kind of rights request. Other IDs keep their numbers.</t>
        </is>
      </c>
    </row>
    <row r="4">
      <c r="A4" s="2" t="inlineStr">
        <is>
          <t>Read first</t>
        </is>
      </c>
      <c r="B4" s="3" t="inlineStr">
        <is>
          <t>COMPASS-CMP-UAT-Runbook-and-Test-Cases.docx, Part A (the runbook). It explains the system, the accounts, the test outbox for one-time codes, and how to record results.</t>
        </is>
      </c>
    </row>
    <row r="5">
      <c r="A5" s="2" t="inlineStr">
        <is>
          <t>Where to record results</t>
        </is>
      </c>
      <c r="B5" s="3" t="inlineStr">
        <is>
          <t>Test Cases sheet: one row per case - fill in Tester, Date, Status, Actual result / notes, Defect IDs. Test Steps sheet: optional, one row per step, for a failed or complex case. Defect Log: one row per defect.</t>
        </is>
      </c>
    </row>
    <row r="6">
      <c r="A6" s="2" t="inlineStr">
        <is>
          <t>Cells you fill in</t>
        </is>
      </c>
      <c r="B6" s="3" t="inlineStr">
        <is>
          <t>Only the pale yellow cells. Everything else is the test definition - do not edit it; tell the coordinator if a step is wrong.</t>
        </is>
      </c>
    </row>
    <row r="7">
      <c r="A7" s="2" t="inlineStr">
        <is>
          <t>Status values</t>
        </is>
      </c>
      <c r="B7" s="3" t="inlineStr">
        <is>
          <t>Not run (default), Pass, Fail, Blocked - choose from the drop-down. The Summary sheet counts them.</t>
        </is>
      </c>
    </row>
    <row r="8">
      <c r="A8" s="2" t="inlineStr">
        <is>
          <t>Severity values</t>
        </is>
      </c>
      <c r="B8" s="3" t="inlineStr">
        <is>
          <t>Critical, High, Medium, Low - see the runbook, section 7.</t>
        </is>
      </c>
    </row>
    <row r="9">
      <c r="A9" s="2" t="inlineStr">
        <is>
          <t>Staff password</t>
        </is>
      </c>
      <c r="B9" s="3" t="inlineStr">
        <is>
          <t>SeedPassw0rd!2026 for every staff account (see the Accounts sheet).</t>
        </is>
      </c>
    </row>
    <row r="10">
      <c r="A10" s="2" t="inlineStr">
        <is>
          <t>Console / portal</t>
        </is>
      </c>
      <c r="B10" s="3" t="inlineStr">
        <is>
          <t>Staff console http://localhost:3000  -  Data principal portal http://localhost:3001</t>
        </is>
      </c>
    </row>
    <row r="11">
      <c r="A11" s="2" t="inlineStr">
        <is>
          <t>Example of a filled result row</t>
        </is>
      </c>
    </row>
    <row r="12">
      <c r="A12" s="4" t="inlineStr">
        <is>
          <t>Columns</t>
        </is>
      </c>
      <c r="B12" s="5" t="inlineStr">
        <is>
          <t>Tester  |  Date  |  Status  |  Actual result / notes  |  Defect IDs</t>
        </is>
      </c>
    </row>
    <row r="13">
      <c r="A13" s="4" t="inlineStr">
        <is>
          <t>Example values</t>
        </is>
      </c>
      <c r="B13" s="6" t="inlineStr">
        <is>
          <t>Tester 07 (Ravi)  |  25-Sep-2026  |  Fail  |  Step 4: toast read "Saved" instead of "Processor updated". Screenshot DEF-003.png  |  DEF-003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zoomScale="100"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11" customWidth="1" min="7" max="7"/>
    <col width="11" customWidth="1" min="8" max="8"/>
  </cols>
  <sheetData>
    <row r="1">
      <c r="A1" s="7" t="inlineStr">
        <is>
          <t>UAT progress</t>
        </is>
      </c>
    </row>
    <row r="2">
      <c r="A2" s="8" t="inlineStr">
        <is>
          <t>Counts come from the Status column of the Test Cases sheet and update as it is filled in.</t>
        </is>
      </c>
    </row>
    <row r="4">
      <c r="A4" s="9" t="inlineStr">
        <is>
          <t>Area</t>
        </is>
      </c>
      <c r="B4" s="9" t="inlineStr">
        <is>
          <t>Cases</t>
        </is>
      </c>
      <c r="C4" s="9" t="inlineStr">
        <is>
          <t>Pass</t>
        </is>
      </c>
      <c r="D4" s="9" t="inlineStr">
        <is>
          <t>Fail</t>
        </is>
      </c>
      <c r="E4" s="9" t="inlineStr">
        <is>
          <t>Blocked</t>
        </is>
      </c>
      <c r="F4" s="9" t="inlineStr">
        <is>
          <t>Not run</t>
        </is>
      </c>
      <c r="G4" s="9" t="inlineStr">
        <is>
          <t>% executed</t>
        </is>
      </c>
      <c r="H4" s="9" t="inlineStr">
        <is>
          <t>% passed</t>
        </is>
      </c>
    </row>
    <row r="5">
      <c r="A5" s="10" t="inlineStr">
        <is>
          <t>Access and accounts</t>
        </is>
      </c>
      <c r="B5" s="11">
        <f>COUNTIFS('Test Cases'!$B$2:$B$157,$A5)</f>
        <v/>
      </c>
      <c r="C5" s="11">
        <f>COUNTIFS('Test Cases'!$B$2:$B$157,$A5,'Test Cases'!$P$2:$P$157,"Pass")</f>
        <v/>
      </c>
      <c r="D5" s="11">
        <f>COUNTIFS('Test Cases'!$B$2:$B$157,$A5,'Test Cases'!$P$2:$P$157,"Fail")</f>
        <v/>
      </c>
      <c r="E5" s="11">
        <f>COUNTIFS('Test Cases'!$B$2:$B$157,$A5,'Test Cases'!$P$2:$P$157,"Blocked")</f>
        <v/>
      </c>
      <c r="F5" s="11">
        <f>COUNTIFS('Test Cases'!$B$2:$B$157,$A5,'Test Cases'!$P$2:$P$157,"Not run")</f>
        <v/>
      </c>
      <c r="G5" s="12">
        <f>IFERROR((C5+D5+E5)/B5,0)</f>
        <v/>
      </c>
      <c r="H5" s="12">
        <f>IFERROR(C5/B5,0)</f>
        <v/>
      </c>
    </row>
    <row r="6">
      <c r="A6" s="10" t="inlineStr">
        <is>
          <t>Registry and administration</t>
        </is>
      </c>
      <c r="B6" s="11">
        <f>COUNTIFS('Test Cases'!$B$2:$B$157,$A6)</f>
        <v/>
      </c>
      <c r="C6" s="11">
        <f>COUNTIFS('Test Cases'!$B$2:$B$157,$A6,'Test Cases'!$P$2:$P$157,"Pass")</f>
        <v/>
      </c>
      <c r="D6" s="11">
        <f>COUNTIFS('Test Cases'!$B$2:$B$157,$A6,'Test Cases'!$P$2:$P$157,"Fail")</f>
        <v/>
      </c>
      <c r="E6" s="11">
        <f>COUNTIFS('Test Cases'!$B$2:$B$157,$A6,'Test Cases'!$P$2:$P$157,"Blocked")</f>
        <v/>
      </c>
      <c r="F6" s="11">
        <f>COUNTIFS('Test Cases'!$B$2:$B$157,$A6,'Test Cases'!$P$2:$P$157,"Not run")</f>
        <v/>
      </c>
      <c r="G6" s="12">
        <f>IFERROR((C6+D6+E6)/B6,0)</f>
        <v/>
      </c>
      <c r="H6" s="12">
        <f>IFERROR(C6/B6,0)</f>
        <v/>
      </c>
    </row>
    <row r="7">
      <c r="A7" s="10" t="inlineStr">
        <is>
          <t>Projects, notices and links</t>
        </is>
      </c>
      <c r="B7" s="11">
        <f>COUNTIFS('Test Cases'!$B$2:$B$157,$A7)</f>
        <v/>
      </c>
      <c r="C7" s="11">
        <f>COUNTIFS('Test Cases'!$B$2:$B$157,$A7,'Test Cases'!$P$2:$P$157,"Pass")</f>
        <v/>
      </c>
      <c r="D7" s="11">
        <f>COUNTIFS('Test Cases'!$B$2:$B$157,$A7,'Test Cases'!$P$2:$P$157,"Fail")</f>
        <v/>
      </c>
      <c r="E7" s="11">
        <f>COUNTIFS('Test Cases'!$B$2:$B$157,$A7,'Test Cases'!$P$2:$P$157,"Blocked")</f>
        <v/>
      </c>
      <c r="F7" s="11">
        <f>COUNTIFS('Test Cases'!$B$2:$B$157,$A7,'Test Cases'!$P$2:$P$157,"Not run")</f>
        <v/>
      </c>
      <c r="G7" s="12">
        <f>IFERROR((C7+D7+E7)/B7,0)</f>
        <v/>
      </c>
      <c r="H7" s="12">
        <f>IFERROR(C7/B7,0)</f>
        <v/>
      </c>
    </row>
    <row r="8">
      <c r="A8" s="10" t="inlineStr">
        <is>
          <t>Consent and data exchange</t>
        </is>
      </c>
      <c r="B8" s="11">
        <f>COUNTIFS('Test Cases'!$B$2:$B$157,$A8)</f>
        <v/>
      </c>
      <c r="C8" s="11">
        <f>COUNTIFS('Test Cases'!$B$2:$B$157,$A8,'Test Cases'!$P$2:$P$157,"Pass")</f>
        <v/>
      </c>
      <c r="D8" s="11">
        <f>COUNTIFS('Test Cases'!$B$2:$B$157,$A8,'Test Cases'!$P$2:$P$157,"Fail")</f>
        <v/>
      </c>
      <c r="E8" s="11">
        <f>COUNTIFS('Test Cases'!$B$2:$B$157,$A8,'Test Cases'!$P$2:$P$157,"Blocked")</f>
        <v/>
      </c>
      <c r="F8" s="11">
        <f>COUNTIFS('Test Cases'!$B$2:$B$157,$A8,'Test Cases'!$P$2:$P$157,"Not run")</f>
        <v/>
      </c>
      <c r="G8" s="12">
        <f>IFERROR((C8+D8+E8)/B8,0)</f>
        <v/>
      </c>
      <c r="H8" s="12">
        <f>IFERROR(C8/B8,0)</f>
        <v/>
      </c>
    </row>
    <row r="9">
      <c r="A9" s="10" t="inlineStr">
        <is>
          <t>Rights requests</t>
        </is>
      </c>
      <c r="B9" s="11">
        <f>COUNTIFS('Test Cases'!$B$2:$B$157,$A9)</f>
        <v/>
      </c>
      <c r="C9" s="11">
        <f>COUNTIFS('Test Cases'!$B$2:$B$157,$A9,'Test Cases'!$P$2:$P$157,"Pass")</f>
        <v/>
      </c>
      <c r="D9" s="11">
        <f>COUNTIFS('Test Cases'!$B$2:$B$157,$A9,'Test Cases'!$P$2:$P$157,"Fail")</f>
        <v/>
      </c>
      <c r="E9" s="11">
        <f>COUNTIFS('Test Cases'!$B$2:$B$157,$A9,'Test Cases'!$P$2:$P$157,"Blocked")</f>
        <v/>
      </c>
      <c r="F9" s="11">
        <f>COUNTIFS('Test Cases'!$B$2:$B$157,$A9,'Test Cases'!$P$2:$P$157,"Not run")</f>
        <v/>
      </c>
      <c r="G9" s="12">
        <f>IFERROR((C9+D9+E9)/B9,0)</f>
        <v/>
      </c>
      <c r="H9" s="12">
        <f>IFERROR(C9/B9,0)</f>
        <v/>
      </c>
    </row>
    <row r="10">
      <c r="A10" s="10" t="inlineStr">
        <is>
          <t>Breach and incidents</t>
        </is>
      </c>
      <c r="B10" s="11">
        <f>COUNTIFS('Test Cases'!$B$2:$B$157,$A10)</f>
        <v/>
      </c>
      <c r="C10" s="11">
        <f>COUNTIFS('Test Cases'!$B$2:$B$157,$A10,'Test Cases'!$P$2:$P$157,"Pass")</f>
        <v/>
      </c>
      <c r="D10" s="11">
        <f>COUNTIFS('Test Cases'!$B$2:$B$157,$A10,'Test Cases'!$P$2:$P$157,"Fail")</f>
        <v/>
      </c>
      <c r="E10" s="11">
        <f>COUNTIFS('Test Cases'!$B$2:$B$157,$A10,'Test Cases'!$P$2:$P$157,"Blocked")</f>
        <v/>
      </c>
      <c r="F10" s="11">
        <f>COUNTIFS('Test Cases'!$B$2:$B$157,$A10,'Test Cases'!$P$2:$P$157,"Not run")</f>
        <v/>
      </c>
      <c r="G10" s="12">
        <f>IFERROR((C10+D10+E10)/B10,0)</f>
        <v/>
      </c>
      <c r="H10" s="12">
        <f>IFERROR(C10/B10,0)</f>
        <v/>
      </c>
    </row>
    <row r="11">
      <c r="A11" s="10" t="inlineStr">
        <is>
          <t>Oversight and audit</t>
        </is>
      </c>
      <c r="B11" s="11">
        <f>COUNTIFS('Test Cases'!$B$2:$B$157,$A11)</f>
        <v/>
      </c>
      <c r="C11" s="11">
        <f>COUNTIFS('Test Cases'!$B$2:$B$157,$A11,'Test Cases'!$P$2:$P$157,"Pass")</f>
        <v/>
      </c>
      <c r="D11" s="11">
        <f>COUNTIFS('Test Cases'!$B$2:$B$157,$A11,'Test Cases'!$P$2:$P$157,"Fail")</f>
        <v/>
      </c>
      <c r="E11" s="11">
        <f>COUNTIFS('Test Cases'!$B$2:$B$157,$A11,'Test Cases'!$P$2:$P$157,"Blocked")</f>
        <v/>
      </c>
      <c r="F11" s="11">
        <f>COUNTIFS('Test Cases'!$B$2:$B$157,$A11,'Test Cases'!$P$2:$P$157,"Not run")</f>
        <v/>
      </c>
      <c r="G11" s="12">
        <f>IFERROR((C11+D11+E11)/B11,0)</f>
        <v/>
      </c>
      <c r="H11" s="12">
        <f>IFERROR(C11/B11,0)</f>
        <v/>
      </c>
    </row>
    <row r="12">
      <c r="A12" s="13" t="inlineStr">
        <is>
          <t>All areas</t>
        </is>
      </c>
      <c r="B12" s="13">
        <f>SUM(B5:B11)</f>
        <v/>
      </c>
      <c r="C12" s="13">
        <f>SUM(C5:C11)</f>
        <v/>
      </c>
      <c r="D12" s="13">
        <f>SUM(D5:D11)</f>
        <v/>
      </c>
      <c r="E12" s="13">
        <f>SUM(E5:E11)</f>
        <v/>
      </c>
      <c r="F12" s="13">
        <f>SUM(F5:F11)</f>
        <v/>
      </c>
      <c r="G12" s="14">
        <f>IFERROR((C12+D12+E12)/B12,0)</f>
        <v/>
      </c>
      <c r="H12" s="14">
        <f>IFERROR(C12/B12,0)</f>
        <v/>
      </c>
    </row>
    <row r="13">
      <c r="A13" s="13" t="inlineStr">
        <is>
          <t>High priority only</t>
        </is>
      </c>
      <c r="B13" s="13">
        <f>COUNTIFS('Test Cases'!$F$2:$F$157,"High")</f>
        <v/>
      </c>
      <c r="C13" s="13">
        <f>COUNTIFS('Test Cases'!$F$2:$F$157,"High",'Test Cases'!$P$2:$P$157,"Pass")</f>
        <v/>
      </c>
      <c r="D13" s="13">
        <f>COUNTIFS('Test Cases'!$F$2:$F$157,"High",'Test Cases'!$P$2:$P$157,"Fail")</f>
        <v/>
      </c>
      <c r="E13" s="13">
        <f>COUNTIFS('Test Cases'!$F$2:$F$157,"High",'Test Cases'!$P$2:$P$157,"Blocked")</f>
        <v/>
      </c>
      <c r="F13" s="13">
        <f>COUNTIFS('Test Cases'!$F$2:$F$157,"High",'Test Cases'!$P$2:$P$157,"Not run")</f>
        <v/>
      </c>
      <c r="G13" s="14">
        <f>IFERROR((C13+D13+E13)/B13,0)</f>
        <v/>
      </c>
      <c r="H13" s="14">
        <f>IFERROR(C13/B13,0)</f>
        <v/>
      </c>
    </row>
    <row r="15">
      <c r="A15" s="15" t="inlineStr">
        <is>
          <t>Open defects by severity</t>
        </is>
      </c>
    </row>
    <row r="16">
      <c r="A16" s="9" t="inlineStr">
        <is>
          <t>Severity</t>
        </is>
      </c>
      <c r="B16" s="9" t="inlineStr">
        <is>
          <t>Open</t>
        </is>
      </c>
      <c r="C16" s="9" t="inlineStr">
        <is>
          <t>All raised</t>
        </is>
      </c>
    </row>
    <row r="17">
      <c r="A17" s="10" t="inlineStr">
        <is>
          <t>Critical</t>
        </is>
      </c>
      <c r="B17" s="11">
        <f>COUNTIFS('Defect Log'!$E$3:$E$201,$A17,'Defect Log'!$L$3:$L$201,"&lt;&gt;Closed",'Defect Log'!$L$3:$L$201,"&lt;&gt;Rejected")</f>
        <v/>
      </c>
      <c r="C17" s="11">
        <f>COUNTIFS('Defect Log'!$E$3:$E$201,$A17)</f>
        <v/>
      </c>
    </row>
    <row r="18">
      <c r="A18" s="10" t="inlineStr">
        <is>
          <t>High</t>
        </is>
      </c>
      <c r="B18" s="11">
        <f>COUNTIFS('Defect Log'!$E$3:$E$201,$A18,'Defect Log'!$L$3:$L$201,"&lt;&gt;Closed",'Defect Log'!$L$3:$L$201,"&lt;&gt;Rejected")</f>
        <v/>
      </c>
      <c r="C18" s="11">
        <f>COUNTIFS('Defect Log'!$E$3:$E$201,$A18)</f>
        <v/>
      </c>
    </row>
    <row r="19">
      <c r="A19" s="10" t="inlineStr">
        <is>
          <t>Medium</t>
        </is>
      </c>
      <c r="B19" s="11">
        <f>COUNTIFS('Defect Log'!$E$3:$E$201,$A19,'Defect Log'!$L$3:$L$201,"&lt;&gt;Closed",'Defect Log'!$L$3:$L$201,"&lt;&gt;Rejected")</f>
        <v/>
      </c>
      <c r="C19" s="11">
        <f>COUNTIFS('Defect Log'!$E$3:$E$201,$A19)</f>
        <v/>
      </c>
    </row>
    <row r="20">
      <c r="A20" s="10" t="inlineStr">
        <is>
          <t>Low</t>
        </is>
      </c>
      <c r="B20" s="11">
        <f>COUNTIFS('Defect Log'!$E$3:$E$201,$A20,'Defect Log'!$L$3:$L$201,"&lt;&gt;Closed",'Defect Log'!$L$3:$L$201,"&lt;&gt;Rejected")</f>
        <v/>
      </c>
      <c r="C20" s="11">
        <f>COUNTIFS('Defect Log'!$E$3:$E$201,$A20)</f>
        <v/>
      </c>
    </row>
    <row r="22">
      <c r="A22" s="8" t="inlineStr">
        <is>
          <t>Row 2 of the Defect Log is the example and is not counted. Acceptance: every High-priority case passes and no Critical or High defect is 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7"/>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34" customWidth="1" min="3" max="3"/>
    <col width="20" customWidth="1" min="4" max="4"/>
    <col width="20" customWidth="1" min="5" max="5"/>
    <col width="9" customWidth="1" min="6" max="6"/>
    <col width="10" customWidth="1" min="7" max="7"/>
    <col width="8" customWidth="1" min="8" max="8"/>
    <col width="38" customWidth="1" min="9" max="9"/>
    <col width="30" customWidth="1" min="10" max="10"/>
    <col width="60" customWidth="1" min="11" max="11"/>
    <col width="60" customWidth="1" min="12" max="12"/>
    <col width="36" customWidth="1" min="13" max="13"/>
    <col width="14" customWidth="1" min="14" max="14"/>
    <col width="12" customWidth="1" min="15" max="15"/>
    <col width="11" customWidth="1" min="16" max="16"/>
    <col width="38" customWidth="1" min="17" max="17"/>
    <col width="12" customWidth="1" min="18" max="18"/>
  </cols>
  <sheetData>
    <row r="1">
      <c r="A1" s="9" t="inlineStr">
        <is>
          <t>ID</t>
        </is>
      </c>
      <c r="B1" s="9" t="inlineStr">
        <is>
          <t>Area</t>
        </is>
      </c>
      <c r="C1" s="9" t="inlineStr">
        <is>
          <t>Title</t>
        </is>
      </c>
      <c r="D1" s="9" t="inlineStr">
        <is>
          <t>Feature</t>
        </is>
      </c>
      <c r="E1" s="9" t="inlineStr">
        <is>
          <t>Performed by</t>
        </is>
      </c>
      <c r="F1" s="9" t="inlineStr">
        <is>
          <t>Priority</t>
        </is>
      </c>
      <c r="G1" s="9" t="inlineStr">
        <is>
          <t>Type</t>
        </is>
      </c>
      <c r="H1" s="9" t="inlineStr">
        <is>
          <t>Ref</t>
        </is>
      </c>
      <c r="I1" s="9" t="inlineStr">
        <is>
          <t>Preconditions</t>
        </is>
      </c>
      <c r="J1" s="9" t="inlineStr">
        <is>
          <t>Test data</t>
        </is>
      </c>
      <c r="K1" s="9" t="inlineStr">
        <is>
          <t>Steps</t>
        </is>
      </c>
      <c r="L1" s="9" t="inlineStr">
        <is>
          <t>Expected results</t>
        </is>
      </c>
      <c r="M1" s="9" t="inlineStr">
        <is>
          <t>Pass criteria</t>
        </is>
      </c>
      <c r="N1" s="9" t="inlineStr">
        <is>
          <t>Tester</t>
        </is>
      </c>
      <c r="O1" s="9" t="inlineStr">
        <is>
          <t>Date</t>
        </is>
      </c>
      <c r="P1" s="9" t="inlineStr">
        <is>
          <t>Status</t>
        </is>
      </c>
      <c r="Q1" s="9" t="inlineStr">
        <is>
          <t>Actual result / notes</t>
        </is>
      </c>
      <c r="R1" s="9" t="inlineStr">
        <is>
          <t>Defect IDs</t>
        </is>
      </c>
    </row>
    <row r="2">
      <c r="A2" s="10" t="inlineStr">
        <is>
          <t>ACC-01</t>
        </is>
      </c>
      <c r="B2" s="11" t="inlineStr">
        <is>
          <t>Access and accounts</t>
        </is>
      </c>
      <c r="C2" s="11" t="inlineStr">
        <is>
          <t>Sign in to the console with password and email code</t>
        </is>
      </c>
      <c r="D2" s="11" t="inlineStr">
        <is>
          <t>Staff sign-in and second factor</t>
        </is>
      </c>
      <c r="E2" s="11" t="inlineStr">
        <is>
          <t>DPO on console</t>
        </is>
      </c>
      <c r="F2" s="11" t="inlineStr">
        <is>
          <t>High</t>
        </is>
      </c>
      <c r="G2" s="11" t="inlineStr">
        <is>
          <t>Positive</t>
        </is>
      </c>
      <c r="H2" s="11" t="inlineStr">
        <is>
          <t>Core</t>
        </is>
      </c>
      <c r="I2" s="11" t="inlineStr">
        <is>
          <t>- The console is running at http://localhost:3000.
- Use a fresh private/incognito browser window in which nobody is signed in to the console or the portal (both sites share one sign-in on this machine).
- The test coordinator can read the test outbox.</t>
        </is>
      </c>
      <c r="J2" s="11" t="inlineStr">
        <is>
          <t>- Email or username: dpo@cmp.local
- Password: SeedPassw0rd!2026</t>
        </is>
      </c>
      <c r="K2" s="11" t="inlineStr">
        <is>
          <t>1. Open http://localhost:3000 in the browser.
2. Type dpo@cmp.local in 'Email or username' and SeedPassw0rd!2026 in 'Password', then click 'Sign in'.
3. Without typing a code, look at the 'Verify and continue' button. Then type only 3 digits into '6-digit code'.
4. Ask the test coordinator for the code sent to dpo@cmp.local (from the test outbox). Clear the box, type the six-digit code into '6-digit code' and click 'Verify and continue'. Do this within 5 minutes of step 2.
5. Look at the top right of the header.
6. Look at the left-hand sidebar.</t>
        </is>
      </c>
      <c r="L2" s="11" t="inlineStr">
        <is>
          <t>1. You are taken to the page headed 'Sign in' with the text 'Sign in with your password, then the code sent to your email.' It shows the fields 'Email or username' and 'Password', a 'Sign in' button, a 'Forgotten your password?' link and, at the bottom, the links 'Read the help manual' and 'Go to the consent portal'. In this test environment (development codes switched on) a folded panel 'Development accounts (&lt;n&gt;)' also sits under 'Forgotten your password?': opened, it lists the seed logins still on the seed password, each with a 'Use' button that fills the form. It is for development only - do not use it in this case; type the details.
2. The page changes to 'Verify it is you' with the text 'Your role requires a second factor. We have sent a 6-digit code to your registered email.' There is a '6-digit code' box, a 'Verify and continue' button, a 'Send a new code' link and a 'Start over' link.
3. 'Verify and continue' stays greyed out (disabled) until exactly six digits are entered. Letters typed into the box are ignored.
4. You are signed in and land on the Dashboard. The page heading reads 'Good day, Priya', and beside it are the buttons 'Log an incident' and 'New notice template'.
5. The header shows the name 'Priya Menon' with a 'DPO' role badge and the initials 'PM'.
6. The sidebar starts with the group 'Your work' - 'Dashboard', 'Rights requests', 'Breaches', 'My tasks', 'Projects', 'Notices' - followed by the groups Governance, Consent, Registry, Data movement and Oversight. Under Oversight there are 'Audit trail', 'Users', 'Delegations' and 'Message templates'. 'My profile' is not in the sidebar (it is in the account menu under your name at the top right), and notifications open from the bell in the header. A 'Sign out' button is at the bottom of the sidebar.</t>
        </is>
      </c>
      <c r="M2" s="11" t="inlineStr">
        <is>
          <t>The DPO can sign in only after entering both the password and the emailed six-digit code, and then lands on the dashboard greeted by first name with the DPO role shown.</t>
        </is>
      </c>
      <c r="N2" s="16" t="n"/>
      <c r="O2" s="17" t="n"/>
      <c r="P2" s="16" t="inlineStr">
        <is>
          <t>Not run</t>
        </is>
      </c>
      <c r="Q2" s="16" t="n"/>
      <c r="R2" s="16" t="n"/>
    </row>
    <row r="3">
      <c r="A3" s="10" t="inlineStr">
        <is>
          <t>ACC-02</t>
        </is>
      </c>
      <c r="B3" s="11" t="inlineStr">
        <is>
          <t>Access and accounts</t>
        </is>
      </c>
      <c r="C3" s="11" t="inlineStr">
        <is>
          <t>Check each staff role lands on its own dashboard and menu</t>
        </is>
      </c>
      <c r="D3" s="11" t="inlineStr">
        <is>
          <t>Role-based landing page and navigation</t>
        </is>
      </c>
      <c r="E3" s="11" t="inlineStr">
        <is>
          <t>DCO and Administrator on console</t>
        </is>
      </c>
      <c r="F3" s="11" t="inlineStr">
        <is>
          <t>Medium</t>
        </is>
      </c>
      <c r="G3" s="11" t="inlineStr">
        <is>
          <t>Positive</t>
        </is>
      </c>
      <c r="H3" s="11" t="inlineStr">
        <is>
          <t>Core</t>
        </is>
      </c>
      <c r="I3" s="11" t="inlineStr">
        <is>
          <t>- A fresh private/incognito browser window with nobody signed in.
- The test coordinator can read the test outbox.</t>
        </is>
      </c>
      <c r="J3" s="11" t="inlineStr">
        <is>
          <t>- DCO: dco@cmp.local (Arun Shetty)
- Administrator: admin@cmp.local (System Admin)
- Password for both: SeedPassw0rd!2026</t>
        </is>
      </c>
      <c r="K3" s="11" t="inlineStr">
        <is>
          <t>1. Open http://localhost:3000/sign-in. Type dco@cmp.local in 'Email or username' and SeedPassw0rd!2026 in 'Password' and click 'Sign in'.
2. Ask the test coordinator for the code sent to dco@cmp.local (from the test outbox), type it into '6-digit code' and click 'Verify and continue'.
3. Read the sidebar menu from top to bottom.
4. In the address bar, open http://localhost:3000/users.
5. Click 'Sign out' at the bottom of the sidebar.
6. Sign in as admin@cmp.local with SeedPassw0rd!2026, then enter the code the test coordinator gives you for admin@cmp.local (from the test outbox) and click 'Verify and continue'.
7. Read the sidebar menu.
8. Click 'Sign out'.</t>
        </is>
      </c>
      <c r="L3" s="11" t="inlineStr">
        <is>
          <t>1. The 'Verify it is you' page appears: the DCO also needs the second factor.
2. The Dashboard opens with the heading 'Good day, Arun'. The header shows 'Arun Shetty' with the role badge 'Data Collection Owner'. No 'Log an incident', 'Register a project' or 'Provision an account' button is shown beside the heading: a collection role starts nothing from the dashboard.
3. The menu shows exactly: Your work - Dashboard, My projects, Collection sites, Consent links, My tasks, Collections; Consent - Consents; Registry - Data sources; Data movement - Exports, Imports; Oversight - Delegations. There is no 'Approval documents', 'Notices', 'Purposes', 'Audit trail', 'Users' or 'Message templates'.
4. The users register is not shown. The sidebar stays, and the page shows a notice titled 'Not part of your account' reading 'This section belongs to a different role, so there is nothing here for you.' with a 'Back to your dashboard' button.
5. You are returned to the 'Sign in' page.
6. The Dashboard opens with the heading 'Good day, System'. The header shows 'System Admin' with the role badge 'Administrator'. A 'Provision an account' button sits beside the heading.
7. The menu shows: Your work - Dashboard, Users, Grievances about the DPO, Message templates, Processors, Data sources, Audit trail; Oversight - Delegations; You - My tasks. There is no 'Projects', 'Consents' or 'Consent links'. The rights item is labelled 'Grievances about the DPO', not 'Rights requests'.
8. You are returned to the 'Sign in' page.</t>
        </is>
      </c>
      <c r="M3" s="11" t="inlineStr">
        <is>
          <t>Each role sees only the menu items for its role after sign-in, and the header shows the correct name and role badge.</t>
        </is>
      </c>
      <c r="N3" s="16" t="n"/>
      <c r="O3" s="17" t="n"/>
      <c r="P3" s="16" t="inlineStr">
        <is>
          <t>Not run</t>
        </is>
      </c>
      <c r="Q3" s="16" t="n"/>
      <c r="R3" s="16" t="n"/>
    </row>
    <row r="4">
      <c r="A4" s="10" t="inlineStr">
        <is>
          <t>ACC-03</t>
        </is>
      </c>
      <c r="B4" s="11" t="inlineStr">
        <is>
          <t>Access and accounts</t>
        </is>
      </c>
      <c r="C4" s="11" t="inlineStr">
        <is>
          <t>Refuse a wrong password without saying which part was wrong</t>
        </is>
      </c>
      <c r="D4" s="11" t="inlineStr">
        <is>
          <t>Staff sign-in - failed attempts</t>
        </is>
      </c>
      <c r="E4" s="11" t="inlineStr">
        <is>
          <t>Staff user on console</t>
        </is>
      </c>
      <c r="F4" s="11" t="inlineStr">
        <is>
          <t>High</t>
        </is>
      </c>
      <c r="G4" s="11" t="inlineStr">
        <is>
          <t>Negative</t>
        </is>
      </c>
      <c r="H4" s="11" t="inlineStr">
        <is>
          <t>Core</t>
        </is>
      </c>
      <c r="I4" s="11" t="inlineStr">
        <is>
          <t>- A fresh private/incognito browser window with nobody signed in.
- Do not make more than 3 wrong attempts on dpo@cmp.local in this case: 5 wrong attempts in 30 minutes lock the account (see ACC-05).</t>
        </is>
      </c>
      <c r="J4" s="11" t="inlineStr">
        <is>
          <t>- Real account: dpo@cmp.local with wrong password WrongPassword!1
- Account that does not exist: nobody-here@cmp.local with password SeedPassw0rd!2026
- Data principal (has no password): subject@cmp.local with password SeedPassw0rd!2026</t>
        </is>
      </c>
      <c r="K4" s="11" t="inlineStr">
        <is>
          <t>1. Open http://localhost:3000/sign-in and click 'Sign in' without typing anything.
2. Type dpo@cmp.local in 'Email or username' and WrongPassword!1 in 'Password'. Click 'Sign in'.
3. Change 'Email or username' to nobody-here@cmp.local, type SeedPassw0rd!2026 in 'Password' and click 'Sign in'.
4. Change 'Email or username' to subject@cmp.local, type SeedPassw0rd!2026 in 'Password' and click 'Sign in'.
5. Now type dpo@cmp.local with the correct password SeedPassw0rd!2026 and click 'Sign in'.</t>
        </is>
      </c>
      <c r="L4" s="11" t="inlineStr">
        <is>
          <t>1. The form is not sent. Under 'Email or username' the message 'Enter your email address or username' appears, and under 'Password' the message 'Enter your password' appears.
2. You stay on the 'Sign in' page. A red banner above the fields reads 'Those credentials are not valid'. No code page is shown.
3. The same red banner 'Those credentials are not valid' appears. The message does not say that the account does not exist.
4. The same red banner 'Those credentials are not valid' appears. A data principal cannot sign in to the console.
5. The 'Verify it is you' code page appears, showing that the earlier failures did not block a correct sign-in. (You can click 'Start over' to stop here.)</t>
        </is>
      </c>
      <c r="M4" s="11" t="inlineStr">
        <is>
          <t>Every failed sign-in shows the same message 'Those credentials are not valid', whatever the reason, and the correct password still reaches the code step.</t>
        </is>
      </c>
      <c r="N4" s="16" t="n"/>
      <c r="O4" s="17" t="n"/>
      <c r="P4" s="16" t="inlineStr">
        <is>
          <t>Not run</t>
        </is>
      </c>
      <c r="Q4" s="16" t="n"/>
      <c r="R4" s="16" t="n"/>
    </row>
    <row r="5">
      <c r="A5" s="10" t="inlineStr">
        <is>
          <t>ACC-04</t>
        </is>
      </c>
      <c r="B5" s="11" t="inlineStr">
        <is>
          <t>Access and accounts</t>
        </is>
      </c>
      <c r="C5" s="11" t="inlineStr">
        <is>
          <t>Refuse a wrong or replaced sign-in code on the console</t>
        </is>
      </c>
      <c r="D5" s="11" t="inlineStr">
        <is>
          <t>Staff second factor - code step</t>
        </is>
      </c>
      <c r="E5" s="11" t="inlineStr">
        <is>
          <t>DPO on console</t>
        </is>
      </c>
      <c r="F5" s="11" t="inlineStr">
        <is>
          <t>High</t>
        </is>
      </c>
      <c r="G5" s="11" t="inlineStr">
        <is>
          <t>Negative</t>
        </is>
      </c>
      <c r="H5" s="11" t="inlineStr">
        <is>
          <t>Core</t>
        </is>
      </c>
      <c r="I5" s="11" t="inlineStr">
        <is>
          <t>- A fresh private/incognito browser window with nobody signed in.
- The test coordinator can read the test outbox.
- No more than 3 new codes may be requested for one account in 10 minutes.</t>
        </is>
      </c>
      <c r="J5" s="11" t="inlineStr">
        <is>
          <t>- Email or username: dpo@cmp.local
- Password: SeedPassw0rd!2026
- Wrong code: 000000</t>
        </is>
      </c>
      <c r="K5" s="11" t="inlineStr">
        <is>
          <t>1. Open http://localhost:3000/sign-in, sign in with dpo@cmp.local and SeedPassw0rd!2026 and click 'Sign in'.
2. Type 000000 into '6-digit code' and click 'Verify and continue'.
3. Ask the test coordinator for the code sent to dpo@cmp.local (from the test outbox) and write it down as Code A. Do not enter it yet. Click 'Send a new code'.
4. Type Code A into '6-digit code' and click 'Verify and continue'.
5. Click 'Start over'.
6. Sign in again with dpo@cmp.local and SeedPassw0rd!2026, ask the test coordinator for the newest code sent to dpo@cmp.local (from the test outbox), type it and click 'Verify and continue'.</t>
        </is>
      </c>
      <c r="L5" s="11" t="inlineStr">
        <is>
          <t>1. The 'Verify it is you' page appears.
2. You stay on the code page. A red banner reads 'Invalid or expired code'.
3. The link briefly reads 'Sending…', then a blue banner reads 'A new code has been sent. The previous one no longer works.' The code box is emptied.
4. The old code is refused with the red banner 'Invalid or expired code'.
5. You are back on the 'Sign in' page with the password form.
6. The newest code is accepted and the Dashboard opens with 'Good day, Priya'.</t>
        </is>
      </c>
      <c r="M5" s="11" t="inlineStr">
        <is>
          <t>A wrong code and a code replaced by 'Send a new code' are both refused with 'Invalid or expired code', and only the latest code signs the user in.</t>
        </is>
      </c>
      <c r="N5" s="16" t="n"/>
      <c r="O5" s="17" t="n"/>
      <c r="P5" s="16" t="inlineStr">
        <is>
          <t>Not run</t>
        </is>
      </c>
      <c r="Q5" s="16" t="n"/>
      <c r="R5" s="16" t="n"/>
    </row>
    <row r="6">
      <c r="A6" s="10" t="inlineStr">
        <is>
          <t>ACC-05</t>
        </is>
      </c>
      <c r="B6" s="11" t="inlineStr">
        <is>
          <t>Access and accounts</t>
        </is>
      </c>
      <c r="C6" s="11" t="inlineStr">
        <is>
          <t>Lock a staff account after five wrong passwords</t>
        </is>
      </c>
      <c r="D6" s="11" t="inlineStr">
        <is>
          <t>Staff sign-in - account lockout</t>
        </is>
      </c>
      <c r="E6" s="11" t="inlineStr">
        <is>
          <t>R&amp;D User on console</t>
        </is>
      </c>
      <c r="F6" s="11" t="inlineStr">
        <is>
          <t>Medium</t>
        </is>
      </c>
      <c r="G6" s="11" t="inlineStr">
        <is>
          <t>Negative</t>
        </is>
      </c>
      <c r="H6" s="11" t="inlineStr">
        <is>
          <t>Core</t>
        </is>
      </c>
      <c r="I6" s="11" t="inlineStr">
        <is>
          <t>- Agree with the test coordinator before running: this locks rnd@cmp.local for about 30 minutes, so nobody else may need that account during that time.
- A fresh private/incognito browser window with nobody signed in.
- Nobody has signed in to rnd@cmp.local successfully and nobody has failed a sign-in to it in the last 30 minutes.</t>
        </is>
      </c>
      <c r="J6" s="11" t="inlineStr">
        <is>
          <t>- Email or username: rnd@cmp.local (Kavya Rao, R&amp;D User)
- Wrong password: NotThePassword!9
- Correct password: SeedPassw0rd!2026</t>
        </is>
      </c>
      <c r="K6" s="11" t="inlineStr">
        <is>
          <t>1. Open http://localhost:3000/sign-in. Type rnd@cmp.local and NotThePassword!9 and click 'Sign in'.
2. Repeat the same wrong attempt three more times (attempts 2, 3 and 4).
3. Make a fifth attempt with the same wrong password.
4. Now type the correct password SeedPassw0rd!2026 for rnd@cmp.local and click 'Sign in'.
5. Wait until the 30-minute lock has passed (or ask the test coordinator to confirm it has expired), then sign in with rnd@cmp.local and SeedPassw0rd!2026.</t>
        </is>
      </c>
      <c r="L6" s="11" t="inlineStr">
        <is>
          <t>1. Red banner: 'Those credentials are not valid'.
2. Each time the red banner reads 'Those credentials are not valid'.
3. The red banner still reads 'Those credentials are not valid' (the lock is set now, but this answer does not reveal it).
4. Sign-in is refused even with the correct password. The red banner reads 'Too many failed attempts. Try again later. Try again in about 30 minutes.' (the number of minutes may be slightly lower). No code page is shown.
5. The 'Verify it is you' code page appears; the lock has lifted by itself without an administrator.</t>
        </is>
      </c>
      <c r="M6" s="11" t="inlineStr">
        <is>
          <t>After five wrong passwords the account refuses even the correct password with a 'Too many failed attempts' message for about 30 minutes, and then works again on its own.</t>
        </is>
      </c>
      <c r="N6" s="16" t="n"/>
      <c r="O6" s="17" t="n"/>
      <c r="P6" s="16" t="inlineStr">
        <is>
          <t>Not run</t>
        </is>
      </c>
      <c r="Q6" s="16" t="n"/>
      <c r="R6" s="16" t="n"/>
    </row>
    <row r="7">
      <c r="A7" s="10" t="inlineStr">
        <is>
          <t>ACC-06</t>
        </is>
      </c>
      <c r="B7" s="11" t="inlineStr">
        <is>
          <t>Access and accounts</t>
        </is>
      </c>
      <c r="C7" s="11" t="inlineStr">
        <is>
          <t>Sign out of the console and confirm the session has ended</t>
        </is>
      </c>
      <c r="D7" s="11" t="inlineStr">
        <is>
          <t>Staff sign-out</t>
        </is>
      </c>
      <c r="E7" s="11" t="inlineStr">
        <is>
          <t>DCO Admin on console</t>
        </is>
      </c>
      <c r="F7" s="11" t="inlineStr">
        <is>
          <t>High</t>
        </is>
      </c>
      <c r="G7" s="11" t="inlineStr">
        <is>
          <t>Positive</t>
        </is>
      </c>
      <c r="H7" s="11" t="inlineStr">
        <is>
          <t>Core</t>
        </is>
      </c>
      <c r="I7" s="11" t="inlineStr">
        <is>
          <t>- Signed in to the console as dcoadmin@cmp.local (Nikhil Bose) using the password and code, in a private/incognito window.</t>
        </is>
      </c>
      <c r="J7" s="11" t="inlineStr">
        <is>
          <t>- Account: dcoadmin@cmp.local / SeedPassw0rd!2026</t>
        </is>
      </c>
      <c r="K7" s="11" t="inlineStr">
        <is>
          <t>1. Check the header after signing in.
2. Click 'Data sources' in the sidebar.
3. Click 'Sign out' at the bottom of the sidebar.
4. Click the browser's Back button.
5. Type http://localhost:3000/dashboard into the address bar and press Enter.</t>
        </is>
      </c>
      <c r="L7" s="11" t="inlineStr">
        <is>
          <t>1. The Dashboard shows 'Good day, Nikhil' and the header shows 'Nikhil Bose' with the role badge 'DCO Admin'.
2. The Data sources page opens.
3. You are taken to the 'Sign in' page.
4. The Data sources page is not shown again with data; you end up on the 'Sign in' page.
5. You are sent to the 'Sign in' page (the address now contains 'next='), not to the dashboard.</t>
        </is>
      </c>
      <c r="M7" s="11" t="inlineStr">
        <is>
          <t>After 'Sign out' no console page can be reached again by the Back button or a typed address without signing in again.</t>
        </is>
      </c>
      <c r="N7" s="16" t="n"/>
      <c r="O7" s="17" t="n"/>
      <c r="P7" s="16" t="inlineStr">
        <is>
          <t>Not run</t>
        </is>
      </c>
      <c r="Q7" s="16" t="n"/>
      <c r="R7" s="16" t="n"/>
    </row>
    <row r="8">
      <c r="A8" s="10" t="inlineStr">
        <is>
          <t>ACC-07</t>
        </is>
      </c>
      <c r="B8" s="11" t="inlineStr">
        <is>
          <t>Access and accounts</t>
        </is>
      </c>
      <c r="C8" s="11" t="inlineStr">
        <is>
          <t>Follow a link while signed out and return to it after sign-in</t>
        </is>
      </c>
      <c r="D8" s="11" t="inlineStr">
        <is>
          <t>Console sign-in redirects</t>
        </is>
      </c>
      <c r="E8" s="11" t="inlineStr">
        <is>
          <t>DPO on console</t>
        </is>
      </c>
      <c r="F8" s="11" t="inlineStr">
        <is>
          <t>Medium</t>
        </is>
      </c>
      <c r="G8" s="11" t="inlineStr">
        <is>
          <t>Positive</t>
        </is>
      </c>
      <c r="H8" s="11" t="inlineStr">
        <is>
          <t>Core</t>
        </is>
      </c>
      <c r="I8" s="11" t="inlineStr">
        <is>
          <t>- A fresh private/incognito browser window with nobody signed in.
- The test coordinator can read the test outbox.</t>
        </is>
      </c>
      <c r="J8" s="11" t="inlineStr">
        <is>
          <t>- Account: dpo@cmp.local / SeedPassw0rd!2026
- Link to follow: http://localhost:3000/purposes</t>
        </is>
      </c>
      <c r="K8" s="11" t="inlineStr">
        <is>
          <t>1. Type http://localhost:3000/purposes into the address bar and press Enter.
2. Sign in with dpo@cmp.local and SeedPassw0rd!2026 and click 'Sign in'.
3. Enter the code the test coordinator gives you for dpo@cmp.local (from the test outbox) and click 'Verify and continue'.
4. While still signed in, type http://localhost:3000/sign-in into the address bar and press Enter.
5. In the same window, open http://localhost:3001/my-consents (the data principal portal).
6. Click 'Go to the staff console'.
7. Click 'Sign out' in the sidebar. Then type http://localhost:3000/sign-in/verify into the address bar and press Enter.</t>
        </is>
      </c>
      <c r="L8" s="11" t="inlineStr">
        <is>
          <t>1. No Purposes data is shown. You are taken to the 'Sign in' page and the address contains 'next=' followed by '/purposes' (shown as %2Fpurposes).
2. The 'Verify it is you' page appears and its address still carries 'next=' for purposes.
3. You land directly on the page headed 'Purposes', not on the Dashboard.
4. The sign-in form does not stay on screen; you are sent straight to the Dashboard ('Good day, Priya').
5. The portal shows a page headed 'This portal is for data principals' with the text 'You are signed in as Priya Menon, a staff account. Your console is a separate site.' and the buttons 'Go to the staff console' and 'Sign out'.
6. The console opens and shows the Dashboard, still signed in.
7. With no sign-in in progress, the code page does not stay on screen; you are taken to the 'Sign in' page.</t>
        </is>
      </c>
      <c r="M8" s="11" t="inlineStr">
        <is>
          <t>A signed-out link leads to sign-in and then back to the page asked for; a signed-in user is never shown the sign-in form again, and the portal tells a staff session where it belongs.</t>
        </is>
      </c>
      <c r="N8" s="16" t="n"/>
      <c r="O8" s="17" t="n"/>
      <c r="P8" s="16" t="inlineStr">
        <is>
          <t>Not run</t>
        </is>
      </c>
      <c r="Q8" s="16" t="n"/>
      <c r="R8" s="16" t="n"/>
    </row>
    <row r="9">
      <c r="A9" s="10" t="inlineStr">
        <is>
          <t>ACC-08</t>
        </is>
      </c>
      <c r="B9" s="11" t="inlineStr">
        <is>
          <t>Access and accounts</t>
        </is>
      </c>
      <c r="C9" s="11" t="inlineStr">
        <is>
          <t>Add a personal email and end another session from My profile</t>
        </is>
      </c>
      <c r="D9" s="11" t="inlineStr">
        <is>
          <t>Staff account page (My profile)</t>
        </is>
      </c>
      <c r="E9" s="11" t="inlineStr">
        <is>
          <t>R&amp;D User on console</t>
        </is>
      </c>
      <c r="F9" s="11" t="inlineStr">
        <is>
          <t>Medium</t>
        </is>
      </c>
      <c r="G9" s="11" t="inlineStr">
        <is>
          <t>Positive</t>
        </is>
      </c>
      <c r="H9" s="11" t="inlineStr">
        <is>
          <t>Core</t>
        </is>
      </c>
      <c r="I9" s="11" t="inlineStr">
        <is>
          <t>- rnd@cmp.local is not locked (ACC-05 not run in the last 30 minutes).
- Two separate browsers (for example Chrome and Edge, or a normal and a private window) are available.
- The test coordinator can read the test outbox.</t>
        </is>
      </c>
      <c r="J9" s="11" t="inlineStr">
        <is>
          <t>- Account: rnd@cmp.local (Kavya Rao) / SeedPassw0rd!2026
- Personal email to add: tester01-kavya@example.org (make it unique if already used)</t>
        </is>
      </c>
      <c r="K9" s="11" t="inlineStr">
        <is>
          <t>1. In browser 1, sign in to http://localhost:3000 as rnd@cmp.local with the password and code. Click your name at the top right to open the account menu, then click 'My profile'.
2. On the 'Contacts' tab, look at the 'Work email' row.
3. In the 'Personal email' row, click 'Add' (or 'Change' if one is already there). Type tester01-kavya@example.org in the 'Personal email' box and click 'Save and send a code'.
4. Type 000000 into 'Six-digit code' and click 'Confirm'.
5. Ask the test coordinator for the code sent to tester01-kavya@example.org (from the test outbox). Replace the digits with it and click 'Confirm'.
6. In browser 2, sign in to http://localhost:3000 as rnd@cmp.local with the password and a new code. Go back to browser 1 and refresh the 'My profile' page and click the 'Active sessions' tab.
7. In browser 1, click 'End session' on the other session.
8. In browser 2, click any sidebar item (for example 'My projects').</t>
        </is>
      </c>
      <c r="L9" s="11" t="inlineStr">
        <is>
          <t>1. The page 'My profile' opens with three tabs - 'Contacts' (selected), 'Active sessions' with a count, and 'Password' - and the 'Identity' card beside them. Identity shows Name 'Kavya Rao' (with a 'Change' button beside it), Role 'R&amp;D User', Status 'Active' and a 'Session expires' time about 8 hours from now.
2. It shows rnd@cmp.local with a 'Confirmed' badge. It has no 'Change', 'Add' or 'Remove' button.
3. A green toast 'Saved' says 'We have sent a code to tester01-kavya@example.org.' The row shows the address with a 'Not confirmed' badge and a 'Six-digit code' box with 'Confirm' and 'Later' buttons.
4. A red message 'Invalid or expired code' appears in the row; the address stays 'Not confirmed'.
5. A green toast 'Confirmed' says 'tester01-kavya@example.org can now sign you in.' The row now shows a 'Confirmed' badge.
6. The tab's count is 2 or more, and a table lists the sessions with 'Device' (for example 'Chrome on Windows'), 'Address', 'Last active' and 'Expires'. The one for browser 1 is marked 'this device' and has no button; the other has an 'End session' button. 'End all other sessions' is shown above the table.
7. A green toast 'Session ended' appears; that row disappears from the table and the tab's count drops to 1.
8. Browser 2 is sent to the 'Sign in' page: its session was ended from browser 1.</t>
        </is>
      </c>
      <c r="M9" s="11" t="inlineStr">
        <is>
          <t>A member of staff can add and confirm a personal email with the code sent to it, cannot edit the work email, and can end another of their own sessions from the 'Active sessions' tab.</t>
        </is>
      </c>
      <c r="N9" s="16" t="n"/>
      <c r="O9" s="17" t="n"/>
      <c r="P9" s="16" t="inlineStr">
        <is>
          <t>Not run</t>
        </is>
      </c>
      <c r="Q9" s="16" t="n"/>
      <c r="R9" s="16" t="n"/>
    </row>
    <row r="10">
      <c r="A10" s="10" t="inlineStr">
        <is>
          <t>ACC-09</t>
        </is>
      </c>
      <c r="B10" s="11" t="inlineStr">
        <is>
          <t>Access and accounts</t>
        </is>
      </c>
      <c r="C10" s="11" t="inlineStr">
        <is>
          <t>Create a new data principal account with mobile and email</t>
        </is>
      </c>
      <c r="D10" s="11" t="inlineStr">
        <is>
          <t>Portal sign-up</t>
        </is>
      </c>
      <c r="E10" s="11" t="inlineStr">
        <is>
          <t>New data principal on portal</t>
        </is>
      </c>
      <c r="F10" s="11" t="inlineStr">
        <is>
          <t>High</t>
        </is>
      </c>
      <c r="G10" s="11" t="inlineStr">
        <is>
          <t>Positive</t>
        </is>
      </c>
      <c r="H10" s="11" t="inlineStr">
        <is>
          <t>S2-01</t>
        </is>
      </c>
      <c r="I10" s="11" t="inlineStr">
        <is>
          <t>- The portal is running at http://localhost:3001.
- A fresh private/incognito browser window with nobody signed in.
- The mobile and email below have never been registered (make up new ones if needed).
- The test coordinator can read the test outbox.</t>
        </is>
      </c>
      <c r="J10" s="11" t="inlineStr">
        <is>
          <t>- Full name: Tester One
- Mobile number: +91 98111 22301 (made up; form +91 98xxx xxxxx)
- Email address: tester01@example.org
- Date of birth: 15 August 1990
- Wrong codes: 000000 and 000000</t>
        </is>
      </c>
      <c r="K10" s="11" t="inlineStr">
        <is>
          <t>1. Open http://localhost:3001. On the 'Sign in' page, click 'Create an account'.
2. Read the hint under 'Date of birth'.
3. Fill in Full name 'Tester One', Mobile number '+91 98111 22301', Email address 'tester01@example.org' and Date of birth 15 August 1990. Click 'Create account'.
4. Type 000000 in both code boxes and click 'Confirm and sign in'.
5. Ask the test coordinator for the code sent to +91 98111 22301 and the code sent to tester01@example.org (both from the test outbox). Replace the digits in each box with the matching code and click 'Confirm and sign in'.
6. Look at the header and the sidebar.
7. Click your name at the top right to open the account menu, then click 'My profile'.</t>
        </is>
      </c>
      <c r="L10" s="11" t="inlineStr">
        <is>
          <t>1. The page 'Create your account' opens with the text 'For people whose data is being collected. Staff accounts are issued by your administrator.' It has the fields 'Full name', 'Mobile number', 'Email address' (marked optional in its hint) and 'Date of birth', and a 'Create account' button.
2. It reads 'The law protects people under 18 differently, so we ask before an account is opened.' It does not mention a parent or guardian.
3. The page 'Confirm your contacts' opens with the text 'If those details are new to us, a code has gone to your mobile and another to your email. Enter both.' It shows 'Code sent to your mobile' (with the mobile number under it), 'Code sent to your email' (with the email under it) and a 'Confirm and sign in' button.
4. You stay on the page. A red banner reads 'Invalid or expired code'.
5. Both codes are accepted even though a wrong pair was tried first. You are signed in and land on the page headed 'My consents'.
6. The header shows 'Tester One' with the role badge 'Data Subject'. The sidebar shows 'My consents', 'My requests', 'My nominations', 'Updates' and 'Sign out'; 'My profile' is in the account menu under the name. There is no 'We need your date of birth' notice.
7. 'My profile' opens. Identity shows Name 'Tester One' (with a 'Change' button beside it), Mobile and Email as entered, Role 'Data Subject', Status 'Active' and Date of birth 15 Aug 1990 (no under-18 badge). In Contacts, the mobile and email both show 'Confirmed'.</t>
        </is>
      </c>
      <c r="M10" s="11" t="inlineStr">
        <is>
          <t>A new adult can register with a mobile, an optional email and a date of birth, must confirm every contact given with its own code, and is then signed in to 'My consents'.</t>
        </is>
      </c>
      <c r="N10" s="16" t="n"/>
      <c r="O10" s="17" t="n"/>
      <c r="P10" s="16" t="inlineStr">
        <is>
          <t>Not run</t>
        </is>
      </c>
      <c r="Q10" s="16" t="n"/>
      <c r="R10" s="16" t="n"/>
    </row>
    <row r="11">
      <c r="A11" s="10" t="inlineStr">
        <is>
          <t>ACC-10</t>
        </is>
      </c>
      <c r="B11" s="11" t="inlineStr">
        <is>
          <t>Access and accounts</t>
        </is>
      </c>
      <c r="C11" s="11" t="inlineStr">
        <is>
          <t>Refuse sign-up for a person under 18 with no guardian route</t>
        </is>
      </c>
      <c r="D11" s="11" t="inlineStr">
        <is>
          <t>Portal sign-up - age check</t>
        </is>
      </c>
      <c r="E11" s="11" t="inlineStr">
        <is>
          <t>New data principal on portal</t>
        </is>
      </c>
      <c r="F11" s="11" t="inlineStr">
        <is>
          <t>High</t>
        </is>
      </c>
      <c r="G11" s="11" t="inlineStr">
        <is>
          <t>Negative</t>
        </is>
      </c>
      <c r="H11" s="11" t="inlineStr">
        <is>
          <t>S2-01</t>
        </is>
      </c>
      <c r="I11" s="11" t="inlineStr">
        <is>
          <t>- A fresh private/incognito browser window with nobody signed in.
- The mobile below has never been registered.
- The test coordinator can read the test outbox.</t>
        </is>
      </c>
      <c r="J11" s="11" t="inlineStr">
        <is>
          <t>- Full name: Minor Tester
- Mobile number: +91 98111 22302 (made up)
- Email address: leave empty
- Date of birth: a date less than 18 years before today, e.g. 10 May 2012
- Boundary check: the day after today's date 18 years ago (e.g. if today is 24 Sep 2026, use 25 Sep 2008)</t>
        </is>
      </c>
      <c r="K11" s="11" t="inlineStr">
        <is>
          <t>1. Open http://localhost:3001/sign-up. Fill in Full name 'Minor Tester', Mobile number '+91 98111 22302', leave Email address empty, and set Date of birth to 10 May 2012. Click 'Create account'.
2. Read the whole page, including the message and the hints.
3. Change Date of birth to the boundary date (one day short of 18 years ago) and click 'Create account' again.
4. Click 'Sign in' at the bottom of the page. On the 'Sign in' page keep 'Mobile' selected, type +91 98111 22302 in 'Mobile number' and click 'Send me a code'.
5. Ask the test coordinator to check the test outbox for any message to +91 98111 22302.</t>
        </is>
      </c>
      <c r="L11" s="11" t="inlineStr">
        <is>
          <t>1. No account is created and you stay on 'Create your account'. A red message says the person cannot be registered because they are under eighteen. The expected wording is 'We cannot register or record consent for a person under eighteen. If you think your date of birth is wrong, contact the Privacy Office.'
2. Nothing on the page offers a parent, guardian or 'register on behalf of a child' option; the 'Confirm your contacts' step is not shown.
3. The same refusal is shown: a person one day short of 18 is still refused.
4. The page shows 'Check your messages' and 'If +91 98111 22302 is registered with us, a six-digit code is on its way.' (the same neutral wording as for any number).
5. The coordinator confirms that no registration code and no sign-in code was sent to that number: no account exists for it.</t>
        </is>
      </c>
      <c r="M11" s="11" t="inlineStr">
        <is>
          <t>A date of birth under 18 is refused at sign-up with a message that offers no guardian route, and no account or code is created for that mobile.</t>
        </is>
      </c>
      <c r="N11" s="16" t="n"/>
      <c r="O11" s="17" t="n"/>
      <c r="P11" s="16" t="inlineStr">
        <is>
          <t>Not run</t>
        </is>
      </c>
      <c r="Q11" s="16" t="n"/>
      <c r="R11" s="16" t="n"/>
    </row>
    <row r="12">
      <c r="A12" s="10" t="inlineStr">
        <is>
          <t>ACC-11</t>
        </is>
      </c>
      <c r="B12" s="11" t="inlineStr">
        <is>
          <t>Access and accounts</t>
        </is>
      </c>
      <c r="C12" s="11" t="inlineStr">
        <is>
          <t>Reject a future date of birth and badly formed details at sign-up</t>
        </is>
      </c>
      <c r="D12" s="11" t="inlineStr">
        <is>
          <t>Portal sign-up - field checks</t>
        </is>
      </c>
      <c r="E12" s="11" t="inlineStr">
        <is>
          <t>New data principal on portal</t>
        </is>
      </c>
      <c r="F12" s="11" t="inlineStr">
        <is>
          <t>Medium</t>
        </is>
      </c>
      <c r="G12" s="11" t="inlineStr">
        <is>
          <t>Negative</t>
        </is>
      </c>
      <c r="H12" s="11" t="inlineStr">
        <is>
          <t>S2-01</t>
        </is>
      </c>
      <c r="I12" s="11" t="inlineStr">
        <is>
          <t>- A fresh private/incognito browser window with nobody signed in.</t>
        </is>
      </c>
      <c r="J12" s="11" t="inlineStr">
        <is>
          <t>- Mobile with letters: 98abc12345
- Badly formed email: tester01@
- Future date of birth: 1 January 2030 (type it if the calendar will not let you pick it)
- Valid values for the rest: Full name 'Tester Two', Mobile '+91 98111 22303'</t>
        </is>
      </c>
      <c r="K12" s="11" t="inlineStr">
        <is>
          <t>1. Open http://localhost:3001/sign-up and click 'Create account' without filling anything in.
2. Type 'Tester Two' in 'Full name', '98abc12345' in 'Mobile number' and 'tester01@' in 'Email address'. Click 'Create account'.
3. Correct the mobile to '+91 98111 22303' and clear 'Email address'. Type 1 January 2030 into 'Date of birth' and click 'Create account'.
4. Type today's date into 'Date of birth' and click 'Create account'.
5. Click 'Sign in' at the bottom of the page without submitting further.</t>
        </is>
      </c>
      <c r="L12" s="11" t="inlineStr">
        <is>
          <t>1. Nothing is sent. Messages appear under the fields: 'Enter your full name', 'A mobile number is required' and 'Enter your date of birth'. 'Email address' shows no error because it is optional.
2. Under 'Mobile number': 'A mobile number may contain digits, spaces, dashes and a leading +'. Under 'Email address': 'That does not look like an email address'.
3. Under 'Date of birth': 'Date of birth must be in the past'. The page stays on 'Create your account'.
4. The same message 'Date of birth must be in the past' appears; today is not accepted.
5. The portal 'Sign in' page opens; no account was created for +91 98111 22303 (the coordinator can confirm no code was written for it in the test outbox).</t>
        </is>
      </c>
      <c r="M12" s="11" t="inlineStr">
        <is>
          <t>Sign-up will not proceed with missing details, a malformed mobile or email, or a date of birth that is today or in the future, and each problem is named under its own field.</t>
        </is>
      </c>
      <c r="N12" s="16" t="n"/>
      <c r="O12" s="17" t="n"/>
      <c r="P12" s="16" t="inlineStr">
        <is>
          <t>Not run</t>
        </is>
      </c>
      <c r="Q12" s="16" t="n"/>
      <c r="R12" s="16" t="n"/>
    </row>
    <row r="13">
      <c r="A13" s="10" t="inlineStr">
        <is>
          <t>ACC-12</t>
        </is>
      </c>
      <c r="B13" s="11" t="inlineStr">
        <is>
          <t>Access and accounts</t>
        </is>
      </c>
      <c r="C13" s="11" t="inlineStr">
        <is>
          <t>Stop sign-up with a mobile or email that is already registered</t>
        </is>
      </c>
      <c r="D13" s="11" t="inlineStr">
        <is>
          <t>Portal sign-up - contact already registered</t>
        </is>
      </c>
      <c r="E13" s="11" t="inlineStr">
        <is>
          <t>New data principal on portal</t>
        </is>
      </c>
      <c r="F13" s="11" t="inlineStr">
        <is>
          <t>Medium</t>
        </is>
      </c>
      <c r="G13" s="11" t="inlineStr">
        <is>
          <t>Negative</t>
        </is>
      </c>
      <c r="H13" s="11" t="inlineStr">
        <is>
          <t>Core</t>
        </is>
      </c>
      <c r="I13" s="11" t="inlineStr">
        <is>
          <t>- A fresh private/incognito browser window with nobody signed in.
- The seeded data principal Anjali Verma exists with mobile +91 90000 00001 and email subject@cmp.local.</t>
        </is>
      </c>
      <c r="J13" s="11" t="inlineStr">
        <is>
          <t>- Taken mobile: +91 90000 00001
- Taken email: subject@cmp.local
- New mobile for the email check: +91 98111 22304 (made up)
- Date of birth: 1 March 1985</t>
        </is>
      </c>
      <c r="K13" s="11" t="inlineStr">
        <is>
          <t>1. Open http://localhost:3001/sign-up. Fill in Full name 'Tester Three', Mobile number '+91 90000 00001', leave Email address empty, Date of birth 1 March 1985. Click 'Create account'.
2. Check the notice for a link.
3. Change Mobile number to '+91 98111 22304', type 'subject@cmp.local' in Email address and click 'Create account'.
4. Click 'Sign in with this email'.</t>
        </is>
      </c>
      <c r="L13" s="11" t="inlineStr">
        <is>
          <t>1. You stay on 'Create your account'. A yellow notice titled 'That mobile is already registered' says 'If it is yours, sign in with it - there is no password, we send a code. Otherwise change it below.' Under 'Mobile number' the message reads 'An account already exists with this mobile. Sign in with it instead, or use a different mobile.'
2. The notice has a link 'Sign in with this mobile'. The 'Confirm your contacts' step is not shown.
3. The notice now reads 'That email is already registered' with a link 'Sign in with this email', and the message under 'Email address' reads 'An account already exists with this email. Sign in with it instead, or use a different email.'
4. The portal 'Sign in' page opens with 'Email' selected under 'Sign in with' and subject@cmp.local already filled in the 'Email address' box. (Do not click 'Send me a code' unless you intend to sign in as Anjali.)</t>
        </is>
      </c>
      <c r="M13" s="11" t="inlineStr">
        <is>
          <t>Sign-up refuses a mobile or email that already belongs to an account, says which one on its field, and offers sign-in with that contact filled in.</t>
        </is>
      </c>
      <c r="N13" s="16" t="n"/>
      <c r="O13" s="17" t="n"/>
      <c r="P13" s="16" t="inlineStr">
        <is>
          <t>Not run</t>
        </is>
      </c>
      <c r="Q13" s="16" t="n"/>
      <c r="R13" s="16" t="n"/>
    </row>
    <row r="14">
      <c r="A14" s="10" t="inlineStr">
        <is>
          <t>ACC-13</t>
        </is>
      </c>
      <c r="B14" s="11" t="inlineStr">
        <is>
          <t>Access and accounts</t>
        </is>
      </c>
      <c r="C14" s="11" t="inlineStr">
        <is>
          <t>Sign in to the portal with a one-time code sent to the mobile</t>
        </is>
      </c>
      <c r="D14" s="11" t="inlineStr">
        <is>
          <t>Portal sign-in (mobile code)</t>
        </is>
      </c>
      <c r="E14" s="11" t="inlineStr">
        <is>
          <t>Data principal on portal</t>
        </is>
      </c>
      <c r="F14" s="11" t="inlineStr">
        <is>
          <t>High</t>
        </is>
      </c>
      <c r="G14" s="11" t="inlineStr">
        <is>
          <t>Positive</t>
        </is>
      </c>
      <c r="H14" s="11" t="inlineStr">
        <is>
          <t>Core</t>
        </is>
      </c>
      <c r="I14" s="11" t="inlineStr">
        <is>
          <t>- A fresh private/incognito browser window with nobody signed in.
- The test coordinator can read the test outbox.
- No more than 5 codes may be requested for one contact per hour.</t>
        </is>
      </c>
      <c r="J14" s="11" t="inlineStr">
        <is>
          <t>- Data principal: Anjali Verma
- Mobile number: +91 90000 00001</t>
        </is>
      </c>
      <c r="K14" s="11" t="inlineStr">
        <is>
          <t>1. Open http://localhost:3001.
2. Type +91 90000 00001 into 'Mobile number' and click 'Send me a code'.
3. Ask the test coordinator for the code sent to +91 90000 00001 (from the test outbox). Type it into 'Six-digit code' and click 'Verify'.
4. Look at the sidebar.
5. Click 'My requests'.
6. Click 'Sign out' in the sidebar.
7. Type http://localhost:3001/my-consents into the address bar and press Enter.</t>
        </is>
      </c>
      <c r="L14" s="11" t="inlineStr">
        <is>
          <t>1. The page headed 'Sign in' opens with the text 'Enter the mobile number or email address you registered with and we will send you a one-time code.' Under 'Sign in with' the 'Mobile' option is selected. At the bottom are 'Create an account', 'Your rights and how to exercise them', 'Act on their behalf here' and 'Sign in to the console'.
2. A blue notice 'Check your messages' reads 'If +91 90000 00001 is registered with us, a six-digit code is on its way. It expires in ten minutes.' Below it are a 'Six-digit code' box, a 'Verify' button (disabled until six digits are typed) and a 'Use a different contact' button.
3. You land on the page headed 'My consents'. The header shows 'Anjali Verma' with the role badge 'Data Subject'.
4. Under 'Your data' are 'My consents', 'My requests', 'My nominations' and 'Updates'; 'Sign out' is at the bottom. 'My profile' is in the account menu under her name at the top right. There is no staff menu and no staff-account notice.
5. The page headed 'My requests' opens.
6. You are taken back to the portal 'Sign in' page.
7. You are sent to the 'Sign in' page instead of seeing the consents.</t>
        </is>
      </c>
      <c r="M14" s="11" t="inlineStr">
        <is>
          <t>A registered data principal signs in with just the code sent to her mobile, lands on 'My consents', and after 'Sign out' can no longer open her pages.</t>
        </is>
      </c>
      <c r="N14" s="16" t="n"/>
      <c r="O14" s="17" t="n"/>
      <c r="P14" s="16" t="inlineStr">
        <is>
          <t>Not run</t>
        </is>
      </c>
      <c r="Q14" s="16" t="n"/>
      <c r="R14" s="16" t="n"/>
    </row>
    <row r="15">
      <c r="A15" s="10" t="inlineStr">
        <is>
          <t>ACC-14</t>
        </is>
      </c>
      <c r="B15" s="11" t="inlineStr">
        <is>
          <t>Access and accounts</t>
        </is>
      </c>
      <c r="C15" s="11" t="inlineStr">
        <is>
          <t>Refuse a wrong portal code and stay neutral about unknown contacts</t>
        </is>
      </c>
      <c r="D15" s="11" t="inlineStr">
        <is>
          <t>Portal sign-in (email code) - failures</t>
        </is>
      </c>
      <c r="E15" s="11" t="inlineStr">
        <is>
          <t>Data principal on portal</t>
        </is>
      </c>
      <c r="F15" s="11" t="inlineStr">
        <is>
          <t>High</t>
        </is>
      </c>
      <c r="G15" s="11" t="inlineStr">
        <is>
          <t>Negative</t>
        </is>
      </c>
      <c r="H15" s="11" t="inlineStr">
        <is>
          <t>Core</t>
        </is>
      </c>
      <c r="I15" s="11" t="inlineStr">
        <is>
          <t>- A fresh private/incognito browser window with nobody signed in.
- The test coordinator can read the test outbox.</t>
        </is>
      </c>
      <c r="J15" s="11" t="inlineStr">
        <is>
          <t>- Registered email: subject@cmp.local (Anjali Verma)
- Unregistered email: nobody-registered@example.org
- Wrong code: 123456</t>
        </is>
      </c>
      <c r="K15" s="11" t="inlineStr">
        <is>
          <t>1. Open http://localhost:3001/sign-in. Under 'Sign in with' choose 'Email'.
2. Type nobody-registered@example.org and click 'Send me a code'.
3. Click 'Use a different contact'.
4. Choose 'Email', type subject@cmp.local and click 'Send me a code'.
5. Type 123456 into 'Six-digit code' and click 'Verify'.
6. Ask the test coordinator for the code sent to subject@cmp.local (from the test outbox). Replace the digits and click 'Verify'.
7. Click 'Sign out'.</t>
        </is>
      </c>
      <c r="L15" s="11" t="inlineStr">
        <is>
          <t>1. The field label changes from 'Mobile number' to 'Email address'.
2. The same 'Check your messages' notice appears: 'If nobody-registered@example.org is registered with us, a six-digit code is on its way.' Nothing says the address is unknown. (The coordinator can confirm no code was written to the test outbox for it.)
3. The form returns to the contact step with the 'Send me a code' button.
4. 'Check your messages' appears for subject@cmp.local with the 'Six-digit code' box.
5. You stay on the page. A red banner reads 'Invalid or expired code'.
6. The correct code is accepted and you land on 'My consents' as Anjali Verma.
7. You are back on the portal 'Sign in' page.</t>
        </is>
      </c>
      <c r="M15" s="11" t="inlineStr">
        <is>
          <t>A wrong code is refused with 'Invalid or expired code', the portal answers identically for registered and unregistered contacts, and the right code signs in by email.</t>
        </is>
      </c>
      <c r="N15" s="16" t="n"/>
      <c r="O15" s="17" t="n"/>
      <c r="P15" s="16" t="inlineStr">
        <is>
          <t>Not run</t>
        </is>
      </c>
      <c r="Q15" s="16" t="n"/>
      <c r="R15" s="16" t="n"/>
    </row>
    <row r="16">
      <c r="A16" s="10" t="inlineStr">
        <is>
          <t>ACC-15</t>
        </is>
      </c>
      <c r="B16" s="11" t="inlineStr">
        <is>
          <t>Access and accounts</t>
        </is>
      </c>
      <c r="C16" s="11" t="inlineStr">
        <is>
          <t>Ask for a missing date of birth at the next portal sign-in</t>
        </is>
      </c>
      <c r="D16" s="11" t="inlineStr">
        <is>
          <t>Date-of-birth prompt for accounts with no age on record</t>
        </is>
      </c>
      <c r="E16" s="11" t="inlineStr">
        <is>
          <t>Account with no date of birth, as data principal on portal</t>
        </is>
      </c>
      <c r="F16" s="11" t="inlineStr">
        <is>
          <t>High</t>
        </is>
      </c>
      <c r="G16" s="11" t="inlineStr">
        <is>
          <t>Positive</t>
        </is>
      </c>
      <c r="H16" s="11" t="inlineStr">
        <is>
          <t>S2-01</t>
        </is>
      </c>
      <c r="I16" s="11" t="inlineStr">
        <is>
          <t>- The test coordinator confirms that rco@cmp.local (Meera Iyer) has no date of birth recorded. If it already has one, the coordinator names another account with none.
- A date of birth, once saved, cannot be removed from the screens, so this case can be run only once per account.
- A fresh private/incognito browser window with nobody signed in.
- The test coordinator can read the test outbox.</t>
        </is>
      </c>
      <c r="J16" s="11" t="inlineStr">
        <is>
          <t>- Sign-in email: rco@cmp.local
- Future date to try first: 1 January 2030
- Valid date of birth: 21 July 1985</t>
        </is>
      </c>
      <c r="K16" s="11" t="inlineStr">
        <is>
          <t>1. Open http://localhost:3001/sign-in, choose 'Email', type rco@cmp.local, click 'Send me a code', then enter the code the test coordinator gives you for rco@cmp.local (from the test outbox) and click 'Verify'.
2. Click 'My requests' in the sidebar.
3. Click 'Updates' in the sidebar.
4. Click your name at the top right to open the account menu, then click 'My profile'.
5. Click the 'make a request' link on the card.
6. Go back to 'My consents' and click 'Add it now' in the notice.
7. Open 'My profile' from the account menu to reach the 'Your date of birth' card. Type 1 January 2030 into 'Date of birth' and click 'Save and continue'.
8. Change 'Date of birth' to 21 July 1985 and click 'Save and continue'.
9. Click 'My consents' and then 'Updates'.
10. Click 'Sign out', sign in again with rco@cmp.local and a new code.</t>
        </is>
      </c>
      <c r="L16" s="11" t="inlineStr">
        <is>
          <t>1. You land on 'My consents'. Above the list is a blue notice titled 'We need your date of birth' reading 'You can withdraw a consent or make a request without it, but we need it before you give a new consent.' with an 'Add it now' link.
2. The page 'My requests' opens normally, with the same 'We need your date of birth' notice above it. Nothing blocks this page.
3. Instead of the updates, a card headed 'Your date of birth' appears: 'The law protects people under 18 differently, and we do not have your date of birth yet. We need it before you can give a new consent.' It has a 'Date of birth' field, a 'Save and continue' button and links 'withdraw a consent' and 'make a request'.
4. The same 'Your date of birth' card appears instead of the account page.
5. 'My requests' opens without answering the question.
6. The 'Your date of birth' question is shown so the date can be added. (Record a defect if the link just reloads 'My consents'.)
7. The date is refused with 'Date of birth must be in the past' under the field; the card stays.
8. The card disappears and the 'My profile' page opens. In Identity, 'Date of birth' shows 21 Jul 1985 with no under-18 badge.
9. The 'We need your date of birth' notice no longer appears on 'My consents', and 'Updates' opens normally.
10. You land on 'My consents' with no date-of-birth notice; the question is not asked again.</t>
        </is>
      </c>
      <c r="M16" s="11" t="inlineStr">
        <is>
          <t>An account with no date of birth is asked for one on every page except My consents and My requests, which stay usable with a reminder; a future date is refused and a valid date clears the prompt for good.</t>
        </is>
      </c>
      <c r="N16" s="16" t="n"/>
      <c r="O16" s="17" t="n"/>
      <c r="P16" s="16" t="inlineStr">
        <is>
          <t>Not run</t>
        </is>
      </c>
      <c r="Q16" s="16" t="n"/>
      <c r="R16" s="16" t="n"/>
    </row>
    <row r="17">
      <c r="A17" s="10" t="inlineStr">
        <is>
          <t>ACC-16</t>
        </is>
      </c>
      <c r="B17" s="11" t="inlineStr">
        <is>
          <t>Access and accounts</t>
        </is>
      </c>
      <c r="C17" s="11" t="inlineStr">
        <is>
          <t>Sign in to the portal with a staff email and act only as a data principal</t>
        </is>
      </c>
      <c r="D17" s="11" t="inlineStr">
        <is>
          <t>Staff member on the portal</t>
        </is>
      </c>
      <c r="E17" s="11" t="inlineStr">
        <is>
          <t>DPO signing in on the portal</t>
        </is>
      </c>
      <c r="F17" s="11" t="inlineStr">
        <is>
          <t>High</t>
        </is>
      </c>
      <c r="G17" s="11" t="inlineStr">
        <is>
          <t>Positive</t>
        </is>
      </c>
      <c r="H17" s="11" t="inlineStr">
        <is>
          <t>Core</t>
        </is>
      </c>
      <c r="I17" s="11" t="inlineStr">
        <is>
          <t>- A fresh private/incognito browser window in which nobody is signed in to the console or the portal (a console session in the same window would send you to the console instead).
- The test coordinator can read the test outbox.</t>
        </is>
      </c>
      <c r="J17" s="11" t="inlineStr">
        <is>
          <t>- Sign-in email: dpo@cmp.local (Priya Menon)
- If asked for a date of birth: 21 July 1985</t>
        </is>
      </c>
      <c r="K17" s="11" t="inlineStr">
        <is>
          <t>1. Open http://localhost:3001/sign-in, choose 'Email', type dpo@cmp.local and click 'Send me a code'.
2. Enter the code the test coordinator gives you for dpo@cmp.local (from the test outbox) and click 'Verify'.
3. Look at the header and sidebar.
4. Click your name at the top right to open the account menu, then click 'My profile'. If the 'Your date of birth' card appears, enter 21 July 1985 and click 'Save and continue'.
5. In the same window, open http://localhost:3000/users (the console).
6. Open http://localhost:3000/sign-in in the same window.
7. On the portal click 'Sign out'. Then sign in to the console at http://localhost:3000/sign-in as dpo@cmp.local with SeedPassw0rd!2026 and the emailed code.</t>
        </is>
      </c>
      <c r="L17" s="11" t="inlineStr">
        <is>
          <t>1. 'Check your messages' appears with the 'Six-digit code' box. No password is asked for.
2. You land on 'My consents'. A line across the top reads 'You are signed in with your staff account, as a data principal. Only your own consents, requests and rights are here; your console is a separate site.'
3. The header shows 'Priya Menon' with the role badge 'Data Subject' (not 'DPO'). The sidebar has only 'My consents', 'My requests', 'My nominations', 'Updates' and 'Sign out'; 'My profile' is in the account menu.
4. 'My profile' opens. In Identity, Role shows 'Data Subject' and an 'Account' line reads 'Your staff account, used here as a data principal.' In Contacts, the 'Email' row shows dpo@cmp.local with the hint 'Your staff address, managed by your organisation. If you may lose it one day, add a personal one below.' and no 'Change' button.
5. No user list is shown. The console shows a page headed 'This console is for staff' reading 'You are signed in as Priya Menon. Your consents, your requests and your rights are on the consent portal.' with the buttons 'Go to the consent portal' and 'Sign out'.
6. The console sign-in form does not stay; you are sent to the portal (http://localhost:3001), because this window holds a data principal session.
7. The console asks for the password and the code, and only then shows the full DPO Dashboard with the 'DPO' badge. The portal code alone never gave DPO access.</t>
        </is>
      </c>
      <c r="M17" s="11" t="inlineStr">
        <is>
          <t>A staff email signs in to the portal with a code but the session is only a data principal's: it is labelled as the staff account, shows only the principal's own pages, and cannot open the console.</t>
        </is>
      </c>
      <c r="N17" s="16" t="n"/>
      <c r="O17" s="17" t="n"/>
      <c r="P17" s="16" t="inlineStr">
        <is>
          <t>Not run</t>
        </is>
      </c>
      <c r="Q17" s="16" t="n"/>
      <c r="R17" s="16" t="n"/>
    </row>
    <row r="18">
      <c r="A18" s="10" t="inlineStr">
        <is>
          <t>ACC-17</t>
        </is>
      </c>
      <c r="B18" s="11" t="inlineStr">
        <is>
          <t>Access and accounts</t>
        </is>
      </c>
      <c r="C18" s="11" t="inlineStr">
        <is>
          <t>Add a second email on the portal and sign in with it once confirmed</t>
        </is>
      </c>
      <c r="D18" s="11" t="inlineStr">
        <is>
          <t>Portal account - second email</t>
        </is>
      </c>
      <c r="E18" s="11" t="inlineStr">
        <is>
          <t>Data principal on portal</t>
        </is>
      </c>
      <c r="F18" s="11" t="inlineStr">
        <is>
          <t>High</t>
        </is>
      </c>
      <c r="G18" s="11" t="inlineStr">
        <is>
          <t>Positive</t>
        </is>
      </c>
      <c r="H18" s="11" t="inlineStr">
        <is>
          <t>Core</t>
        </is>
      </c>
      <c r="I18" s="11" t="inlineStr">
        <is>
          <t>- ACC-09 has been passed, so the tester owns the account Tester One (+91 98111 22301, tester01@example.org).
- Signed in to the portal as Tester One in a private/incognito window.
- The test coordinator can read the test outbox.</t>
        </is>
      </c>
      <c r="J18" s="11" t="inlineStr">
        <is>
          <t>- Second email: tester01-personal@example.org
- The account's own first email (should be refused as a second one): tester01@example.org
- Email already used by another account: subject@cmp.local</t>
        </is>
      </c>
      <c r="K18" s="11" t="inlineStr">
        <is>
          <t>1. Click your name at the top right to open the account menu, then click 'My profile'.
2. In the 'Second email' row click 'Add', type tester01@example.org and click 'Save and send a code'.
3. Replace it with subject@cmp.local and click 'Save and send a code'.
4. Replace it with tester01-personal@example.org and click 'Save and send a code'.
5. Click 'Later'. Then click 'Sign out'. On 'Sign in', choose 'Email', type tester01-personal@example.org and click 'Send me a code'.
6. Click 'Use a different contact' and sign in with the mobile +91 98111 22301 and its code from the test coordinator. Open 'My profile' from the account menu.
7. Click 'Send a code'. Enter the code the test coordinator gives you for tester01-personal@example.org and click 'Confirm'.
8. Click 'Sign out'. Sign in with 'Email' tester01-personal@example.org and the code the test coordinator gives you for it.</t>
        </is>
      </c>
      <c r="L18" s="11" t="inlineStr">
        <is>
          <t>1. 'My profile' opens. Contacts lists 'Email' (tester01@example.org, 'Confirmed', no Change button), 'Mobile' (with 'Change') and 'Second email' ('None given', with 'Add'). Identity shows a 'Session expires' time about 8 hours after you signed in.
2. A red message in the row reads 'That is already the address on your account'.
3. A red message reads 'That address belongs to another account'.
4. Green toast 'Saved': 'We have sent a code to tester01-personal@example.org.' The row shows the address with 'Not confirmed' and a 'Six-digit code' box with 'Confirm' and 'Later'.
5. The neutral 'Check your messages' notice appears, but the test coordinator confirms that no sign-in code was sent to tester01-personal@example.org: an unconfirmed address cannot sign anyone in.
6. The 'Second email' row shows tester01-personal@example.org with 'Not confirmed' and a 'Send a code' button.
7. Green toast 'Confirmed': 'tester01-personal@example.org can now sign you in.' The row shows 'Confirmed' and a 'Remove' button.
8. You are signed in as Tester One and land on 'My consents'.</t>
        </is>
      </c>
      <c r="M18" s="11" t="inlineStr">
        <is>
          <t>A second email is added only after its own code is confirmed, cannot sign in before that, can sign in afterwards, and duplicates of own or another account's address are refused.</t>
        </is>
      </c>
      <c r="N18" s="16" t="n"/>
      <c r="O18" s="17" t="n"/>
      <c r="P18" s="16" t="inlineStr">
        <is>
          <t>Not run</t>
        </is>
      </c>
      <c r="Q18" s="16" t="n"/>
      <c r="R18" s="16" t="n"/>
    </row>
    <row r="19">
      <c r="A19" s="10" t="inlineStr">
        <is>
          <t>ACC-18</t>
        </is>
      </c>
      <c r="B19" s="11" t="inlineStr">
        <is>
          <t>Access and accounts</t>
        </is>
      </c>
      <c r="C19" s="11" t="inlineStr">
        <is>
          <t>Change the mobile number on the portal and confirm it with a code</t>
        </is>
      </c>
      <c r="D19" s="11" t="inlineStr">
        <is>
          <t>Portal account - mobile</t>
        </is>
      </c>
      <c r="E19" s="11" t="inlineStr">
        <is>
          <t>Data principal on portal</t>
        </is>
      </c>
      <c r="F19" s="11" t="inlineStr">
        <is>
          <t>Medium</t>
        </is>
      </c>
      <c r="G19" s="11" t="inlineStr">
        <is>
          <t>Negative</t>
        </is>
      </c>
      <c r="H19" s="11" t="inlineStr">
        <is>
          <t>Core</t>
        </is>
      </c>
      <c r="I19" s="11" t="inlineStr">
        <is>
          <t>- ACC-09 has been passed, so the tester owns the account Tester One.
- Signed in to the portal as Tester One in a private/incognito window.
- The test coordinator can read the test outbox.</t>
        </is>
      </c>
      <c r="J19" s="11" t="inlineStr">
        <is>
          <t>- Mobile already belonging to another account: +91 90000 00001
- New mobile: +91 98111 22399 (made up, never registered)
- Wrong code: 000000</t>
        </is>
      </c>
      <c r="K19" s="11" t="inlineStr">
        <is>
          <t>1. Click your name at the top right to open the account menu, then click 'My profile'. In the 'Mobile' row click 'Change'.
2. Replace the number with +91 90000 00001 and click 'Save and send a code'.
3. Replace the number with +91 98111 22399 and click 'Save and send a code'.
4. Type 000000 and click 'Confirm'.
5. Click 'Later', then click 'Change' on the Mobile row and, without editing the number, click 'Save and send a code'.
6. Enter the newest code the test coordinator gives you for +91 98111 22399 (from the test outbox) and click 'Confirm'.
7. Click 'Change' on the Mobile row again and, without editing, click 'Save and send a code'.
8. Click 'Sign out' and sign in with 'Mobile' +91 98111 22399 and the code the test coordinator gives you.</t>
        </is>
      </c>
      <c r="L19" s="11" t="inlineStr">
        <is>
          <t>1. A 'Mobile' box opens, already filled with the current number, with the buttons 'Save and send a code' and 'Cancel'.
2. A red message in the row reads 'That mobile belongs to another account'. The mobile is not changed.
3. Green toast 'Saved': 'We have sent a code to +91 98111 22399.' The row shows the new number with 'Not confirmed' and a 'Six-digit code' box (hint: 'Sent to the contact above. It expires in ten minutes.').
4. A red message 'Invalid or expired code' appears; the number stays 'Not confirmed'.
5. A new code is sent (toast 'Saved': 'We have sent a code to +91 98111 22399.') and the 'Six-digit code' box appears again.
6. Green toast 'Confirmed': '+91 98111 22399 can now sign you in.' The row shows 'Confirmed'.
7. Toast 'Saved': 'That contact is already confirmed, so no code was needed.' No code box appears and the badge stays 'Confirmed'.
8. You are signed in as Tester One and land on 'My consents'.</t>
        </is>
      </c>
      <c r="M19" s="11" t="inlineStr">
        <is>
          <t>A new mobile is refused if another account holds it, is not confirmed by a wrong code, is confirmed by the right code, and then signs the principal in.</t>
        </is>
      </c>
      <c r="N19" s="16" t="n"/>
      <c r="O19" s="17" t="n"/>
      <c r="P19" s="16" t="inlineStr">
        <is>
          <t>Not run</t>
        </is>
      </c>
      <c r="Q19" s="16" t="n"/>
      <c r="R19" s="16" t="n"/>
    </row>
    <row r="20">
      <c r="A20" s="10" t="inlineStr">
        <is>
          <t>ACC-19</t>
        </is>
      </c>
      <c r="B20" s="11" t="inlineStr">
        <is>
          <t>Access and accounts</t>
        </is>
      </c>
      <c r="C20" s="11" t="inlineStr">
        <is>
          <t>Check portal page redirects for signed-in, signed-out and staff visitors</t>
        </is>
      </c>
      <c r="D20" s="11" t="inlineStr">
        <is>
          <t>Portal sign-in redirects</t>
        </is>
      </c>
      <c r="E20" s="11" t="inlineStr">
        <is>
          <t>Data principal on portal</t>
        </is>
      </c>
      <c r="F20" s="11" t="inlineStr">
        <is>
          <t>Medium</t>
        </is>
      </c>
      <c r="G20" s="11" t="inlineStr">
        <is>
          <t>Positive</t>
        </is>
      </c>
      <c r="H20" s="11" t="inlineStr">
        <is>
          <t>Core</t>
        </is>
      </c>
      <c r="I20" s="11" t="inlineStr">
        <is>
          <t>- A fresh private/incognito browser window with nobody signed in.
- The test coordinator can read the test outbox.</t>
        </is>
      </c>
      <c r="J20" s="11" t="inlineStr">
        <is>
          <t>- Data principal: subject@cmp.local (Anjali Verma)
- Deep link: http://localhost:3001/my-requests
- Staff code-step address: http://localhost:3001/sign-in/verify</t>
        </is>
      </c>
      <c r="K20" s="11" t="inlineStr">
        <is>
          <t>1. Type http://localhost:3001/sign-in/verify into the address bar and press Enter.
2. Type http://localhost:3001/my-requests into the address bar and press Enter.
3. Choose 'Email', type subject@cmp.local, click 'Send me a code', enter the code the test coordinator gives you for subject@cmp.local (from the test outbox) and click 'Verify'.
4. While signed in, type http://localhost:3001/sign-in into the address bar and press Enter.
5. Type http://localhost:3001/sign-up and press Enter.
6. Type http://localhost:3001 and press Enter.
7. Click 'Sign out'.</t>
        </is>
      </c>
      <c r="L20" s="11" t="inlineStr">
        <is>
          <t>1. A page headed 'Verify it is you' briefly says 'Staff sign in on the console. Taking you there.' and you are then taken to the console (http://localhost:3000). With no sign-in in progress, the console shows its 'Sign in' page. There is no 'page not found'.
2. You are sent to the portal 'Sign in' page; the address contains 'next=' followed by the my-requests path.
3. You land on 'My requests' (the page you asked for), not on 'My consents'.
4. The sign-in form does not stay; you are sent to 'My consents'.
5. The sign-up form does not stay; you are sent to 'My consents'.
6. The portal home goes straight to 'My consents'.
7. You are back on the portal 'Sign in' page.</t>
        </is>
      </c>
      <c r="M20" s="11" t="inlineStr">
        <is>
          <t>The portal sends signed-out visitors to sign-in and back to the page they wanted, never shows sign-in or sign-up to someone already signed in, and forwards the staff code address to the console instead of a missing page.</t>
        </is>
      </c>
      <c r="N20" s="16" t="n"/>
      <c r="O20" s="17" t="n"/>
      <c r="P20" s="16" t="inlineStr">
        <is>
          <t>Not run</t>
        </is>
      </c>
      <c r="Q20" s="16" t="n"/>
      <c r="R20" s="16" t="n"/>
    </row>
    <row r="21">
      <c r="A21" s="10" t="inlineStr">
        <is>
          <t>ACC-20</t>
        </is>
      </c>
      <c r="B21" s="11" t="inlineStr">
        <is>
          <t>Access and accounts</t>
        </is>
      </c>
      <c r="C21" s="11" t="inlineStr">
        <is>
          <t>End a portal session after 30 minutes without activity</t>
        </is>
      </c>
      <c r="D21" s="11" t="inlineStr">
        <is>
          <t>Session idle timeout</t>
        </is>
      </c>
      <c r="E21" s="11" t="inlineStr">
        <is>
          <t>Data principal on portal</t>
        </is>
      </c>
      <c r="F21" s="11" t="inlineStr">
        <is>
          <t>Low</t>
        </is>
      </c>
      <c r="G21" s="11" t="inlineStr">
        <is>
          <t>Negative</t>
        </is>
      </c>
      <c r="H21" s="11" t="inlineStr">
        <is>
          <t>Core</t>
        </is>
      </c>
      <c r="I21" s="11" t="inlineStr">
        <is>
          <t>- A fresh private/incognito browser window with nobody signed in.
- The tester can leave the browser untouched for at least 31 minutes.
- The test coordinator can read the test outbox.</t>
        </is>
      </c>
      <c r="J21" s="11" t="inlineStr">
        <is>
          <t>- Data principal: +91 90000 00001 (Anjali Verma)</t>
        </is>
      </c>
      <c r="K21" s="11" t="inlineStr">
        <is>
          <t>1. Sign in to http://localhost:3001 with 'Mobile' +91 90000 00001 and the code the test coordinator gives you. Open 'My profile' from the account menu (your name at the top right) and note the 'Session expires' time in Identity.
2. Click 'My consents'. Then leave the browser completely untouched (no clicks, no typing, do not switch to this window) for 31 minutes.
3. After 31 minutes, return to the window and, if you are still on 'My consents', click 'My requests'.
4. Sign in again with the mobile and a new code from the test coordinator.</t>
        </is>
      </c>
      <c r="L21" s="11" t="inlineStr">
        <is>
          <t>1. 'My profile' opens. 'Session expires' is about 8 hours after the sign-in time (the absolute limit).
2. Nothing visible happens while you wait.
3. Your data is not shown any more. As soon as you return to the window, or at the latest when you click, you are taken to the portal 'Sign in' page (the address carries 'next='), because the session ended after 30 minutes without activity.
4. You are signed in again and land on the page named in the address ('My consents' or 'My requests'), not on a blank or error page.</t>
        </is>
      </c>
      <c r="M21" s="11" t="inlineStr">
        <is>
          <t>A portal session left unused for more than 30 minutes ends by itself and the next action leads to sign-in, well before the 8-hour absolute limit.</t>
        </is>
      </c>
      <c r="N21" s="16" t="n"/>
      <c r="O21" s="17" t="n"/>
      <c r="P21" s="16" t="inlineStr">
        <is>
          <t>Not run</t>
        </is>
      </c>
      <c r="Q21" s="16" t="n"/>
      <c r="R21" s="16" t="n"/>
    </row>
    <row r="22">
      <c r="A22" s="10" t="inlineStr">
        <is>
          <t>ACC-21</t>
        </is>
      </c>
      <c r="B22" s="11" t="inlineStr">
        <is>
          <t>Access and accounts</t>
        </is>
      </c>
      <c r="C22" s="11" t="inlineStr">
        <is>
          <t>A data principal corrects her name from My profile</t>
        </is>
      </c>
      <c r="D22" s="11" t="inlineStr">
        <is>
          <t>Portal account - correct own name</t>
        </is>
      </c>
      <c r="E22" s="11" t="inlineStr">
        <is>
          <t>Data principal on portal</t>
        </is>
      </c>
      <c r="F22" s="11" t="inlineStr">
        <is>
          <t>Medium</t>
        </is>
      </c>
      <c r="G22" s="11" t="inlineStr">
        <is>
          <t>Positive</t>
        </is>
      </c>
      <c r="H22" s="11" t="inlineStr">
        <is>
          <t>S3-05</t>
        </is>
      </c>
      <c r="I22" s="11" t="inlineStr">
        <is>
          <t>- ACC-09 has been passed, so the tester owns the account Tester One (email tester01@example.org).
- A fresh private/incognito browser window with nobody signed in.
- The test coordinator can read the test outbox.</t>
        </is>
      </c>
      <c r="J22" s="11" t="inlineStr">
        <is>
          <t>- Sign-in email: tester01@example.org
- Corrected name: '  Tester One Corrected  ' (two spaces before and after)
- Name to restore at the end: Tester One</t>
        </is>
      </c>
      <c r="K22" s="11" t="inlineStr">
        <is>
          <t>1. Open http://localhost:3001/sign-in, choose 'Email', type tester01@example.org and click 'Send me a code'. Enter the code the test coordinator gives you for tester01@example.org (from the test outbox) and click 'Verify'.
2. Click your name at the top right to open the account menu, then click 'My profile'. Look at the 'Identity' card.
3. Click 'Change' beside the name.
4. Clear the box completely. Then type three spaces and nothing else.
5. Click 'Cancel'.
6. Click 'Change' again and, without editing the name, click 'Save'.
7. Click 'Change', replace the name with '  Tester One Corrected  ' (two spaces before and after) and click 'Save'.
8. Reload the page.
9. Click 'Sign out'. Sign in again with 'Email' tester01@example.org and the new code the test coordinator gives you.
10. Restore the name: open 'My profile' from the account menu, click 'Change', type 'Tester One' and click 'Save'.</t>
        </is>
      </c>
      <c r="L22" s="11" t="inlineStr">
        <is>
          <t>1. You land on 'My consents'. The header shows 'Tester One' with the role badge 'Data Subject'.
2. 'My profile' opens. In 'Identity' the 'Name' row reads 'Tester One' with a 'Change' button beside it. No other Identity row (Mobile, Email, Role, Person type, Status, Date of birth) has a 'Change' button.
3. The row becomes a 'Name' box filled with 'Tester One', with the hint 'As you would like it to appear' and the buttons 'Save' and 'Cancel'.
4. With the box empty, 'Save' is greyed out and cannot be clicked; with only spaces in it, it stays greyed out. An empty name cannot be saved.
5. The box closes and the name still reads 'Tester One'. Nothing was saved.
6. The box closes and the name still reads 'Tester One'. No 'Name changed' message appears: an unchanged name is not sent.
7. A green message 'Name changed' reads 'Your account now reads Tester One Corrected.' The 'Name' row shows 'Tester One Corrected' with the spaces removed, and the header at the top right shows 'Tester One Corrected' too.
8. The 'Name' row still reads 'Tester One Corrected'. Mobile, Email, Role 'Data Subject' and Date of birth are as they were: only the name changed.
9. You are signed in as before and land on 'My consents'; the header shows 'Tester One Corrected'. Changing the name did not change how you sign in.
10. 'Name changed' reads 'Your account now reads Tester One.' The 'Name' row and the header show 'Tester One' again.</t>
        </is>
      </c>
      <c r="M22" s="11" t="inlineStr">
        <is>
          <t>A data principal can correct her own name from 'My profile' with 'Change': an empty name cannot be saved, an unchanged one sends nothing, a new one is trimmed, saved and shown at once in the profile and the header, and nothing else on the account changes.</t>
        </is>
      </c>
      <c r="N22" s="16" t="n"/>
      <c r="O22" s="17" t="n"/>
      <c r="P22" s="16" t="inlineStr">
        <is>
          <t>Not run</t>
        </is>
      </c>
      <c r="Q22" s="16" t="n"/>
      <c r="R22" s="16" t="n"/>
    </row>
    <row r="23">
      <c r="A23" s="10" t="inlineStr">
        <is>
          <t>ACC-22</t>
        </is>
      </c>
      <c r="B23" s="11" t="inlineStr">
        <is>
          <t>Access and accounts</t>
        </is>
      </c>
      <c r="C23" s="11" t="inlineStr">
        <is>
          <t>A member of staff corrects her own name on the console, and the change is audited without the name</t>
        </is>
      </c>
      <c r="D23" s="11" t="inlineStr">
        <is>
          <t>Staff account page (My profile) - correct own name</t>
        </is>
      </c>
      <c r="E23" s="11" t="inlineStr">
        <is>
          <t>DPO on console</t>
        </is>
      </c>
      <c r="F23" s="11" t="inlineStr">
        <is>
          <t>Medium</t>
        </is>
      </c>
      <c r="G23" s="11" t="inlineStr">
        <is>
          <t>Positive</t>
        </is>
      </c>
      <c r="H23" s="11" t="inlineStr">
        <is>
          <t>S3-05</t>
        </is>
      </c>
      <c r="I23" s="11" t="inlineStr">
        <is>
          <t>- A fresh private/incognito browser window with nobody signed in.
- The test coordinator can read the test outbox.
- Agree the time with the test coordinator: until the name is restored at the end, other testers see 'Priya S. Menon' wherever the DPO's name is shown.</t>
        </is>
      </c>
      <c r="J23" s="11" t="inlineStr">
        <is>
          <t>- Account: dpo@cmp.local (Priya Menon) / SeedPassw0rd!2026
- Corrected name: Priya S. Menon
- Name to restore at the end: Priya Menon
- Part of the name to search for: Menon</t>
        </is>
      </c>
      <c r="K23" s="11" t="inlineStr">
        <is>
          <t>1. Open http://localhost:3000/sign-in, sign in with dpo@cmp.local and SeedPassw0rd!2026, then enter the code the test coordinator gives you for dpo@cmp.local (from the test outbox) and click 'Verify and continue'.
2. Click your name at the top right to open the account menu, then click 'My profile'.
3. Click 'Change' beside the name and clear the box completely.
4. Type 'Priya S. Menon' and click 'Save'.
5. Click 'Dashboard' in the sidebar.
6. Under 'Oversight' click 'Users'. Type Menon in 'Search' and click 'Search'.
7. Restore the name: open 'My profile' from the account menu, click 'Change', type 'Priya Menon' and click 'Save'.
8. Click 'Change' again and, without editing, click 'Save'.
9. Click 'Audit trail' under 'Oversight'. In 'Area' choose 'Accounts' and in 'Event' choose 'Updated'. Then set 'About' to 'Member of staff', type Priya and pick 'Priya Menon'.
10. Click the newest 'User updated' row, then click 'Show raw JSON'.</t>
        </is>
      </c>
      <c r="L23" s="11" t="inlineStr">
        <is>
          <t>1. The Dashboard opens with the heading 'Good day, Priya'. The header shows 'Priya Menon' with the role badge 'DPO'.
2. 'My profile' opens. The 'Identity' card shows Name 'Priya Menon' with a 'Change' button beside it, and Role 'DPO'.
3. A 'Name' box with the hint 'As you would like it to appear' and the buttons 'Save' and 'Cancel' is shown. With the box empty, 'Save' is greyed out and cannot be clicked.
4. A green message 'Name changed' reads 'Your account now reads Priya S. Menon.' The 'Name' row and the header show 'Priya S. Menon'. The role badge still reads 'DPO': a name changes nothing else.
5. The heading still reads 'Good day, Priya' (the first name did not change) and the sidebar is unchanged.
6. The register lists 'Priya S. Menon' (dpo@cmp.local) with Role 'DPO': the corrected name is still found by part of it.
7. 'Name changed' reads 'Your account now reads Priya Menon.' The 'Name' row and the header show 'Priya Menon'.
8. The box closes; no 'Name changed' message appears and nothing is sent.
9. The chips 'Event Updated' and 'Actor Priya Menon' are shown. The two newest rows are 'User updated' entries timed at steps 4 and 7; there is no third entry for step 8.
10. The dialog shows 'Who' Priya Menon with the 'DPO' badge. The recorded details say only that the change was made by the person herself ("self_service": true): neither 'Priya S. Menon' nor any other name or address appears in the details.</t>
        </is>
      </c>
      <c r="M23" s="11" t="inlineStr">
        <is>
          <t>A member of staff corrects her own name from the console's 'My profile' just as a data principal does on the portal: an empty name cannot be saved, an unchanged one sends nothing, the new name shows at once and is still found by part of it, the role is untouched, and each change is audited as 'User updated' without the name.</t>
        </is>
      </c>
      <c r="N23" s="16" t="n"/>
      <c r="O23" s="17" t="n"/>
      <c r="P23" s="16" t="inlineStr">
        <is>
          <t>Not run</t>
        </is>
      </c>
      <c r="Q23" s="16" t="n"/>
      <c r="R23" s="16" t="n"/>
    </row>
    <row r="24">
      <c r="A24" s="10" t="inlineStr">
        <is>
          <t>REG-01</t>
        </is>
      </c>
      <c r="B24" s="11" t="inlineStr">
        <is>
          <t>Registry and administration</t>
        </is>
      </c>
      <c r="C24" s="11" t="inlineStr">
        <is>
          <t>Administrator provisions a new staff account</t>
        </is>
      </c>
      <c r="D24" s="11" t="inlineStr">
        <is>
          <t>Users - Provision account</t>
        </is>
      </c>
      <c r="E24" s="11" t="inlineStr">
        <is>
          <t>Administrator (admin@cmp.local)</t>
        </is>
      </c>
      <c r="F24" s="11" t="inlineStr">
        <is>
          <t>High</t>
        </is>
      </c>
      <c r="G24" s="11" t="inlineStr">
        <is>
          <t>Positive</t>
        </is>
      </c>
      <c r="H24" s="11" t="inlineStr">
        <is>
          <t>Core</t>
        </is>
      </c>
      <c r="I24" s="11" t="inlineStr">
        <is>
          <t>- The console is running at http://localhost:3000.
- No account exists yet for uat.dco01@cmp.local.</t>
        </is>
      </c>
      <c r="J24" s="11" t="inlineStr">
        <is>
          <t>- Full name: UAT DCO 01
- Email: uat.dco01@cmp.local
- Role: Data Collection Owner
- Person type: Employee
- Username, Mobile, Organisation id: leave blank</t>
        </is>
      </c>
      <c r="K24" s="11" t="inlineStr">
        <is>
          <t>1.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2. In the left-hand sidebar, under 'Your work', click 'Users'.
3. Click 'Provision account'.
4. Type 'UAT DCO 01' in 'Full name' and 'uat.dco01@cmp.local' in 'Email'. In 'Role' choose 'Data Collection Owner'. In 'Person type' choose 'Employee'. Leave the 'Data sources' boxes unticked.
5. Click 'Create account'.
6. In the 'Search' box type uat.dco01@cmp.local and click 'Search'.
7. Look at the 'Action' column for that row.
8. Ask the test coordinator to confirm an invitation email was sent to uat.dco01@cmp.local (from the test outbox).</t>
        </is>
      </c>
      <c r="L24" s="11" t="inlineStr">
        <is>
          <t>1. The Dashboard opens. The top-right corner of the header shows 'System Admin' with the role badge 'Administrator'.
2. The 'Users' page opens with the register of accounts (columns Name, Role, Person type, Status, Registered, Action) and a 'Provision account' button at the top right.
3. A dialog titled 'Provision an account' opens. It says no password is set here and that an email invites the person to choose their own. There is no password field.
4. The fields accept the values. Because the role is Data Collection Owner, a 'Data sources' section is shown (optional).
5. The dialog closes and a green message 'Account created' appears, saying an email is on its way to uat.dco01@cmp.local with a code to set a password and that the account stays pending until they do.
6. The register shows one row: 'UAT DCO 01' (uat.dco01@cmp.local), Role 'Data Collection Owner', Person type 'Employee', Status 'Pending', Registered = today's date.
7. The buttons 'Edit', 'Role', 'Reset MFA', 'Resend invitation' and 'End staff access' are shown.
8. The coordinator confirms an email with the subject beginning 'Set your password for the' that names the role 'Data Collection Owner', contains a link to the console's password page and a numeric code. No password appears in the email.</t>
        </is>
      </c>
      <c r="M24" s="11" t="inlineStr">
        <is>
          <t>The account is created in 'Pending' status with the chosen role, an invitation (link + code, no password) is sent to the address, and the register shows it with a 'Resend invitation' action.</t>
        </is>
      </c>
      <c r="N24" s="16" t="n"/>
      <c r="O24" s="17" t="n"/>
      <c r="P24" s="16" t="inlineStr">
        <is>
          <t>Not run</t>
        </is>
      </c>
      <c r="Q24" s="16" t="n"/>
      <c r="R24" s="16" t="n"/>
    </row>
    <row r="25">
      <c r="A25" s="10" t="inlineStr">
        <is>
          <t>REG-02</t>
        </is>
      </c>
      <c r="B25" s="11" t="inlineStr">
        <is>
          <t>Registry and administration</t>
        </is>
      </c>
      <c r="C25" s="11" t="inlineStr">
        <is>
          <t>New member of staff sets a password from the invitation, which activates the account</t>
        </is>
      </c>
      <c r="D25" s="11" t="inlineStr">
        <is>
          <t>Staff invitation - Set your password</t>
        </is>
      </c>
      <c r="E25" s="11" t="inlineStr">
        <is>
          <t>New staff member (UAT DCO 01), then Administrator</t>
        </is>
      </c>
      <c r="F25" s="11" t="inlineStr">
        <is>
          <t>High</t>
        </is>
      </c>
      <c r="G25" s="11" t="inlineStr">
        <is>
          <t>Positive</t>
        </is>
      </c>
      <c r="H25" s="11" t="inlineStr">
        <is>
          <t>Core</t>
        </is>
      </c>
      <c r="I25" s="11" t="inlineStr">
        <is>
          <t>- REG-01 has been completed: UAT DCO 01 (uat.dco01@cmp.local) exists in 'Pending' status.
- The invitation was sent less than 48 hours ago (otherwise use 'Resend invitation' first).
- Tester is signed out of the console.</t>
        </is>
      </c>
      <c r="J25" s="11" t="inlineStr">
        <is>
          <t>- Invitation link and code: from the test coordinator (test outbox, uat.dco01@cmp.local)
- New password: UatPassw0rd!2026
- Mismatched confirmation: UatPassw0rd!2027</t>
        </is>
      </c>
      <c r="K25" s="11" t="inlineStr">
        <is>
          <t>1. Ask the test coordinator for the invitation sent to uat.dco01@cmp.local (from the test outbox). Open the link it contains in the browser.
2. Type the code from the invitation in 'Code', 'UatPassw0rd!2026' in 'New password' and 'UatPassw0rd!2027' in 'Confirm new password'. Click 'Set the new password'.
3. Correct 'Confirm new password' to 'UatPassw0rd!2026' and click 'Set the new password'.
4. Open http://localhost:3000. On the 'Sign in' page type uat.dco01@cmp.local in 'Email or username' and UatPassw0rd!2026 in 'Password', then click 'Sign in'. On the 'Verify it is you' page, ask the test coordinator for the sign-in code sent to uat.dco01@cmp.local (from the test outbox), type it in '6-digit code' and click 'Verify and continue'.
5. Look at the left-hand sidebar.
6. Click 'Sign out' at the bottom of the left-hand sidebar.
7.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8. Click 'Users', search for uat.dco01@cmp.local and click 'Search'.</t>
        </is>
      </c>
      <c r="L25" s="11" t="inlineStr">
        <is>
          <t>1. A page titled 'Set your password' opens, saying 'Enter the code sent to uat.dco01@cmp.local and choose a password.' It shows the fields 'Code', 'New password' and 'Confirm new password'.
2. The password is not set. The message 'The two passwords do not match' appears under 'Confirm new password'.
3. A green panel 'Password changed' appears ('Every other session has been signed out. Taking you to sign in…') and after a few seconds the 'Sign in' page opens.
4. The Dashboard opens. The top-right corner of the header shows 'UAT DCO 01' with the role badge 'Data Collection Owner'.
5. The sidebar shows the Data Collection Owner's pages (for example 'My projects', 'Collection sites', 'Data sources', 'Delegations') and does NOT show 'Users'.
6. You are returned to the 'Sign in' page.
7. The Dashboard opens. The top-right corner of the header shows 'System Admin' with the role badge 'Administrator'.
8. UAT DCO 01 now shows Status 'Active'. The 'Resend invitation' button is no longer offered for that row.</t>
        </is>
      </c>
      <c r="M25" s="11" t="inlineStr">
        <is>
          <t>Setting a password with the invitation code activates the account (Pending -&gt; Active), the person can sign in with password plus a one-time code, and mismatched passwords are refused.</t>
        </is>
      </c>
      <c r="N25" s="16" t="n"/>
      <c r="O25" s="17" t="n"/>
      <c r="P25" s="16" t="inlineStr">
        <is>
          <t>Not run</t>
        </is>
      </c>
      <c r="Q25" s="16" t="n"/>
      <c r="R25" s="16" t="n"/>
    </row>
    <row r="26">
      <c r="A26" s="10" t="inlineStr">
        <is>
          <t>REG-03</t>
        </is>
      </c>
      <c r="B26" s="11" t="inlineStr">
        <is>
          <t>Registry and administration</t>
        </is>
      </c>
      <c r="C26" s="11" t="inlineStr">
        <is>
          <t>Provisioning refuses a duplicate or incomplete account; invitation can be resent</t>
        </is>
      </c>
      <c r="D26" s="11" t="inlineStr">
        <is>
          <t>Users - Provision account validation</t>
        </is>
      </c>
      <c r="E26" s="11" t="inlineStr">
        <is>
          <t>Administrator (admin@cmp.local)</t>
        </is>
      </c>
      <c r="F26" s="11" t="inlineStr">
        <is>
          <t>Medium</t>
        </is>
      </c>
      <c r="G26" s="11" t="inlineStr">
        <is>
          <t>Negative</t>
        </is>
      </c>
      <c r="H26" s="11" t="inlineStr">
        <is>
          <t>Core</t>
        </is>
      </c>
      <c r="I26" s="11" t="inlineStr">
        <is>
          <t>- Seeded account dco@cmp.local exists.
- Tester is signed in as admin@cmp.local.</t>
        </is>
      </c>
      <c r="J26" s="11" t="inlineStr">
        <is>
          <t>- Duplicate email: dco@cmp.local
- Bad email: uat.dco02-at-cmp.local
- Second new account: UAT DCO 02 / uat.dco02@cmp.local</t>
        </is>
      </c>
      <c r="K26" s="11" t="inlineStr">
        <is>
          <t>1. Click 'Users', then 'Provision account'. Leave every field empty and click 'Create account'.
2. Type 'UAT DCO 02' in 'Full name' and 'uat.dco02-at-cmp.local' in 'Email'. Click 'Create account'.
3. Change 'Email' to dco@cmp.local (an address that already has an account) and click 'Create account'.
4. Change 'Email' to uat.dco02@cmp.local, keep role 'Data Collection Owner' and click 'Create account'.
5. On the UAT DCO 02 row click 'Resend invitation'.
6. Ask the test coordinator to confirm (from the test outbox) that uat.dco02@cmp.local received two invitation emails.</t>
        </is>
      </c>
      <c r="L26" s="11" t="inlineStr">
        <is>
          <t>1. Nothing is created. Messages appear under the fields, including 'A full name is required' under 'Full name' and 'An email address is required' under 'Email'.
2. Nothing is created. 'That does not look like an email address' appears under 'Email'.
3. Nothing is created. An error at the top of the dialog reads 'An account with that email, username or organisation id exists'.
4. 'Account created' appears and UAT DCO 02 is listed with Status 'Pending'.
5. A green message 'Invitation sent' appears, saying a new invitation is on its way to uat.dco02@cmp.local.
6. The coordinator confirms two invitation emails for uat.dco02@cmp.local, the second carrying a new code.</t>
        </is>
      </c>
      <c r="M26" s="11" t="inlineStr">
        <is>
          <t>Missing/invalid fields and an already-registered email are refused with clear messages and no account is created; a pending account's invitation can be resent.</t>
        </is>
      </c>
      <c r="N26" s="16" t="n"/>
      <c r="O26" s="17" t="n"/>
      <c r="P26" s="16" t="inlineStr">
        <is>
          <t>Not run</t>
        </is>
      </c>
      <c r="Q26" s="16" t="n"/>
      <c r="R26" s="16" t="n"/>
    </row>
    <row r="27">
      <c r="A27" s="10" t="inlineStr">
        <is>
          <t>REG-04</t>
        </is>
      </c>
      <c r="B27" s="11" t="inlineStr">
        <is>
          <t>Registry and administration</t>
        </is>
      </c>
      <c r="C27" s="11" t="inlineStr">
        <is>
          <t>Roles that may not administer users cannot provision or manage accounts</t>
        </is>
      </c>
      <c r="D27" s="11" t="inlineStr">
        <is>
          <t>Users - access by role; Message templates - access by role</t>
        </is>
      </c>
      <c r="E27" s="11" t="inlineStr">
        <is>
          <t>DPO, Data Collection Owner, R&amp;D User</t>
        </is>
      </c>
      <c r="F27" s="11" t="inlineStr">
        <is>
          <t>High</t>
        </is>
      </c>
      <c r="G27" s="11" t="inlineStr">
        <is>
          <t>Negative</t>
        </is>
      </c>
      <c r="H27" s="11" t="inlineStr">
        <is>
          <t>Core</t>
        </is>
      </c>
      <c r="I27" s="11" t="inlineStr">
        <is>
          <t>- Seeded accounts dpo@cmp.local, dco@cmp.local and rnd@cmp.local are active.</t>
        </is>
      </c>
      <c r="J27" s="11" t="inlineStr">
        <is>
          <t>- Direct addresses: http://localhost:3000/users and http://localhost:3000/messages</t>
        </is>
      </c>
      <c r="K27"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Click 'Users' in the sidebar (under 'Oversight').
3. Click 'Sign out' at the bottom of the left-hand sidebar.
4. 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
5. Look through the left-hand sidebar.
6. Type http://localhost:3000/users in the browser address bar and press Enter.
7. Type http://localhost:3000/messages in the address bar and press Enter.
8. Click 'Sign out' at the bottom of the left-hand sidebar.
9. 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
10. Look through the sidebar, then open http://localhost:3000/users directly.</t>
        </is>
      </c>
      <c r="L27" s="11" t="inlineStr">
        <is>
          <t>1. The Dashboard opens. The top-right corner of the header shows 'Priya Menon' with the role badge 'DPO'.
2. The 'Users' register opens read-only: a blue note says 'You can read the register. Provisioning, role changes and deactivation are restricted to administrators.' There is NO 'Provision account' button, and the 'Action' column of every row is empty (no 'Edit', 'Role', 'Reset MFA', 'Resend invitation' or 'End staff access').
3. You are returned to the 'Sign in' page.
4. The Dashboard opens. The top-right corner of the header shows 'Arun Shetty' with the role badge 'Data Collection Owner'.
5. There is no 'Users' entry and no 'Message templates' entry.
6. No register is shown. A panel titled 'Not part of your account' says the section belongs to a different role, with a 'Back to your dashboard' button.
7. The same 'Not part of your account' panel is shown; no message templates are visible.
8. You are returned to the 'Sign in' page.
9. The Dashboard opens. The top-right corner of the header shows 'Kavya Rao' with the role badge 'R&amp;D User'.
10. No 'Users' entry in the sidebar; the address shows 'Not part of your account'.</t>
        </is>
      </c>
      <c r="M27" s="11" t="inlineStr">
        <is>
          <t>Only the Administrator can provision or change accounts; the DPO sees a read-only register; DCO and R&amp;D User have no Users or Message templates page and are turned away if they type the address.</t>
        </is>
      </c>
      <c r="N27" s="16" t="n"/>
      <c r="O27" s="17" t="n"/>
      <c r="P27" s="16" t="inlineStr">
        <is>
          <t>Not run</t>
        </is>
      </c>
      <c r="Q27" s="16" t="n"/>
      <c r="R27" s="16" t="n"/>
    </row>
    <row r="28">
      <c r="A28" s="10" t="inlineStr">
        <is>
          <t>REG-05</t>
        </is>
      </c>
      <c r="B28" s="11" t="inlineStr">
        <is>
          <t>Registry and administration</t>
        </is>
      </c>
      <c r="C28" s="11" t="inlineStr">
        <is>
          <t>DPO drafts a purpose, edits the draft and activates it</t>
        </is>
      </c>
      <c r="D28" s="11" t="inlineStr">
        <is>
          <t>Purposes - New purpose / Activate</t>
        </is>
      </c>
      <c r="E28" s="11" t="inlineStr">
        <is>
          <t>DPO (dpo@cmp.local)</t>
        </is>
      </c>
      <c r="F28" s="11" t="inlineStr">
        <is>
          <t>High</t>
        </is>
      </c>
      <c r="G28" s="11" t="inlineStr">
        <is>
          <t>Positive</t>
        </is>
      </c>
      <c r="H28" s="11" t="inlineStr">
        <is>
          <t>Core</t>
        </is>
      </c>
      <c r="I28" s="11" t="inlineStr">
        <is>
          <t>- No purpose with code PUR-UAT-01 exists.</t>
        </is>
      </c>
      <c r="J28" s="11" t="inlineStr">
        <is>
          <t>- Code: PUR-UAT-01
- Name: UAT Purpose 01
- Description: Testing the purpose registry during UAT.
- What this allows: Store the recordings for UAT checks only.
- Data collected: Name, Email address
- Lawful basis: Consent (s.6)
- Retention (days): 365; Retention basis: Business policy; Erasure trigger: Withdrawal
- Consent validity (days): blank; When consent lapses: Quarantine
- 'Transfer outside India is permitted for this purpose': ticked; 'May be used for data of children': unticked</t>
        </is>
      </c>
      <c r="K28"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In the sidebar under 'Governance' click 'Purposes'.
3. Click 'New purpose'.
4. Fill in the form with the test data (tick 'Name' and 'Email address' under 'Data collected'; choose 'Consent (s.6)' as 'Lawful basis'; tick 'Transfer outside India is permitted for this purpose'; leave 'May be used for data of children' unticked). Click 'Create purpose'.
5. Type PUR-UAT-01 in the 'Search' box (the list updates as you type; Enter searches at once).
6. Click 'Edit'. In the 'Edit purpose' dialog, change 'Name' to 'UAT Purpose 01 (edited)'. Note that 'Code' cannot be changed. Click 'Save changes'.
7. Click 'Activate' on the row.
8. Click the purpose name to open it.</t>
        </is>
      </c>
      <c r="L28" s="11" t="inlineStr">
        <is>
          <t>1. The Dashboard opens. The top-right corner of the header shows 'Priya Menon' with the role badge 'DPO'.
2. The 'Purposes' page opens with the list (columns Purpose, Status, Lawful basis, Data collected, Retention, Actions) and a 'New purpose' button.
3. A dialog titled 'New purpose' opens with fields Code, Name, Description, What this allows, Data collected (tick boxes), Lawful basis, Retention (days), Retention basis, Erasure trigger, Consent validity (days), When consent lapses, and two tick boxes: 'Transfer outside India is permitted for this purpose' and 'May be used for data of children'.
4. The dialog closes and 'Purpose created' appears ('It must be activated before a notice can use it.').
5. The row 'UAT Purpose 01' (code PUR-UAT-01) shows Status 'Draft', Lawful basis 'Consent s.6', Data collected 'Name, Email', Retention '365 days', and the buttons 'Edit' and 'Activate'.
6. 'Purpose updated' appears and the row now reads 'UAT Purpose 01 (edited)'.
7. 'Purpose activated' appears ('Notices can now use it.'). Status changes to 'Active'; 'Edit' and 'Activate' disappear and a 'Retire' button is shown.
8. The purpose page shows 'What was promised' (Description, Uses, Data categories Name and Email) and 'Terms' (Code PUR-UAT-01, Lawful basis, Retention). 'Notices using this purpose' shows 'Not attached to any notice'.</t>
        </is>
      </c>
      <c r="M28" s="11" t="inlineStr">
        <is>
          <t>A purpose carrying lawful basis, itemised data categories, retention and the cross-border / minors flags is saved as Draft, can be edited while Draft, and becomes Active (no longer editable) on activation.</t>
        </is>
      </c>
      <c r="N28" s="16" t="n"/>
      <c r="O28" s="17" t="n"/>
      <c r="P28" s="16" t="inlineStr">
        <is>
          <t>Not run</t>
        </is>
      </c>
      <c r="Q28" s="16" t="n"/>
      <c r="R28" s="16" t="n"/>
    </row>
    <row r="29">
      <c r="A29" s="10" t="inlineStr">
        <is>
          <t>REG-06</t>
        </is>
      </c>
      <c r="B29" s="11" t="inlineStr">
        <is>
          <t>Registry and administration</t>
        </is>
      </c>
      <c r="C29" s="11" t="inlineStr">
        <is>
          <t>Purpose form refuses incomplete or inconsistent purposes</t>
        </is>
      </c>
      <c r="D29" s="11" t="inlineStr">
        <is>
          <t>Purposes - New purpose validation</t>
        </is>
      </c>
      <c r="E29" s="11" t="inlineStr">
        <is>
          <t>DPO (dpo@cmp.local)</t>
        </is>
      </c>
      <c r="F29" s="11" t="inlineStr">
        <is>
          <t>Medium</t>
        </is>
      </c>
      <c r="G29" s="11" t="inlineStr">
        <is>
          <t>Negative</t>
        </is>
      </c>
      <c r="H29" s="11" t="inlineStr">
        <is>
          <t>Core</t>
        </is>
      </c>
      <c r="I29" s="11" t="inlineStr">
        <is>
          <t>- Tester is signed in as dpo@cmp.local.
- Seeded purpose PUR-GAIT-TRAIN exists.</t>
        </is>
      </c>
      <c r="J29" s="11" t="inlineStr">
        <is>
          <t>- Code: PUR-UAT-02
- Name: UAT Purpose 02
- Duplicate code: PUR-GAIT-TRAIN</t>
        </is>
      </c>
      <c r="K29" s="11" t="inlineStr">
        <is>
          <t>1. Open 'Purposes' and click 'New purpose'. Without filling anything, click 'Create purpose'.
2. Fill Code 'PUR-UAT-02', Name 'UAT Purpose 02', a Description and 'What this allows', tick 'Name' under 'Data collected'. Set 'Lawful basis' to 'Certain Legitimate Uses (s.7)'.
3. Leave 'Section 7 clause' on 'Choose a clause…' and click 'Create purpose'.
4. Set 'Retention (days)' to 0 and click 'Create purpose'.
5. Set 'Retention (days)' back to 365, choose 's.7(a) - voluntarily provided' as 'Section 7 clause', and change 'Code' to PUR-GAIT-TRAIN (already used). Click 'Create purpose'.
6. Click 'Cancel'.</t>
        </is>
      </c>
      <c r="L29" s="11" t="inlineStr">
        <is>
          <t>1. Nothing is saved. Messages appear, including 'A code is required', 'A name is required', 'Describe what this purpose is', 'State what this purpose lets you actually do' and 'Rule 3(b)(i): itemise at least one category'.
2. A new field 'Section 7 clause' appears, showing 'Choose a clause…'.
3. Nothing is saved. 'An s.7 purpose must name the clause it relies on' appears under 'Section 7 clause'.
4. Nothing is saved; 'At least one day' appears under 'Retention (days)'.
5. Nothing is saved. An error at the top of the dialog reads 'That purpose code already exists'.
6. The dialog closes; no purpose PUR-UAT-02 appears in the list.</t>
        </is>
      </c>
      <c r="M29" s="11" t="inlineStr">
        <is>
          <t>Required fields, the s.7 clause rule, minimum retention and code uniqueness are all enforced; nothing is saved while any of them fails.</t>
        </is>
      </c>
      <c r="N29" s="16" t="n"/>
      <c r="O29" s="17" t="n"/>
      <c r="P29" s="16" t="inlineStr">
        <is>
          <t>Not run</t>
        </is>
      </c>
      <c r="Q29" s="16" t="n"/>
      <c r="R29" s="16" t="n"/>
    </row>
    <row r="30">
      <c r="A30" s="10" t="inlineStr">
        <is>
          <t>REG-07</t>
        </is>
      </c>
      <c r="B30" s="11" t="inlineStr">
        <is>
          <t>Registry and administration</t>
        </is>
      </c>
      <c r="C30" s="11" t="inlineStr">
        <is>
          <t>DPO retires a purpose that is no longer in use</t>
        </is>
      </c>
      <c r="D30" s="11" t="inlineStr">
        <is>
          <t>Purposes - Retire</t>
        </is>
      </c>
      <c r="E30" s="11" t="inlineStr">
        <is>
          <t>DPO (dpo@cmp.local)</t>
        </is>
      </c>
      <c r="F30" s="11" t="inlineStr">
        <is>
          <t>High</t>
        </is>
      </c>
      <c r="G30" s="11" t="inlineStr">
        <is>
          <t>Positive</t>
        </is>
      </c>
      <c r="H30" s="11" t="inlineStr">
        <is>
          <t>Core</t>
        </is>
      </c>
      <c r="I30" s="11" t="inlineStr">
        <is>
          <t>- REG-05 completed: 'UAT Purpose 01 (edited)' (PUR-UAT-01) is Active and not attached to any notice.
- Tester is signed in as dpo@cmp.local.</t>
        </is>
      </c>
      <c r="J30" s="11" t="inlineStr">
        <is>
          <t>- Purpose: PUR-UAT-01</t>
        </is>
      </c>
      <c r="K30" s="11" t="inlineStr">
        <is>
          <t>1. Open 'Purposes', search PUR-UAT-01 and click 'Retire' on its row.
2. Click 'Cancel'.
3. Click 'Retire' again, then 'Retire purpose'.
4. Set the 'Status' filter to 'Retired'.
5. Set the 'Status' filter to 'Active'.</t>
        </is>
      </c>
      <c r="L30" s="11" t="inlineStr">
        <is>
          <t>1. A confirmation dialog titled 'Retire UAT Purpose 01 (edited)?' opens, explaining it can no longer be attached to a notice. It has 'Cancel' and 'Retire purpose' buttons.
2. The dialog closes; the purpose is still 'Active'.
3. 'Purpose retired' appears. The row's Status is now 'Retired' and no action buttons remain on it.
4. The list shows 'UAT Purpose 01 (edited)' among the retired purposes.
5. PUR-UAT-01 is not in the active list (it can no longer be offered on a new notice).</t>
        </is>
      </c>
      <c r="M30" s="11" t="inlineStr">
        <is>
          <t>An active purpose that no published notice uses can be retired after confirmation, and then shows as 'Retired'.</t>
        </is>
      </c>
      <c r="N30" s="16" t="n"/>
      <c r="O30" s="17" t="n"/>
      <c r="P30" s="16" t="inlineStr">
        <is>
          <t>Not run</t>
        </is>
      </c>
      <c r="Q30" s="16" t="n"/>
      <c r="R30" s="16" t="n"/>
    </row>
    <row r="31">
      <c r="A31" s="10" t="inlineStr">
        <is>
          <t>REG-08</t>
        </is>
      </c>
      <c r="B31" s="11" t="inlineStr">
        <is>
          <t>Registry and administration</t>
        </is>
      </c>
      <c r="C31" s="11" t="inlineStr">
        <is>
          <t>A purpose used by a published notice cannot be retired</t>
        </is>
      </c>
      <c r="D31" s="11" t="inlineStr">
        <is>
          <t>Purposes - Retire (blocked)</t>
        </is>
      </c>
      <c r="E31" s="11" t="inlineStr">
        <is>
          <t>DPO (dpo@cmp.local)</t>
        </is>
      </c>
      <c r="F31" s="11" t="inlineStr">
        <is>
          <t>High</t>
        </is>
      </c>
      <c r="G31" s="11" t="inlineStr">
        <is>
          <t>Negative</t>
        </is>
      </c>
      <c r="H31" s="11" t="inlineStr">
        <is>
          <t>Core</t>
        </is>
      </c>
      <c r="I31" s="11" t="inlineStr">
        <is>
          <t>- Seeded purpose 'Gait model training' (PUR-GAIT-TRAIN) is attached to the published notice NTC-GAIT-2026.
- Tester is signed in as dpo@cmp.local.</t>
        </is>
      </c>
      <c r="J31" s="11" t="inlineStr">
        <is>
          <t>- Purpose: Gait model training (PUR-GAIT-TRAIN)</t>
        </is>
      </c>
      <c r="K31" s="11" t="inlineStr">
        <is>
          <t>1. Open 'Purposes' and click the name 'Gait model training'.
2. Go back to 'Purposes', find 'Gait model training' and click 'Retire'.
3. Click 'Retire purpose'.
4. Close the dialog (Cancel) and look at the row.</t>
        </is>
      </c>
      <c r="L31" s="11" t="inlineStr">
        <is>
          <t>1. The purpose page opens. A blue note says 'This purpose is attached to a published notice, so it cannot be retired.' The card 'Notices using this purpose' lists NTC-GAIT-2026 with status Published.
2. The confirmation dialog 'Retire Gait model training?' opens, warning that the server will refuse if a published notice references it.
3. A red message 'Could not retire' appears: 'This purpose is attached to a published notice and cannot be retired'.
4. 'Gait model training' is still 'Active'.</t>
        </is>
      </c>
      <c r="M31" s="11" t="inlineStr">
        <is>
          <t>The system refuses to retire a purpose on a published notice, explains why, and leaves the purpose Active.</t>
        </is>
      </c>
      <c r="N31" s="16" t="n"/>
      <c r="O31" s="17" t="n"/>
      <c r="P31" s="16" t="inlineStr">
        <is>
          <t>Not run</t>
        </is>
      </c>
      <c r="Q31" s="16" t="n"/>
      <c r="R31" s="16" t="n"/>
    </row>
    <row r="32">
      <c r="A32" s="10" t="inlineStr">
        <is>
          <t>REG-09</t>
        </is>
      </c>
      <c r="B32" s="11" t="inlineStr">
        <is>
          <t>Registry and administration</t>
        </is>
      </c>
      <c r="C32" s="11" t="inlineStr">
        <is>
          <t>Register a third-party processor abroad and an in-house team</t>
        </is>
      </c>
      <c r="D32" s="11" t="inlineStr">
        <is>
          <t>Processors - Register processor (with Country)</t>
        </is>
      </c>
      <c r="E32" s="11" t="inlineStr">
        <is>
          <t>DPO (dpo@cmp.local)</t>
        </is>
      </c>
      <c r="F32" s="11" t="inlineStr">
        <is>
          <t>High</t>
        </is>
      </c>
      <c r="G32" s="11" t="inlineStr">
        <is>
          <t>Positive</t>
        </is>
      </c>
      <c r="H32" s="11" t="inlineStr">
        <is>
          <t>S2-04</t>
        </is>
      </c>
      <c r="I32" s="11" t="inlineStr">
        <is>
          <t>- No processors named 'UAT Lab 01' or 'UAT In-house Team 01' exist.</t>
        </is>
      </c>
      <c r="J32" s="11" t="inlineStr">
        <is>
          <t>- Processor A - Registered legal name: UAT Lab 01; Type: Lab; Contract reference: CTR-UAT-001; Country: sg (lower case on purpose); Security confirmed on: 2026-09-01; We collect this ourselves: unticked
- Processor B - Registered legal name: UAT In-house Team 01; Type: Other; Contract reference: in-house - UAT; Country: IN; Security confirmed on: 2026-09-01; We collect this ourselves: ticked</t>
        </is>
      </c>
      <c r="K32"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In the sidebar under 'Registry' click 'Processors'.
3. Click 'Register processor'.
4. Enter Processor A's data (type 'sg' in 'Country', leave 'We collect this ourselves' unticked) and click 'Register processor'.
5. Type 'UAT Lab 01' in the 'Search' box (the list updates as you type).
6. Click 'Register processor' again, enter Processor B's data and TICK 'We collect this ourselves'. Click 'Register processor'.
7. Search 'UAT In-house Team 01'.</t>
        </is>
      </c>
      <c r="L32" s="11" t="inlineStr">
        <is>
          <t>1. The Dashboard opens. The top-right corner of the header shows 'Priya Menon' with the role badge 'DPO'.
2. The 'Processors' page opens with columns Legal name, Type, Country, Contract, Security confirmed, Status, Action. Seeded SEED, SRIB and Pune Motion Lab Pvt Ltd show Country 'IN'. A 'Register processor' button is at the top right.
3. A dialog 'Register a processor' opens with 'Registered legal name', 'Type', 'Contract reference', 'Country' (hint: two-letter code, IN for India), 'Security confirmed on' and a tick box 'We collect this ourselves'.
4. 'Processor registered' appears: 'Projects naming it go to the DCO Admin to be assigned once approved.'
5. The row shows Type 'Lab', Country 'SG' (converted to capitals), Contract 'CTR-UAT-001', Security confirmed 1 Sep 2026 (date format may vary), Status 'Active', and buttons 'Respondents', 'Edit', 'Suspend'.
6. 'Processor registered' appears, this time saying 'Projects naming it come back to their author to assign sources and an RCO.'
7. The row shows Type 'Other', Country 'IN', Status 'Active'.</t>
        </is>
      </c>
      <c r="M32" s="11" t="inlineStr">
        <is>
          <t>Both processors are registered with legal name, type, contract, security date and country; the country is stored in capitals; the confirmation message reflects whether it is in-house or a third party.</t>
        </is>
      </c>
      <c r="N32" s="16" t="n"/>
      <c r="O32" s="17" t="n"/>
      <c r="P32" s="16" t="inlineStr">
        <is>
          <t>Not run</t>
        </is>
      </c>
      <c r="Q32" s="16" t="n"/>
      <c r="R32" s="16" t="n"/>
    </row>
    <row r="33">
      <c r="A33" s="10" t="inlineStr">
        <is>
          <t>REG-10</t>
        </is>
      </c>
      <c r="B33" s="11" t="inlineStr">
        <is>
          <t>Registry and administration</t>
        </is>
      </c>
      <c r="C33" s="11" t="inlineStr">
        <is>
          <t>Processor with no country shows 'not recorded'; edit sets the country; then suspend it</t>
        </is>
      </c>
      <c r="D33" s="11" t="inlineStr">
        <is>
          <t>Processors - Country / Edit / Suspend</t>
        </is>
      </c>
      <c r="E33" s="11" t="inlineStr">
        <is>
          <t>DPO (dpo@cmp.local)</t>
        </is>
      </c>
      <c r="F33" s="11" t="inlineStr">
        <is>
          <t>High</t>
        </is>
      </c>
      <c r="G33" s="11" t="inlineStr">
        <is>
          <t>Positive</t>
        </is>
      </c>
      <c r="H33" s="11" t="inlineStr">
        <is>
          <t>S2-04</t>
        </is>
      </c>
      <c r="I33" s="11" t="inlineStr">
        <is>
          <t>- Tester is signed in as dpo@cmp.local.
- No processor named 'UAT Lab 02' exists.</t>
        </is>
      </c>
      <c r="J33" s="11" t="inlineStr">
        <is>
          <t>- Registered legal name: UAT Lab 02; Type: Tool; Contract reference: CTR-UAT-002; Country: (blank); Security confirmed on: 2026-09-10
- Country to set on edit: DE</t>
        </is>
      </c>
      <c r="K33" s="11" t="inlineStr">
        <is>
          <t>1. On 'Processors' click 'Register processor', enter the test data leaving 'Country' empty, and click 'Register processor'.
2. Search 'UAT Lab 02'.
3. Click 'Edit' on the UAT Lab 02 row.
4. Type 'DE' in 'Country' and click 'Save changes'.
5. Look at the UAT Lab 02 row.
6. Click 'Suspend' on the UAT Lab 02 row.
7. Set the 'Status' filter to 'Suspended'.</t>
        </is>
      </c>
      <c r="L33" s="11" t="inlineStr">
        <is>
          <t>1. 'Processor registered' appears.
2. The Country column shows 'not recorded' (in warning colour). Hovering over it explains that an export to this processor is refused until its country is recorded.
3. A dialog 'Edit processor' opens with the saved values. 'Type' cannot be changed.
4. 'Processor updated' appears and the dialog closes.
5. Country now shows 'DE' instead of 'not recorded'.
6. 'Processor suspended' appears: 'UAT Lab 02 can no longer be assigned to a site.' Status changes to 'Suspended' and the 'Suspend' button disappears from the row.
7. UAT Lab 02 is listed; the active processors are not.</t>
        </is>
      </c>
      <c r="M33" s="11" t="inlineStr">
        <is>
          <t>A processor registered without a country is flagged 'not recorded'; editing records the country and the list shows it; suspending changes the status to 'Suspended' (processors are never deleted).</t>
        </is>
      </c>
      <c r="N33" s="16" t="n"/>
      <c r="O33" s="17" t="n"/>
      <c r="P33" s="16" t="inlineStr">
        <is>
          <t>Not run</t>
        </is>
      </c>
      <c r="Q33" s="16" t="n"/>
      <c r="R33" s="16" t="n"/>
    </row>
    <row r="34">
      <c r="A34" s="10" t="inlineStr">
        <is>
          <t>REG-11</t>
        </is>
      </c>
      <c r="B34" s="11" t="inlineStr">
        <is>
          <t>Registry and administration</t>
        </is>
      </c>
      <c r="C34" s="11" t="inlineStr">
        <is>
          <t>Processor form refuses a future security date and an invalid country code</t>
        </is>
      </c>
      <c r="D34" s="11" t="inlineStr">
        <is>
          <t>Processors - Register processor validation</t>
        </is>
      </c>
      <c r="E34" s="11" t="inlineStr">
        <is>
          <t>Administrator (admin@cmp.local)</t>
        </is>
      </c>
      <c r="F34" s="11" t="inlineStr">
        <is>
          <t>High</t>
        </is>
      </c>
      <c r="G34" s="11" t="inlineStr">
        <is>
          <t>Negative</t>
        </is>
      </c>
      <c r="H34" s="11" t="inlineStr">
        <is>
          <t>S2-04</t>
        </is>
      </c>
      <c r="I34" s="11" t="inlineStr">
        <is>
          <t>- Tester is signed in as admin@cmp.local (the Administrator may also keep the processor register).</t>
        </is>
      </c>
      <c r="J34" s="11" t="inlineStr">
        <is>
          <t>- Registered legal name: UAT Lab 03; Type: Lab; Contract reference: CTR-UAT-003
- Future date: any date after today, e.g. 2026-12-31
- Invalid country codes: 1N, I</t>
        </is>
      </c>
      <c r="K34" s="11" t="inlineStr">
        <is>
          <t>1.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2. Click 'Processors', then 'Register processor'. Leave everything blank and click 'Register processor'.
3. Fill 'Registered legal name' UAT Lab 03 and 'Contract reference' CTR-UAT-003. In 'Security confirmed on' pick a future date (e.g. 31 Dec 2026). Click 'Register processor'.
4. Change 'Security confirmed on' to today's date. Type '1N' in 'Country' and click 'Register processor'.
5. Change 'Country' to 'I' (one letter) and click 'Register processor'.
6. Click 'Cancel' and search 'UAT Lab 03'.</t>
        </is>
      </c>
      <c r="L34" s="11" t="inlineStr">
        <is>
          <t>1. The Dashboard opens. The top-right corner of the header shows 'System Admin' with the role badge 'Administrator'.
2. Nothing is saved. 'The registered legal name is required' and 'A contract reference is required' appear under their fields, and 'The security confirmation date has to be a date' appears under 'Security confirmed on'.
3. Nothing is saved. 'The security confirmation date cannot be in the future' appears under 'Security confirmed on'.
4. Nothing is saved. 'Two letters: the ISO country code, e.g. IN' appears under 'Country'.
5. The same message 'Two letters: the ISO country code, e.g. IN' appears; nothing is saved. (Typing a third letter is not possible - the field accepts at most two characters.)
6. No processor named UAT Lab 03 exists.</t>
        </is>
      </c>
      <c r="M34" s="11" t="inlineStr">
        <is>
          <t>A security confirmation dated in the future, a malformed country code and missing required fields are each refused with a clear message, and no processor is saved.</t>
        </is>
      </c>
      <c r="N34" s="16" t="n"/>
      <c r="O34" s="17" t="n"/>
      <c r="P34" s="16" t="inlineStr">
        <is>
          <t>Not run</t>
        </is>
      </c>
      <c r="Q34" s="16" t="n"/>
      <c r="R34" s="16" t="n"/>
    </row>
    <row r="35">
      <c r="A35" s="10" t="inlineStr">
        <is>
          <t>REG-12</t>
        </is>
      </c>
      <c r="B35" s="11" t="inlineStr">
        <is>
          <t>Registry and administration</t>
        </is>
      </c>
      <c r="C35" s="11" t="inlineStr">
        <is>
          <t>Name the respondents who answer rights tickets for a processor</t>
        </is>
      </c>
      <c r="D35" s="11" t="inlineStr">
        <is>
          <t>Processors - Respondents</t>
        </is>
      </c>
      <c r="E35" s="11" t="inlineStr">
        <is>
          <t>DPO (dpo@cmp.local); read-only check as R&amp;D User</t>
        </is>
      </c>
      <c r="F35" s="11" t="inlineStr">
        <is>
          <t>Medium</t>
        </is>
      </c>
      <c r="G35" s="11" t="inlineStr">
        <is>
          <t>Positive</t>
        </is>
      </c>
      <c r="H35" s="11" t="inlineStr">
        <is>
          <t>Core</t>
        </is>
      </c>
      <c r="I35" s="11" t="inlineStr">
        <is>
          <t>- Seeded processors SEED (third party) and SRIB (in-house) are Active.
- Seeded account Meera Iyer (rco@cmp.local) is active.</t>
        </is>
      </c>
      <c r="J35" s="11" t="inlineStr">
        <is>
          <t>- SEED respondent by email - Name: UAT Respondent 01; Email address: uat.respondent01@cmp.local
- SRIB respondent account: Meera Iyer (rco@cmp.local)</t>
        </is>
      </c>
      <c r="K35"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Open 'Processors' and click 'Respondents' on the SEED row.
3. Under 'Who answers for them' (choices 'Somebody at the third party, by email' and 'One of our own accounts, in the console') keep 'Somebody at the third party, by email' selected. Type 'UAT Respondent 01' in 'Name' and uat.respondent01@cmp.local in 'Email address'. Click 'Add respondent'.
4. Close the dialog and click 'Respondents' on the SRIB row.
5. In 'Account' choose 'Meera Iyer · Rco · rco@cmp.local' and click 'Add respondent'.
6. Click 'Remove' next to Meera Iyer.
7. Click 'Sign out' at the bottom of the left-hand sidebar.
8. 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
9. Open 'Processors' and click 'Respondents' on the SEED row.</t>
        </is>
      </c>
      <c r="L35" s="11" t="inlineStr">
        <is>
          <t>1. The Dashboard opens. The top-right corner of the header shows 'Priya Menon' with the role badge 'DPO'.
2. A dialog 'Respondents · SEED' opens. A blue note explains a third party's respondent is usually a name and an address there, mailed and tracked by hand, or one of our own accounts whose ticket goes to their console. Existing respondents are listed, or 'Nobody yet. Until somebody is named, the DPO types who answers on each request.'
3. 'Respondent added' appears. The list shows 'UAT Respondent 01' with a 'by email' badge and the email address below.
4. A dialog 'Respondents · SRIB' opens, saying for an in-house processor a respondent is a CMP account. There is no 'Who answers for them' choice - only an 'Account' drop-down.
5. 'Respondent added' appears. Meera Iyer is listed with the badge 'in the console · Rco'.
6. 'Respondent removed' appears and she is no longer listed.
7. You are returned to the 'Sign in' page.
8. The Dashboard opens. The top-right corner of the header shows 'Kavya Rao' with the role badge 'R&amp;D User'.
9. The dialog lists UAT Respondent 01 ('by email') but offers no 'Add respondent' form and no 'Remove' buttons (read-only).</t>
        </is>
      </c>
      <c r="M35" s="11" t="inlineStr">
        <is>
          <t>The DPO can name a by-email respondent for a third party and an account respondent for an in-house team, and remove one; other roles can view but not change respondents.</t>
        </is>
      </c>
      <c r="N35" s="16" t="n"/>
      <c r="O35" s="17" t="n"/>
      <c r="P35" s="16" t="inlineStr">
        <is>
          <t>Not run</t>
        </is>
      </c>
      <c r="Q35" s="16" t="n"/>
      <c r="R35" s="16" t="n"/>
    </row>
    <row r="36">
      <c r="A36" s="10" t="inlineStr">
        <is>
          <t>REG-13</t>
        </is>
      </c>
      <c r="B36" s="11" t="inlineStr">
        <is>
          <t>Registry and administration</t>
        </is>
      </c>
      <c r="C36" s="11" t="inlineStr">
        <is>
          <t>Register a data source, make somebody accountable, edit and suspend it</t>
        </is>
      </c>
      <c r="D36" s="11" t="inlineStr">
        <is>
          <t>Data sources - Register source / Assign / Edit / Suspend</t>
        </is>
      </c>
      <c r="E36" s="11" t="inlineStr">
        <is>
          <t>DPO (dpo@cmp.local)</t>
        </is>
      </c>
      <c r="F36" s="11" t="inlineStr">
        <is>
          <t>High</t>
        </is>
      </c>
      <c r="G36" s="11" t="inlineStr">
        <is>
          <t>Positive</t>
        </is>
      </c>
      <c r="H36" s="11" t="inlineStr">
        <is>
          <t>Core</t>
        </is>
      </c>
      <c r="I36" s="11" t="inlineStr">
        <is>
          <t>- No data source with code SRC-UAT-01 exists.
- Seeded processor SEED is Active; Arun Shetty (dco@cmp.local) is an active DCO.</t>
        </is>
      </c>
      <c r="J36" s="11" t="inlineStr">
        <is>
          <t>- Code: SRC-UAT-01; Name: UAT Rig 01; Role: Collection; Exchange mode: Manual upload
- Identifier scheme: uat-local; Operated by: SEED; Authoritative for: Name
- Accountable: Arun Shetty · dco@cmp.local
- New name on edit: UAT Rig 01 renamed</t>
        </is>
      </c>
      <c r="K36"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In the sidebar under 'Registry' click 'Data sources', then 'Register source'.
3. Enter the test data (Operated by 'SEED'; tick 'Name' under 'Authoritative for') and click 'Register source'.
4. Tick the filter 'Nobody accountable', then search 'SRC-UAT-01'.
5. Click 'Assign'.
6. Choose 'Arun Shetty · dco@cmp.local' and click 'Assign'.
7. Click 'Edit'. In 'Edit data source' note that Code, Role, Exchange mode and Operated by cannot be changed. Change 'Name' to 'UAT Rig 01 renamed' and click 'Save changes'.
8. Click 'Suspend' on the row.</t>
        </is>
      </c>
      <c r="L36" s="11" t="inlineStr">
        <is>
          <t>1. The Dashboard opens. The top-right corner of the header shows 'Priya Menon' with the role badge 'DPO'.
2. A dialog 'Register a data source' opens with Code, Name, Role, Exchange mode, Identifier scheme, Operated by and 'Authoritative for' tick boxes.
3. 'Source registered' appears.
4. UAT Rig 01 (SRC-UAT-01) is listed with Processor 'SEED', Accountable 'nobody yet', Role 'Collection', Exchange 'Manual upload', Authoritative for 'Name', Status 'Active', and buttons 'Assign', 'Edit', 'Suspend'.
5. A dialog 'Who is accountable for UAT Rig 01?' opens with a 'Data Collection Owner' drop-down (third-party source, so a DCO is accountable).
6. 'Source assigned' appears with 'No project is currently collecting from it.' Untick 'Nobody accountable': the row now shows Accountable 'Arun Shetty' and the button reads 'Reassign'.
7. 'Source updated' appears and the row shows the new name.
8. 'Source suspended' appears: 'Imports from UAT Rig 01 renamed are now refused.' Status is 'Suspended' and the 'Reassign' and 'Suspend' buttons are gone.</t>
        </is>
      </c>
      <c r="M36" s="11" t="inlineStr">
        <is>
          <t>A data source is registered with its operator and authoritative fields, a DCO is made accountable, its name can be edited (structural fields locked), and it can be suspended.</t>
        </is>
      </c>
      <c r="N36" s="16" t="n"/>
      <c r="O36" s="17" t="n"/>
      <c r="P36" s="16" t="inlineStr">
        <is>
          <t>Not run</t>
        </is>
      </c>
      <c r="Q36" s="16" t="n"/>
      <c r="R36" s="16" t="n"/>
    </row>
    <row r="37">
      <c r="A37" s="10" t="inlineStr">
        <is>
          <t>REG-14</t>
        </is>
      </c>
      <c r="B37" s="11" t="inlineStr">
        <is>
          <t>Registry and administration</t>
        </is>
      </c>
      <c r="C37" s="11" t="inlineStr">
        <is>
          <t>A DCO registers a data source only under a third party's processor</t>
        </is>
      </c>
      <c r="D37" s="11" t="inlineStr">
        <is>
          <t>Data sources - Register source (collection owner)</t>
        </is>
      </c>
      <c r="E37" s="11" t="inlineStr">
        <is>
          <t>Data Collection Owner (dco@cmp.local)</t>
        </is>
      </c>
      <c r="F37" s="11" t="inlineStr">
        <is>
          <t>Medium</t>
        </is>
      </c>
      <c r="G37" s="11" t="inlineStr">
        <is>
          <t>Positive</t>
        </is>
      </c>
      <c r="H37" s="11" t="inlineStr">
        <is>
          <t>Core</t>
        </is>
      </c>
      <c r="I37" s="11" t="inlineStr">
        <is>
          <t>- No data source with code SRC-UAT-02 exists.
- Processors SEED (third party) and SRIB (in-house) are Active.</t>
        </is>
      </c>
      <c r="J37" s="11" t="inlineStr">
        <is>
          <t>- Code: SRC-UAT-02; Name: UAT Rig 02; Role: Collection; Exchange mode: File import; Operated by: SEED</t>
        </is>
      </c>
      <c r="K37" s="11" t="inlineStr">
        <is>
          <t>1. 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
2. Click 'Data sources' in the sidebar.
3. Click 'Register source' and open the 'Operated by' drop-down.
4. Enter the test data, choosing 'SEED' in 'Operated by', and click 'Register source'.
5. Search 'SRC-UAT-02'.
6. Look for the sidebar entry 'Processors'.</t>
        </is>
      </c>
      <c r="L37" s="11" t="inlineStr">
        <is>
          <t>1. The Dashboard opens. The top-right corner of the header shows 'Arun Shetty' with the role badge 'Data Collection Owner'.
2. The 'Data sources' page opens with a 'Register source' button. Rows show no 'Edit', 'Suspend' or 'Assign' buttons for this role.
3. 'Operated by' is marked required and starts at 'Choose a processor…'. It lists third-party processors (e.g. SEED, Pune Motion Lab Pvt Ltd) but NOT the in-house SRIB.
4. 'Source registered' appears.
5. UAT Rig 02 is listed with Processor 'SEED' and Status 'Active'.
6. There is no 'Processors' entry for a DCO (the processor register is kept by the DPO and Administrator).</t>
        </is>
      </c>
      <c r="M37" s="11" t="inlineStr">
        <is>
          <t>A DCO can register a source but only under a third-party processor, and cannot edit, suspend or assign sources.</t>
        </is>
      </c>
      <c r="N37" s="16" t="n"/>
      <c r="O37" s="17" t="n"/>
      <c r="P37" s="16" t="inlineStr">
        <is>
          <t>Not run</t>
        </is>
      </c>
      <c r="Q37" s="16" t="n"/>
      <c r="R37" s="16" t="n"/>
    </row>
    <row r="38">
      <c r="A38" s="10" t="inlineStr">
        <is>
          <t>REG-15</t>
        </is>
      </c>
      <c r="B38" s="11" t="inlineStr">
        <is>
          <t>Registry and administration</t>
        </is>
      </c>
      <c r="C38" s="11" t="inlineStr">
        <is>
          <t>DPO lists a restricted country with its notification, is stopped from listing it twice, and lifts it</t>
        </is>
      </c>
      <c r="D38" s="11" t="inlineStr">
        <is>
          <t>Processors - Restricted countries (s.16)</t>
        </is>
      </c>
      <c r="E38" s="11" t="inlineStr">
        <is>
          <t>DPO (dpo@cmp.local)</t>
        </is>
      </c>
      <c r="F38" s="11" t="inlineStr">
        <is>
          <t>High</t>
        </is>
      </c>
      <c r="G38" s="11" t="inlineStr">
        <is>
          <t>Positive</t>
        </is>
      </c>
      <c r="H38" s="11" t="inlineStr">
        <is>
          <t>S2-04</t>
        </is>
      </c>
      <c r="I38" s="11" t="inlineStr">
        <is>
          <t>- Fiji (FJ) is not currently on the restricted list.
- Nobody is running an export during this test (the list applies to every export).</t>
        </is>
      </c>
      <c r="J38" s="11" t="inlineStr">
        <is>
          <t>- Country: fj (lower case on purpose)
- Notification: UAT G.S.R. 001(E)</t>
        </is>
      </c>
      <c r="K38"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Click 'Processors' and scroll below the list of processors.
3. Type 'fj' in 'Country' only, leaving 'Notification' empty.
4. Type 'UAT G.S.R. 001(E)' in 'Notification' and click 'Restrict'.
5. Type 'FJ' in 'Country' and 'UAT G.S.R. 002(E)' in 'Notification' and click 'Restrict' again.
6. Click 'Lift' next to FJ.
7. Ask the test coordinator (or an Administrator/DPO via 'Audit trail') to confirm the restriction and the lift were recorded.</t>
        </is>
      </c>
      <c r="L38" s="11" t="inlineStr">
        <is>
          <t>1. The Dashboard opens. The top-right corner of the header shows 'Priya Menon' with the role badge 'DPO'.
2. A card 'Restricted countries (s.16)' is shown, explaining exports to a processor in a listed country are refused. It lists current restrictions or says 'No country is restricted.' It has 'Country' and 'Notification' fields and a 'Restrict' button.
3. The 'Restrict' button stays disabled until a notification is entered.
4. 'Country restricted' appears: 'Exports whose rows would go there are refused from now on.' The list shows 'FJ' (in capitals), 'UAT G.S.R. 001(E)', 'since &lt;today&gt;' and a 'Lift' button. The fields are cleared.
5. A red message 'Not restricted' appears: 'FJ is already restricted'. FJ is still listed once.
6. 'FJ lifted' appears: 'Exports there are judged by the purposes again.' FJ is removed from the card.
7. Both the restriction and the lift of FJ appear in the audit trail, attributed to Priya Menon.</t>
        </is>
      </c>
      <c r="M38" s="11" t="inlineStr">
        <is>
          <t>The DPO can list a country with its notification (stored in capitals), a second active listing of the same country is refused, and the restriction can be lifted.</t>
        </is>
      </c>
      <c r="N38" s="16" t="n"/>
      <c r="O38" s="17" t="n"/>
      <c r="P38" s="16" t="inlineStr">
        <is>
          <t>Not run</t>
        </is>
      </c>
      <c r="Q38" s="16" t="n"/>
      <c r="R38" s="16" t="n"/>
    </row>
    <row r="39">
      <c r="A39" s="10" t="inlineStr">
        <is>
          <t>REG-16</t>
        </is>
      </c>
      <c r="B39" s="11" t="inlineStr">
        <is>
          <t>Registry and administration</t>
        </is>
      </c>
      <c r="C39" s="11" t="inlineStr">
        <is>
          <t>India cannot be restricted, bad country codes are refused, and only the DPO sees the restricted list</t>
        </is>
      </c>
      <c r="D39" s="11" t="inlineStr">
        <is>
          <t>Processors - Restricted countries (s.16) access and validation</t>
        </is>
      </c>
      <c r="E39" s="11" t="inlineStr">
        <is>
          <t>DPO, Administrator, R&amp;D User</t>
        </is>
      </c>
      <c r="F39" s="11" t="inlineStr">
        <is>
          <t>High</t>
        </is>
      </c>
      <c r="G39" s="11" t="inlineStr">
        <is>
          <t>Negative</t>
        </is>
      </c>
      <c r="H39" s="11" t="inlineStr">
        <is>
          <t>S2-04</t>
        </is>
      </c>
      <c r="I39" s="11" t="inlineStr">
        <is>
          <t>- Seeded accounts dpo@cmp.local, admin@cmp.local and rnd@cmp.local are active.</t>
        </is>
      </c>
      <c r="J39" s="11" t="inlineStr">
        <is>
          <t>- Country: IN; Notification: UAT G.S.R. 003(E)
- Invalid country: 1A; Notification: UAT G.S.R. 004(E)</t>
        </is>
      </c>
      <c r="K39" s="11" t="inlineStr">
        <is>
          <t>1.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2. On 'Processors', in 'Restricted countries (s.16)', type 'IN' in 'Country' and 'UAT G.S.R. 003(E)' in 'Notification'. Click 'Restrict'.
3. Change 'Country' to '1A', 'Notification' to 'UAT G.S.R. 004(E)', and click 'Restrict'.
4. Click 'Sign out' at the bottom of the left-hand sidebar.
5.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6. Click 'Processors' and scroll to the bottom of the page.
7. Click 'Sign out' at the bottom of the left-hand sidebar.
8. 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
9. Click 'Processors' and scroll to the bottom of the page.</t>
        </is>
      </c>
      <c r="L39" s="11" t="inlineStr">
        <is>
          <t>1. The Dashboard opens. The top-right corner of the header shows 'Priya Menon' with the role badge 'DPO'.
2. A red message 'Not restricted' appears: 'India cannot be restricted for transfers out of India'. IN is not added to the list.
3. A red 'Not restricted' message appears refusing the code; nothing is added to the list.
4. You are returned to the 'Sign in' page.
5. The Dashboard opens. The top-right corner of the header shows 'System Admin' with the role badge 'Administrator'.
6. The processor list and 'Register processor' button are shown, but there is NO 'Restricted countries (s.16)' card.
7. You are returned to the 'Sign in' page.
8. The Dashboard opens. The top-right corner of the header shows 'Kavya Rao' with the role badge 'R&amp;D User'.
9. The processor list is read-only (no 'Register processor', 'Edit' or 'Suspend'), and there is NO 'Restricted countries (s.16)' card.</t>
        </is>
      </c>
      <c r="M39" s="11" t="inlineStr">
        <is>
          <t>India and malformed codes are refused; the restricted-country card is visible and usable only by the DPO.</t>
        </is>
      </c>
      <c r="N39" s="16" t="n"/>
      <c r="O39" s="17" t="n"/>
      <c r="P39" s="16" t="inlineStr">
        <is>
          <t>Not run</t>
        </is>
      </c>
      <c r="Q39" s="16" t="n"/>
      <c r="R39" s="16" t="n"/>
    </row>
    <row r="40">
      <c r="A40" s="10" t="inlineStr">
        <is>
          <t>REG-17</t>
        </is>
      </c>
      <c r="B40" s="11" t="inlineStr">
        <is>
          <t>Registry and administration</t>
        </is>
      </c>
      <c r="C40" s="11" t="inlineStr">
        <is>
          <t>The office rewords the staff invitation email, previews, saves and resets it</t>
        </is>
      </c>
      <c r="D40" s="11" t="inlineStr">
        <is>
          <t>Message templates - edit the words of a message</t>
        </is>
      </c>
      <c r="E40" s="11" t="inlineStr">
        <is>
          <t>Administrator (admin@cmp.local)</t>
        </is>
      </c>
      <c r="F40" s="11" t="inlineStr">
        <is>
          <t>Medium</t>
        </is>
      </c>
      <c r="G40" s="11" t="inlineStr">
        <is>
          <t>Positive</t>
        </is>
      </c>
      <c r="H40" s="11" t="inlineStr">
        <is>
          <t>Core</t>
        </is>
      </c>
      <c r="I40" s="11" t="inlineStr">
        <is>
          <t>- The 'Staff account invitation' message is on its default words (badge 'Default words').</t>
        </is>
      </c>
      <c r="J40" s="11" t="inlineStr">
        <is>
          <t>- Line to add at the end of the Body: 'UAT check: welcome aboard, {full_name}.'</t>
        </is>
      </c>
      <c r="K40" s="11" t="inlineStr">
        <is>
          <t>1.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2. In the sidebar under 'Your work' click 'Message templates'.
3. Under 'Sign-in' find the card 'Staff account invitation'.
4. Click at the end of 'Body', press Enter twice and type 'UAT check: welcome aboard, '. Then click the variable chip '{full_name}' and type '.'
5. Click 'Preview'.
6. Click 'Save'.
7. Click 'Reset to default'.
8. Click 'Yes, use the default words'.</t>
        </is>
      </c>
      <c r="L40" s="11" t="inlineStr">
        <is>
          <t>1. The Dashboard opens. The top-right corner of the header shows 'System Admin' with the role badge 'Administrator'.
2. The 'Message templates' page opens with messages grouped under the headings 'Sign-in', 'Consent', 'Rights', 'Staff', 'Breach', 'Projects' and 'Accounts', in that order.
3. The card has no 'Copy to' box: a line with a padlock reads 'Never copied: it carries a code or a link, or a person's own record, and a copy would hand it to somebody else.' Below it are a 'Default words' badge, a 'Subject' field, a 'Body' field, the list 'Variables this message can use (click to insert)' (including {full_name}, {code}, {reset_url}) and the buttons 'Save' (disabled) and 'Preview'.
4. The text '{full_name}' is inserted where the cursor was. The 'Save' button becomes enabled.
5. A 'Preview, with sample values' box shows the email with sample values filled in, ending 'UAT check: welcome aboard, Asha Rao.'
6. 'Words saved' appears ('Staff account invitation (Email) now sends what you wrote.'). The card now shows a 'Customised' badge 'by System Admin on &lt;today&gt;'.
7. Two buttons appear: 'Yes, use the default words' and 'Keep mine'.
8. 'Back to the default' appears. The card shows 'Default words' again and the added line is gone.</t>
        </is>
      </c>
      <c r="M40" s="11" t="inlineStr">
        <is>
          <t>The office can reword a message using the offered variables, preview it with sample values, save it (shown as Customised with who/when), and return to the default words.</t>
        </is>
      </c>
      <c r="N40" s="16" t="n"/>
      <c r="O40" s="17" t="n"/>
      <c r="P40" s="16" t="inlineStr">
        <is>
          <t>Not run</t>
        </is>
      </c>
      <c r="Q40" s="16" t="n"/>
      <c r="R40" s="16" t="n"/>
    </row>
    <row r="41">
      <c r="A41" s="10" t="inlineStr">
        <is>
          <t>REG-18</t>
        </is>
      </c>
      <c r="B41" s="11" t="inlineStr">
        <is>
          <t>Registry and administration</t>
        </is>
      </c>
      <c r="C41" s="11" t="inlineStr">
        <is>
          <t>A message that uses a variable it does not provide is refused</t>
        </is>
      </c>
      <c r="D41" s="11" t="inlineStr">
        <is>
          <t>Message templates - variable check</t>
        </is>
      </c>
      <c r="E41" s="11" t="inlineStr">
        <is>
          <t>DPO (dpo@cmp.local)</t>
        </is>
      </c>
      <c r="F41" s="11" t="inlineStr">
        <is>
          <t>Medium</t>
        </is>
      </c>
      <c r="G41" s="11" t="inlineStr">
        <is>
          <t>Negative</t>
        </is>
      </c>
      <c r="H41" s="11" t="inlineStr">
        <is>
          <t>Core</t>
        </is>
      </c>
      <c r="I41" s="11" t="inlineStr">
        <is>
          <t>- Tester is signed in as dpo@cmp.local.
- The 'Staff sign-in code' message is on its default words.</t>
        </is>
      </c>
      <c r="J41" s="11" t="inlineStr">
        <is>
          <t>- Body: 'Dear {full_name}, your code is {code}.'</t>
        </is>
      </c>
      <c r="K41" s="11" t="inlineStr">
        <is>
          <t>1. In the sidebar under 'Oversight' click 'Message templates' and find the card 'Staff sign-in code' under 'Sign-in'.
2. Replace the whole 'Body' with 'Dear {full_name}, your code is {code}.' and click 'Save'.
3. Change the 'Body' to 'Your code is {code}.' (only an allowed variable) and click 'Preview' - do NOT click 'Save'.
4. Reload the page and look at the 'Staff sign-in code' card.</t>
        </is>
      </c>
      <c r="L41" s="11" t="inlineStr">
        <is>
          <t>1. The card shows the line 'Never copied: it carries a code or a link, or a person's own record, and a copy would hand it to somebody else.' (no 'Copy to' box), then its 'Subject', 'Body' and the variables it can use. {full_name} is NOT in its variable list.
2. The words are not saved. A red message in the card refuses the save, naming {full_name} and listing the variables that are allowed (including {code}).
3. The red message goes away and 'Preview, with sample values' shows 'Your code is 482913.' (a sample code).
4. It still shows 'Default words' and the original body.</t>
        </is>
      </c>
      <c r="M41" s="11" t="inlineStr">
        <is>
          <t>A save naming a variable the message does not provide is refused with a message that names it, and the stored words are unchanged.</t>
        </is>
      </c>
      <c r="N41" s="16" t="n"/>
      <c r="O41" s="17" t="n"/>
      <c r="P41" s="16" t="inlineStr">
        <is>
          <t>Not run</t>
        </is>
      </c>
      <c r="Q41" s="16" t="n"/>
      <c r="R41" s="16" t="n"/>
    </row>
    <row r="42">
      <c r="A42" s="10" t="inlineStr">
        <is>
          <t>REG-19</t>
        </is>
      </c>
      <c r="B42" s="11" t="inlineStr">
        <is>
          <t>Registry and administration</t>
        </is>
      </c>
      <c r="C42" s="11" t="inlineStr">
        <is>
          <t>A Data Collection Owner delegates their work to a colleague for a period and ends it</t>
        </is>
      </c>
      <c r="D42" s="11" t="inlineStr">
        <is>
          <t>Delegations - Delegate my work</t>
        </is>
      </c>
      <c r="E42" s="11" t="inlineStr">
        <is>
          <t>Data Collection Owner (dco@cmp.local), colleague UAT DCO 01, DPO</t>
        </is>
      </c>
      <c r="F42" s="11" t="inlineStr">
        <is>
          <t>Medium</t>
        </is>
      </c>
      <c r="G42" s="11" t="inlineStr">
        <is>
          <t>Positive</t>
        </is>
      </c>
      <c r="H42" s="11" t="inlineStr">
        <is>
          <t>Core</t>
        </is>
      </c>
      <c r="I42" s="11" t="inlineStr">
        <is>
          <t>- REG-01 and REG-02 completed: UAT DCO 01 (uat.dco01@cmp.local, password UatPassw0rd!2026) is an Active Data Collection Owner.
- Arun Shetty has no live delegation.</t>
        </is>
      </c>
      <c r="J42" s="11" t="inlineStr">
        <is>
          <t>- Who takes over: UAT DCO 01 · uat.dco01@cmp.local
- Until: 7 days from today
- Why: UAT - annual leave cover</t>
        </is>
      </c>
      <c r="K42" s="11" t="inlineStr">
        <is>
          <t>1. 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
2. In the sidebar under 'Oversight' click 'Delegations'.
3. Click 'Delegate my work' and open the 'Who takes over' drop-down.
4. Choose UAT DCO 01, set 'Until' to 7 days from today, type 'UAT - annual leave cover' in 'Why' and click 'Delegate'.
5. Click 'Sign out' at the bottom of the left-hand sidebar.
6. Open http://localhost:3000. On the 'Sign in' page type uat.dco01@cmp.local in 'Email or username' and UatPassw0rd!2026 in 'Password', then click 'Sign in'. On the 'Verify it is you' page, ask the test coordinator for the sign-in code sent to uat.dco01@cmp.local (from the test outbox), type it in '6-digit code' and click 'Verify and continue'.
7. Click 'Delegations' in the sidebar.
8. Click 'Sign out' at the bottom of the left-hand sidebar.
9. 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
10. Click 'Delegations' and click 'End now' on the UAT DCO 01 arrangement.</t>
        </is>
      </c>
      <c r="L42" s="11" t="inlineStr">
        <is>
          <t>1. The Dashboard opens. The top-right corner of the header shows 'Arun Shetty' with the role badge 'Data Collection Owner'.
2. The 'Delegations' page opens with a 'Delegate my work' button and the cards 'My delegations' ('You have not delegated your work to anybody') and 'Work delegated to me'.
3. A dialog 'Delegate my work' opens. 'Who takes over' lists colleagues in the same role, including 'UAT DCO 01 · uat.dco01@cmp.local'.
4. 'Work delegated' appears. 'My delegations' lists UAT DCO 01 with 'until &lt;date&gt;' and the quoted reason, and an 'End now' button.
5. You are returned to the 'Sign in' page.
6. The Dashboard opens. The top-right corner of the header shows 'UAT DCO 01' with the role badge 'Data Collection Owner'.
7. 'Work delegated to me' lists Arun Shetty with the end date.
8. You are returned to the 'Sign in' page.
9. The Dashboard opens. The top-right corner of the header shows 'Arun Shetty' with the role badge 'Data Collection Owner'.
10. 'Delegation ended' appears. The arrangement is no longer live (marked 'ended' or removed, with no 'End now' button).</t>
        </is>
      </c>
      <c r="M42" s="11" t="inlineStr">
        <is>
          <t>A DCO can delegate to a same-role colleague for a set period with a reason; the colleague sees it under 'Work delegated to me'; either party can end it.</t>
        </is>
      </c>
      <c r="N42" s="16" t="n"/>
      <c r="O42" s="17" t="n"/>
      <c r="P42" s="16" t="inlineStr">
        <is>
          <t>Not run</t>
        </is>
      </c>
      <c r="Q42" s="16" t="n"/>
      <c r="R42" s="16" t="n"/>
    </row>
    <row r="43">
      <c r="A43" s="10" t="inlineStr">
        <is>
          <t>REG-20</t>
        </is>
      </c>
      <c r="B43" s="11" t="inlineStr">
        <is>
          <t>Registry and administration</t>
        </is>
      </c>
      <c r="C43" s="11" t="inlineStr">
        <is>
          <t>Delegation is not offered where it does not apply</t>
        </is>
      </c>
      <c r="D43" s="11" t="inlineStr">
        <is>
          <t>Delegations - access by role</t>
        </is>
      </c>
      <c r="E43" s="11" t="inlineStr">
        <is>
          <t>R&amp;D User, Administrator, DPO</t>
        </is>
      </c>
      <c r="F43" s="11" t="inlineStr">
        <is>
          <t>Low</t>
        </is>
      </c>
      <c r="G43" s="11" t="inlineStr">
        <is>
          <t>Negative</t>
        </is>
      </c>
      <c r="H43" s="11" t="inlineStr">
        <is>
          <t>Core</t>
        </is>
      </c>
      <c r="I43" s="11" t="inlineStr">
        <is>
          <t>- Only one DPO account (dpo@cmp.local) exists.
- Seeded accounts rnd@cmp.local and admin@cmp.local are active.</t>
        </is>
      </c>
      <c r="J43" s="11" t="inlineStr">
        <is>
          <t>- Direct address: http://localhost:3000/delegate</t>
        </is>
      </c>
      <c r="K43" s="11" t="inlineStr">
        <is>
          <t>1. 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
2. Look through the sidebar, then open http://localhost:3000/delegate directly.
3. Click 'Sign out' at the bottom of the left-hand sidebar.
4.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5. Under 'Oversight' click 'Delegations'.
6. Click 'Sign out' at the bottom of the left-hand sidebar.
7. 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
8. Under 'Oversight' click 'Delegations', then 'Delegate my work'.</t>
        </is>
      </c>
      <c r="L43" s="11" t="inlineStr">
        <is>
          <t>1. The Dashboard opens. The top-right corner of the header shows 'Kavya Rao' with the role badge 'R&amp;D User'.
2. There is no 'Delegations' entry; the address shows 'Not part of your account' with 'Back to your dashboard'.
3. You are returned to the 'Sign in' page.
4. The Dashboard opens. The top-right corner of the header shows 'System Admin' with the role badge 'Administrator'.
5. The page shows NO 'Delegate my work' button; a blue note explains delegation applies to roles whose access is defined by assignment. An 'Everyone, right now' card shows live arrangements across the organisation (or 'No delegation is in place').
6. You are returned to the 'Sign in' page.
7. The Dashboard opens. The top-right corner of the header shows 'Priya Menon' with the role badge 'DPO'.
8. The dialog shows 'There is nobody else in your role to delegate to…'. 'Who takes over' is disabled and the 'Delegate' button cannot be clicked.</t>
        </is>
      </c>
      <c r="M43" s="11" t="inlineStr">
        <is>
          <t>R&amp;D Users cannot reach Delegations, the Administrator can only oversee (not arrange), and a DPO with no same-role colleague cannot delegate.</t>
        </is>
      </c>
      <c r="N43" s="16" t="n"/>
      <c r="O43" s="17" t="n"/>
      <c r="P43" s="16" t="inlineStr">
        <is>
          <t>Not run</t>
        </is>
      </c>
      <c r="Q43" s="16" t="n"/>
      <c r="R43" s="16" t="n"/>
    </row>
    <row r="44">
      <c r="A44" s="10" t="inlineStr">
        <is>
          <t>REG-21</t>
        </is>
      </c>
      <c r="B44" s="11" t="inlineStr">
        <is>
          <t>Registry and administration</t>
        </is>
      </c>
      <c r="C44" s="11" t="inlineStr">
        <is>
          <t>The office copies a message to up to five addresses; codes and links are never copied</t>
        </is>
      </c>
      <c r="D44" s="11" t="inlineStr">
        <is>
          <t>Message templates - Copy to</t>
        </is>
      </c>
      <c r="E44" s="11" t="inlineStr">
        <is>
          <t>Administrator (admin@cmp.local)</t>
        </is>
      </c>
      <c r="F44" s="11" t="inlineStr">
        <is>
          <t>Medium</t>
        </is>
      </c>
      <c r="G44" s="11" t="inlineStr">
        <is>
          <t>Positive</t>
        </is>
      </c>
      <c r="H44" s="11" t="inlineStr">
        <is>
          <t>Core</t>
        </is>
      </c>
      <c r="I44" s="11" t="inlineStr">
        <is>
          <t>- REG-01 and REG-02 completed: UAT DCO 01 (uat.dco01@cmp.local) is an Active Data Collection Owner, and no delegation to or from it is live (REG-19 ended).
- The 'Your role has changed' message is copied to nobody (its 'Copy to' box is empty).
- The background worker is running, so emails reach the test outbox, and the test coordinator can read the outbox.</t>
        </is>
      </c>
      <c r="J44" s="11" t="inlineStr">
        <is>
          <t>- Six addresses: uat.copy01@example.org, uat.copy02@example.org, uat.copy03@example.org, uat.copy04@example.org, uat.copy05@example.org, uat.copy06@example.org
- A badly formed address: not-an-address
- Role change for UAT DCO 01: to 'DCO Admin', then back to 'Data Collection Owner'; Reason: UAT - copy check</t>
        </is>
      </c>
      <c r="K44" s="11" t="inlineStr">
        <is>
          <t>1. 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
2. In the sidebar under 'Your work' click 'Message templates'. Under 'Sign-in' look at the cards 'Staff sign-in code', 'Password reset code' and 'Staff account invitation'.
3. Scroll to the heading 'Accounts' and find the card 'Your role has changed'.
4. In 'Copy to' type the six addresses from the test data, one per line.
5. Delete the sixth line (uat.copy06@example.org) and replace the second line with not-an-address. Click 'Save copies'.
6. Reload the page and find the 'Your role has changed' card again.
7. Type uat.copy01@example.org and uat.copy02@example.org in 'Copy to', one per line, and click 'Save copies'. Reload the page.
8. Click 'Users', type uat.dco01@cmp.local in 'Search' and click 'Search'. Click 'Role' on the UAT DCO 01 row. In the 'Change role' dialog choose 'DCO Admin' in 'New role', type 'UAT - copy check' in 'Reason' and click 'Change role'.
9. Ask the test coordinator for the newest email to uat.dco01@cmp.local in the test outbox.
10. Back on 'Users', click 'Role' on the UAT DCO 01 row again, choose 'Data Collection Owner' in 'New role' and click 'Change role'.
11. Return to 'Message templates', clear the 'Copy to' box of 'Your role has changed' and click 'Save copies'.
12. Click 'Audit trail'. In 'Area' choose 'Messages' and in 'Event' choose 'Copies updated'. Click the newest row, then 'Show raw JSON'.</t>
        </is>
      </c>
      <c r="L44" s="11" t="inlineStr">
        <is>
          <t>1. The Dashboard opens. The top-right corner of the header shows 'System Admin' with the role badge 'Administrator'.
2. None of the three has a 'Copy to' box. Each shows, with a padlock, the line 'Never copied: it carries a code or a link, or a person's own record, and a copy would hand it to somebody else.' A code or a link is never copied.
3. The card shows a 'Copy to' box with the hint 'Email only. Up to 5 addresses, one per line - a team mailbox, an approvals inbox. Each copy gets the same email, in Cc.' The box is empty (grey example approvals@example.org) and the 'Save copies' button is greyed out.
4. 'Save copies' stays greyed out: more than five addresses cannot be saved.
5. A red message 'Not saved' reads 'Not an email address: not-an-address'. Nothing is saved.
6. 'Copy to' is empty again: the refused list was not kept.
7. A green message 'Copied to 2 addresses' appears. After the reload the card's 'Copy to' box still lists both addresses.
8. A green message 'Role changed' appears and the row shows Role 'DCO Admin'.
9. The coordinator finds one email whose subject ends 'console role is now DCO Admin', saying the role changed from Data Collection Owner to DCO Admin. Directly under its 'to:' line, a 'cc:' line lists uat.copy01@example.org and uat.copy02@example.org: the copies went with the same email, not as separate messages.
10. 'Role changed' appears and the row shows Role 'Data Collection Owner' again (this email is copied too).
11. A green message 'No longer copied' appears and the box stays empty after a reload.
12. The two newest rows are 'Message template copies updated' by 'System Admin' with the 'Administrator' badge, timed at the two saves (the refused save is not there). The newest one's details name the message ("message": "staff_role_changed") and how many addresses it is copied to ("copies": 0); no email address appears anywhere in the entry.</t>
        </is>
      </c>
      <c r="M44" s="11" t="inlineStr">
        <is>
          <t>A copyable message is copied to at most five valid addresses - six or a malformed one are refused and nothing is kept; the copies travel in Cc on the same email; messages carrying a code or a link offer no 'Copy to' at all; every saved change is audited by count, never by address.</t>
        </is>
      </c>
      <c r="N44" s="16" t="n"/>
      <c r="O44" s="17" t="n"/>
      <c r="P44" s="16" t="inlineStr">
        <is>
          <t>Not run</t>
        </is>
      </c>
      <c r="Q44" s="16" t="n"/>
      <c r="R44" s="16" t="n"/>
    </row>
    <row r="45">
      <c r="A45" s="10" t="inlineStr">
        <is>
          <t>PRJ-01</t>
        </is>
      </c>
      <c r="B45" s="11" t="inlineStr">
        <is>
          <t>Projects, notices and links</t>
        </is>
      </c>
      <c r="C45" s="11" t="inlineStr">
        <is>
          <t>R&amp;D User registers a new project naming a third-party and an in-house collector</t>
        </is>
      </c>
      <c r="D45" s="11" t="inlineStr">
        <is>
          <t>Register a project</t>
        </is>
      </c>
      <c r="E45" s="11" t="inlineStr">
        <is>
          <t>R&amp;D User</t>
        </is>
      </c>
      <c r="F45" s="11" t="inlineStr">
        <is>
          <t>High</t>
        </is>
      </c>
      <c r="G45" s="11" t="inlineStr">
        <is>
          <t>Positive</t>
        </is>
      </c>
      <c r="H45" s="11" t="inlineStr">
        <is>
          <t>Core</t>
        </is>
      </c>
      <c r="I45" s="11" t="inlineStr">
        <is>
          <t>-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No project named 'UAT Study 01' exists yet (search for it first).</t>
        </is>
      </c>
      <c r="J45" s="11" t="inlineStr">
        <is>
          <t>- Project name: UAT Study 01
- Description: Gait video and facial images collected at partner and in-house labs for UAT.
- Internal name: UAT-01
- Requesting team: Computer Vision
- Processors: SEED (collected by a third party) and SRIB (collected in-house)</t>
        </is>
      </c>
      <c r="K45" s="11" t="inlineStr">
        <is>
          <t>1. In the left sidebar click 'Projects'.
2. Click 'Register a project'.
3. Type the Project name, Description, Internal name and Requesting team from the test data.
4. Under 'Who will collect', tick 'SEED' (collected by a third party).
5. Also tick 'SRIB' (collected in-house).
6. Click 'Register project'.
7. Look at the page that opens.
8. Look at the 'Details' card at the top right, beside 'What happens next'.
9. Look at the tabs under it, then click 'Setup' and look at the 'Who is collecting' card.
10. Click 'All projects' at the top of the page.</t>
        </is>
      </c>
      <c r="L45" s="11" t="inlineStr">
        <is>
          <t>1. The 'Projects' page opens with the columns Project, Status, Data Collection Owner, Created by, Updated, and a 'Register a project' button at the top right.
2. A dialog titled 'Register a project' opens with the fields 'Project name', 'Description', 'Internal name', 'Requesting team' and a 'Who will collect' section listing processors as tick boxes (each marked 'collected in-house' or 'collected by a third party').
3. The text appears in each field; no error messages are shown.
4. A blue note appears: 'Once the DPO approves this, the DCO Admin assigns the data sources for the third-party collection.'
5. The note now covers both: '...the DCO Admin assigns the data sources for the third-party collection, and it comes back to you to name the data sources and an R&amp;D Collection Owner.'
6. The dialog closes and a green toast 'Project registered' says 'It starts in draft. Attach a notice and an approval, then send it to the DPO.'
7. The project's own page opens with the heading 'UAT Study 01', status badge 'In Draft', and the progress bar showing In Draft &gt; Pending Approval &gt; Approved.
8. Internal name 'UAT-01', Requesting team 'Computer Vision', Data Collection Owner 'Not assigned', Created by 'Kavya Rao'.
9. The tabs read 'Overview' (selected), 'Setup', 'Consent', 'Collections &amp; exchanges' and 'Activity'. In 'Setup', SEED and SRIB are both listed with the chip 'approved'; SEED says 'collected by a third party' and SRIB says 'collected in-house'.
10. The Projects list shows 'UAT Study 01' with status 'In Draft' and Created by 'Kavya Rao'.</t>
        </is>
      </c>
      <c r="M45" s="11" t="inlineStr">
        <is>
          <t>The project is created in 'In Draft', names both processors, shows the right routing note before saving, and opens on its own page.</t>
        </is>
      </c>
      <c r="N45" s="16" t="n"/>
      <c r="O45" s="17" t="n"/>
      <c r="P45" s="16" t="inlineStr">
        <is>
          <t>Not run</t>
        </is>
      </c>
      <c r="Q45" s="16" t="n"/>
      <c r="R45" s="16" t="n"/>
    </row>
    <row r="46">
      <c r="A46" s="10" t="inlineStr">
        <is>
          <t>PRJ-02</t>
        </is>
      </c>
      <c r="B46" s="11" t="inlineStr">
        <is>
          <t>Projects, notices and links</t>
        </is>
      </c>
      <c r="C46" s="11" t="inlineStr">
        <is>
          <t>Registering a project with missing required information is refused field by field</t>
        </is>
      </c>
      <c r="D46" s="11" t="inlineStr">
        <is>
          <t>Register a project - validation</t>
        </is>
      </c>
      <c r="E46" s="11" t="inlineStr">
        <is>
          <t>R&amp;D User</t>
        </is>
      </c>
      <c r="F46" s="11" t="inlineStr">
        <is>
          <t>Medium</t>
        </is>
      </c>
      <c r="G46" s="11" t="inlineStr">
        <is>
          <t>Negative</t>
        </is>
      </c>
      <c r="H46" s="11" t="inlineStr">
        <is>
          <t>Core</t>
        </is>
      </c>
      <c r="I46" s="11" t="inlineStr">
        <is>
          <t>-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46" s="11" t="inlineStr">
        <is>
          <t>- Project name: UAT Incomplete 01
- Description: (leave blank, then fill) Test only</t>
        </is>
      </c>
      <c r="K46" s="11" t="inlineStr">
        <is>
          <t>1. Click 'Projects' in the sidebar, then 'Register a project'.
2. Leave every field empty and click 'Register project'.
3. Type 'UAT Incomplete 01' in 'Project name' and click 'Register project' again.
4. Type 'Test only' in 'Description', tick no processor, and click 'Register project'.
5. Click 'Cancel'.</t>
        </is>
      </c>
      <c r="L46" s="11" t="inlineStr">
        <is>
          <t>1. The 'Register a project' dialog opens.
2. The dialog stays open. Under 'Project name' the message 'A project name is required' appears, and under 'Description' the message 'Describe what this project collects and why' appears.
3. The dialog stays open; the name error is gone but 'Describe what this project collects and why' is still shown under 'Description'.
4. The dialog stays open and 'Choose at least one processor' appears under the 'Who will collect' list. No routing note is shown because nothing is ticked.
5. The dialog closes. 'UAT Incomplete 01' does NOT appear in the Projects list.</t>
        </is>
      </c>
      <c r="M46" s="11" t="inlineStr">
        <is>
          <t>No project is created while the name, description or at least one processor is missing, and each problem is shown next to its own field.</t>
        </is>
      </c>
      <c r="N46" s="16" t="n"/>
      <c r="O46" s="17" t="n"/>
      <c r="P46" s="16" t="inlineStr">
        <is>
          <t>Not run</t>
        </is>
      </c>
      <c r="Q46" s="16" t="n"/>
      <c r="R46" s="16" t="n"/>
    </row>
    <row r="47">
      <c r="A47" s="10" t="inlineStr">
        <is>
          <t>PRJ-03</t>
        </is>
      </c>
      <c r="B47" s="11" t="inlineStr">
        <is>
          <t>Projects, notices and links</t>
        </is>
      </c>
      <c r="C47" s="11" t="inlineStr">
        <is>
          <t>Submitting a fresh draft is blocked and the panel names every missing prerequisite</t>
        </is>
      </c>
      <c r="D47" s="11" t="inlineStr">
        <is>
          <t>Project transitions - blockers panel</t>
        </is>
      </c>
      <c r="E47" s="11" t="inlineStr">
        <is>
          <t>R&amp;D User</t>
        </is>
      </c>
      <c r="F47" s="11" t="inlineStr">
        <is>
          <t>High</t>
        </is>
      </c>
      <c r="G47" s="11" t="inlineStr">
        <is>
          <t>Negative</t>
        </is>
      </c>
      <c r="H47" s="11" t="inlineStr">
        <is>
          <t>Core</t>
        </is>
      </c>
      <c r="I47" s="11" t="inlineStr">
        <is>
          <t>- PRJ-01 completed (UAT Study 01 is In Draft with no notice and no approval).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47" s="11" t="inlineStr">
        <is>
          <t>- Project: UAT Study 01</t>
        </is>
      </c>
      <c r="K47" s="11" t="inlineStr">
        <is>
          <t>1. Click 'Projects' in the sidebar, type 'UAT Study 01' in 'Search' (the list updates as you type). Click 'UAT Study 01'.
2. Find the card titled 'What happens next'.
3. Read the warning lines under 'Moves the project to Pending Approval'.
4. Try to click the 'Submit for approval' button on that row.
5. Click the 'Setup' tab and look at the 'Notices' card.
6. Look at the 'Approvals' card.
7. Look at the buttons at the top of the page.</t>
        </is>
      </c>
      <c r="L47" s="11" t="inlineStr">
        <is>
          <t>1. The project page opens with status 'In Draft'.
2. It reads 'Currently In Draft. These are the moves your role can make from here.' and shows one row 'Moves the project to Pending Approval' with a 'Submit for approval' button.
3. All six missing items are listed at once, each with a warning icon: 'The project has no notice'; 'The notice has no purposes attached'; 'The notice is missing required Rule 3 elements'; 'The notice does not say who it applies to'; 'The notice has no text yet - add at least one language'; 'No approval with a proof file'.
4. The button is greyed out (disabled); nothing happens and the status stays 'In Draft'.
5. It shows 'No notice yet' with the buttons 'Upload a notice document', 'Copy an existing notice' and 'Use a notice template'. There is NO 'New notice' button.
6. It shows count 0, 'No approval uploaded', the text 'A security approval with its proof file is what unlocks the move to pending approval.' and an 'Upload an approval' button.
7. Only the status badge 'In Draft' and 'Edit' are shown. Adding a notice, an approval or a site is done on its own card in the tabs, not here.</t>
        </is>
      </c>
      <c r="M47" s="11" t="inlineStr">
        <is>
          <t>The submit button is disabled and every one of the six missing prerequisites is named together, not one at a time.</t>
        </is>
      </c>
      <c r="N47" s="16" t="n"/>
      <c r="O47" s="17" t="n"/>
      <c r="P47" s="16" t="inlineStr">
        <is>
          <t>Not run</t>
        </is>
      </c>
      <c r="Q47" s="16" t="n"/>
      <c r="R47" s="16" t="n"/>
    </row>
    <row r="48">
      <c r="A48" s="10" t="inlineStr">
        <is>
          <t>PRJ-04</t>
        </is>
      </c>
      <c r="B48" s="11" t="inlineStr">
        <is>
          <t>Projects, notices and links</t>
        </is>
      </c>
      <c r="C48" s="11" t="inlineStr">
        <is>
          <t>Uploading the notice template with placeholders still in it is refused</t>
        </is>
      </c>
      <c r="D48" s="11" t="inlineStr">
        <is>
          <t>Upload a notice document - validation</t>
        </is>
      </c>
      <c r="E48" s="11" t="inlineStr">
        <is>
          <t>R&amp;D User</t>
        </is>
      </c>
      <c r="F48" s="11" t="inlineStr">
        <is>
          <t>Medium</t>
        </is>
      </c>
      <c r="G48" s="11" t="inlineStr">
        <is>
          <t>Negative</t>
        </is>
      </c>
      <c r="H48" s="11" t="inlineStr">
        <is>
          <t>Core</t>
        </is>
      </c>
      <c r="I48" s="11" t="inlineStr">
        <is>
          <t>- PRJ-01 completed.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48" s="11" t="inlineStr">
        <is>
          <t>- Unfilled template: download it from the dialog's 'Download it' link (DPDP_Consent_Notice_Template_v0_2.docx) and do not edit it
- Optional: any PDF file, to check a non-Word file is refused</t>
        </is>
      </c>
      <c r="K48" s="11" t="inlineStr">
        <is>
          <t>1. Open project 'UAT Study 01' (Projects &gt; search &gt; click the name).
2. Click the 'Setup' tab, then 'Upload a notice document' in the 'Notices' card.
3. Click 'Download it'.
4. Under 'Notice document' use the browser's file chooser ('Choose File') to pick the blank template you just downloaded.
5. Click 'Check the document'.
6. (Optional) Pick a PDF file instead and click 'Check the document'.
7. Click 'Cancel'.</t>
        </is>
      </c>
      <c r="L48" s="11" t="inlineStr">
        <is>
          <t>1. The project page opens, status 'In Draft'.
2. A dialog 'Upload a notice document' opens: 'The filled-in .docx template. Its purpose table becomes the notice's purposes, which the DPO then activates.' It shows 'Need the template? Download it', a 'Notice document' file chooser, a disabled 'Check the document' button and a disabled 'Create the notice' button.
3. The browser saves the blank template file (DPDP_Consent_Notice_Template...docx).
4. The file name and size appear under the chooser; 'Check the document' becomes clickable. 'Create the notice' stays disabled.
5. A red message appears starting with the number of placeholders, e.g. '... placeholder(s) are still unfilled: ...' and ending 'Fill the document in before uploading it - a notice served with a placeholder in it is one nobody read.' 'Create the notice' stays disabled.
6. The chooser only offers .docx; if a PDF is forced through, the message 'This is not a readable Word document. Upload the .docx template, not a PDF or a scan of one.' appears.
7. The dialog closes; the 'Notices' card still says 'No notice yet'.</t>
        </is>
      </c>
      <c r="M48" s="11" t="inlineStr">
        <is>
          <t>A document with unfilled placeholders never creates a notice, and the reason is shown in plain words.</t>
        </is>
      </c>
      <c r="N48" s="16" t="n"/>
      <c r="O48" s="17" t="n"/>
      <c r="P48" s="16" t="inlineStr">
        <is>
          <t>Not run</t>
        </is>
      </c>
      <c r="Q48" s="16" t="n"/>
      <c r="R48" s="16" t="n"/>
    </row>
    <row r="49">
      <c r="A49" s="10" t="inlineStr">
        <is>
          <t>PRJ-05</t>
        </is>
      </c>
      <c r="B49" s="11" t="inlineStr">
        <is>
          <t>Projects, notices and links</t>
        </is>
      </c>
      <c r="C49" s="11" t="inlineStr">
        <is>
          <t>R&amp;D User brings the notice by uploading the filled DPDP notice template</t>
        </is>
      </c>
      <c r="D49" s="11" t="inlineStr">
        <is>
          <t>Upload a notice document</t>
        </is>
      </c>
      <c r="E49" s="11" t="inlineStr">
        <is>
          <t>R&amp;D User</t>
        </is>
      </c>
      <c r="F49" s="11" t="inlineStr">
        <is>
          <t>High</t>
        </is>
      </c>
      <c r="G49" s="11" t="inlineStr">
        <is>
          <t>Positive</t>
        </is>
      </c>
      <c r="H49" s="11" t="inlineStr">
        <is>
          <t>Core</t>
        </is>
      </c>
      <c r="I49" s="11" t="inlineStr">
        <is>
          <t>- PRJ-01 completed (UAT Study 01 has no notice yet).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The test coordinator has handed over a filled copy of the template (tests/fixtures/notice_filled.docx is a valid example: English, 9 purposes, 7 data categories).</t>
        </is>
      </c>
      <c r="J49" s="11" t="inlineStr">
        <is>
          <t>- File: the filled notice .docx from the coordinator
- Project: UAT Study 01
- Expected notice code: NTC-UAT-STUDY-01-2026 (if a code with that name already exists from an earlier run, the system adds a suffix such as -2; use the code actually shown in later cases)</t>
        </is>
      </c>
      <c r="K49" s="11" t="inlineStr">
        <is>
          <t>1. Open project 'UAT Study 01', click the 'Setup' tab and in the 'Notices' card click 'Upload a notice document'.
2. Under 'Notice document' choose the filled .docx.
3. Click 'Check the document'.
4. Read any yellow warnings under the green box.
5. Click 'The text a data subject will read (... characters)' to expand it.
6. Click 'Create the notice'.
7. Look at the 'Notices' card.
8. Look at the 'What happens next' card.
9. Click 'NTC-UAT-STUDY-01-2026 v1' in the Notices card.</t>
        </is>
      </c>
      <c r="L49" s="11" t="inlineStr">
        <is>
          <t>1. The 'Upload a notice document' dialog opens with 'Check the document' and 'Create the notice' disabled.
2. The file name and size are shown; 'Check the document' becomes clickable.
3. A green box reads 'Read 9 purposes and 7 data categories, in english. Nothing has been written yet.' (numbers match your file). A 'Purposes' table lists each row with the columns In document, Name, Data categories, Retention, Consent (badges 'Required' or 'Declinable').
4. If the document names a different project (the example file names 'Gait Identification Study 2026') a warning says 'The document names the project ... but this project is 'UAT Study 01'. Check you are uploading to the right one.' This is expected with the example file.
5. An excerpt of the notice wording is shown.
6. The dialog closes and a green toast 'Notice created' says 'NTC-UAT-STUDY-01-2026 carries 9 purposes. The DPO activates them before it can be published.'
7. It lists 'NTC-UAT-STUDY-01-2026 v1' with '9 purposes · 1 language(s)' and the status badge 'Draft'.
8. Under 'Moves the project to Pending Approval' only one line remains: 'No approval with a proof file'. The 'Submit for approval' button is still disabled.
9. The notice page opens titled 'NTC-UAT-STUDY-01-2026 · version 1' with 'Draft. Nothing here has been shown to a data subject yet.' The 'Purposes' card lists 9 purposes, each with the status 'Draft'.</t>
        </is>
      </c>
      <c r="M49" s="11" t="inlineStr">
        <is>
          <t>The notice, its purposes (as Draft) and its English text are created from the document in two steps (check, then create), and the notice-related blockers disappear from the project.</t>
        </is>
      </c>
      <c r="N49" s="16" t="n"/>
      <c r="O49" s="17" t="n"/>
      <c r="P49" s="16" t="inlineStr">
        <is>
          <t>Not run</t>
        </is>
      </c>
      <c r="Q49" s="16" t="n"/>
      <c r="R49" s="16" t="n"/>
    </row>
    <row r="50">
      <c r="A50" s="10" t="inlineStr">
        <is>
          <t>PRJ-06</t>
        </is>
      </c>
      <c r="B50" s="11" t="inlineStr">
        <is>
          <t>Projects, notices and links</t>
        </is>
      </c>
      <c r="C50" s="11" t="inlineStr">
        <is>
          <t>R&amp;D User starts a second project's notice from an approved notice</t>
        </is>
      </c>
      <c r="D50" s="11" t="inlineStr">
        <is>
          <t>Copy an existing notice</t>
        </is>
      </c>
      <c r="E50" s="11" t="inlineStr">
        <is>
          <t>R&amp;D User</t>
        </is>
      </c>
      <c r="F50" s="11" t="inlineStr">
        <is>
          <t>Medium</t>
        </is>
      </c>
      <c r="G50" s="11" t="inlineStr">
        <is>
          <t>Positive</t>
        </is>
      </c>
      <c r="H50" s="11" t="inlineStr">
        <is>
          <t>Core</t>
        </is>
      </c>
      <c r="I50" s="11" t="inlineStr">
        <is>
          <t>-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Seeded notice NTC-GAIT-2026 v1 is published.</t>
        </is>
      </c>
      <c r="J50" s="11" t="inlineStr">
        <is>
          <t>- Project name: UAT Study 02
- Description: Copy-notice UAT project.
- Processor: SEED
- Notice to copy: NTC-GAIT-2026 v1 — Gait Identification Study 2026</t>
        </is>
      </c>
      <c r="K50" s="11" t="inlineStr">
        <is>
          <t>1. Click 'Projects' &gt; 'Register a project'. Enter the name and description from the test data, tick 'SEED' and click 'Register project'.
2. Click the 'Setup' tab, then 'Copy an existing notice' in the 'Notices' card.
3. Open 'Notice to copy'.
4. Choose 'NTC-GAIT-2026 v1 — Gait Identification Study 2026'.
5. Click 'Copy into this project'.
6. Click the new notice in the 'Notices' card.
7. Look at the 'Legal approval, per language' card.</t>
        </is>
      </c>
      <c r="L50" s="11" t="inlineStr">
        <is>
          <t>1. Toast 'Project registered'; the 'UAT Study 02' page opens with status 'In Draft'.
2. A dialog 'Copy an existing notice' opens: 'Copies the wording, the purposes and every language rendition into this project as a fresh draft.' with a 'Notice to copy' list and a disabled 'Copy into this project' button.
3. Every approved or published notice on the platform is offered, from any project and whoever wrote it - for example 'NTC-GAIT-2026 v1 — Gait Identification Study 2026'. Notices marked '(approved, not yet published)' come first. No draft notice is offered.
4. A yellow box 'What comes across, and what does not' explains the legal approvals are not copied and each rendition must be re-approved. 'Copy into this project' becomes clickable.
5. The dialog closes; a toast 'Copied into NTC-UAT-STUDY-02-2026' says 'It is a fresh draft. Review the wording, then approve and publish it.'
6. The notice page 'NTC-UAT-STUDY-02-2026 · version 1' opens with status 'Draft'. The 'Purposes' card shows the purposes copied from the Gait notice.
7. Each copied language shows 'Not legally approved' (approvals did not carry over).</t>
        </is>
      </c>
      <c r="M50" s="11" t="inlineStr">
        <is>
          <t>Every approved or published notice is offered whoever wrote it; a fresh draft notice with the wording, purposes and renditions of the chosen one is created for the new project, without its legal approvals.</t>
        </is>
      </c>
      <c r="N50" s="16" t="n"/>
      <c r="O50" s="17" t="n"/>
      <c r="P50" s="16" t="inlineStr">
        <is>
          <t>Not run</t>
        </is>
      </c>
      <c r="Q50" s="16" t="n"/>
      <c r="R50" s="16" t="n"/>
    </row>
    <row r="51">
      <c r="A51" s="10" t="inlineStr">
        <is>
          <t>PRJ-07</t>
        </is>
      </c>
      <c r="B51" s="11" t="inlineStr">
        <is>
          <t>Projects, notices and links</t>
        </is>
      </c>
      <c r="C51" s="11" t="inlineStr">
        <is>
          <t>R&amp;D User cannot compose or approve notice wording, purposes or renditions</t>
        </is>
      </c>
      <c r="D51" s="11" t="inlineStr">
        <is>
          <t>Notice authoring rights</t>
        </is>
      </c>
      <c r="E51" s="11" t="inlineStr">
        <is>
          <t>R&amp;D User</t>
        </is>
      </c>
      <c r="F51" s="11" t="inlineStr">
        <is>
          <t>High</t>
        </is>
      </c>
      <c r="G51" s="11" t="inlineStr">
        <is>
          <t>Negative</t>
        </is>
      </c>
      <c r="H51" s="11" t="inlineStr">
        <is>
          <t>Core</t>
        </is>
      </c>
      <c r="I51" s="11" t="inlineStr">
        <is>
          <t>- PRJ-05 completed (NTC-UAT-STUDY-01-2026 v1 is a Draft).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51" s="11" t="inlineStr">
        <is>
          <t>- Project: UAT Study 01
- Notice: NTC-UAT-STUDY-01-2026 v1</t>
        </is>
      </c>
      <c r="K51" s="11" t="inlineStr">
        <is>
          <t>1. Open project 'UAT Study 01', click the 'Setup' tab and look at the buttons on the 'Notices' card.
2. Click 'NTC-UAT-STUDY-01-2026 v1' in the 'Notices' card.
3. Look at the 'Publication checklist' card.
4. Look at the 'Notice text' card.
5. Look at the 'Purposes' card.
6. Look at the 'Legal approval, per language' card.</t>
        </is>
      </c>
      <c r="L51" s="11" t="inlineStr">
        <is>
          <t>1. 'Upload a notice document', 'Copy an existing notice' and 'Use a notice template' are shown; there is NO 'New notice' button.
2. The notice page opens. The header shows the 'Draft' badge but NO 'Edit' button.
3. It is visible to the R&amp;D User and reads '... item(s) blocking publication:' followed by lines such as 'the purpose ... is draft, not activated' and 'the english text is not legally approved', each with a 'fix this' link. There is NO 'Publish this notice' button.
4. The English wording is displayed read-only with 'Not legally approved — the project cannot be approved until it is'. There is NO 'Edit English text' button.
5. Each purpose shows the 'Draft' status. There is NO 'Manage', NO 'Activate' and NO 'Customise for this notice' button.
6. The english row shows 'Not legally approved'. There is NO 'Add language', NO 'Edit' and NO 'Approve' button.</t>
        </is>
      </c>
      <c r="M51" s="11" t="inlineStr">
        <is>
          <t>The R&amp;D User can read the notice and its checklist but has no control to write wording, add/edit renditions, attach/activate purposes, approve text or publish.</t>
        </is>
      </c>
      <c r="N51" s="16" t="n"/>
      <c r="O51" s="17" t="n"/>
      <c r="P51" s="16" t="inlineStr">
        <is>
          <t>Not run</t>
        </is>
      </c>
      <c r="Q51" s="16" t="n"/>
      <c r="R51" s="16" t="n"/>
    </row>
    <row r="52">
      <c r="A52" s="10" t="inlineStr">
        <is>
          <t>PRJ-08</t>
        </is>
      </c>
      <c r="B52" s="11" t="inlineStr">
        <is>
          <t>Projects, notices and links</t>
        </is>
      </c>
      <c r="C52" s="11" t="inlineStr">
        <is>
          <t>R&amp;D User uploads the security approval and submits the project for DPO review</t>
        </is>
      </c>
      <c r="D52" s="11" t="inlineStr">
        <is>
          <t>Upload approval and submit (In Draft to Pending Approval)</t>
        </is>
      </c>
      <c r="E52" s="11" t="inlineStr">
        <is>
          <t>R&amp;D User</t>
        </is>
      </c>
      <c r="F52" s="11" t="inlineStr">
        <is>
          <t>High</t>
        </is>
      </c>
      <c r="G52" s="11" t="inlineStr">
        <is>
          <t>Positive</t>
        </is>
      </c>
      <c r="H52" s="11" t="inlineStr">
        <is>
          <t>Core</t>
        </is>
      </c>
      <c r="I52" s="11" t="inlineStr">
        <is>
          <t>- PRJ-05 completed (only 'No approval with a proof file' still blocks).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52" s="11" t="inlineStr">
        <is>
          <t>- Type: Security
- Reference number: SEC-UAT-0001
- Approved on: first a date in the future (negative check), then today's date
- Proof document: any small PDF, PNG or JPEG under 25 MB</t>
        </is>
      </c>
      <c r="K52" s="11" t="inlineStr">
        <is>
          <t>1. Open project 'UAT Study 01', click the 'Setup' tab and click 'Upload an approval' in the 'Approvals' card.
2. Leave 'Reference number' and 'Proof document' empty, set 'Approved on' to a future date, and click 'Upload approval'.
3. Enter 'SEC-UAT-0001', set 'Approved on' to today, choose the proof file and click 'Upload approval'.
4. Look at the 'Approvals' card.
5. Click 'Proof'.
6. Look at 'What happens next'.
7. Scroll to the bottom of the page.
8. Click 'Submit for approval'.
9. Look at 'What happens next' again, then click the 'Activity' tab and look at the 'History' card.</t>
        </is>
      </c>
      <c r="L52" s="11" t="inlineStr">
        <is>
          <t>1. A dialog 'Upload an approval' opens: 'The proof file is mandatory - an approval without one does not unlock the transition.' Fields: 'Type' (preset to Security), 'Reference number', 'Approved on', 'Proof document'.
2. The dialog stays open with field errors: 'A reference number is required', 'The approval date cannot be in the future' and 'Choose an approval document'.
3. The dialog closes; toast 'Approval uploaded' says 'The project can now move to pending approval.'
4. Count 1; the row reads 'Security SEC-UAT-0001', 'Approved &lt;today&gt; · uploaded ... by Kavya Rao', a short hash, and a 'Proof' button.
5. The file downloads and a toast 'Proof downloaded' says 'Hash matches the record.'
6. 'Moves the project to Pending Approval' has no warning lines and the 'Submit for approval' button is active (highlighted).
7. The page ends with the tabbed sections. The move is not repeated at the foot: 'Submit for approval' is only in 'What happens next' at the top.
8. Toast 'Moved to Pending Approval'. The status badge changes to 'Pending Approval' and the progress bar moves to its second step.
9. 'What happens next' reads 'There is nothing for your role to do at this stage.' History shows 'In Draft → Pending Approval' by 'Kavya Rao (Rnd user)' with the time. The 'Edit' button is no longer shown in the page header.</t>
        </is>
      </c>
      <c r="M52" s="11" t="inlineStr">
        <is>
          <t>The approval with proof is recorded and the project moves to 'Pending Approval', after which the R&amp;D User has no further move.</t>
        </is>
      </c>
      <c r="N52" s="16" t="n"/>
      <c r="O52" s="17" t="n"/>
      <c r="P52" s="16" t="inlineStr">
        <is>
          <t>Not run</t>
        </is>
      </c>
      <c r="Q52" s="16" t="n"/>
      <c r="R52" s="16" t="n"/>
    </row>
    <row r="53">
      <c r="A53" s="10" t="inlineStr">
        <is>
          <t>PRJ-09</t>
        </is>
      </c>
      <c r="B53" s="11" t="inlineStr">
        <is>
          <t>Projects, notices and links</t>
        </is>
      </c>
      <c r="C53" s="11" t="inlineStr">
        <is>
          <t>DPO review: approval is blocked until the DPO's own notice decisions are made; sending back needs a reason</t>
        </is>
      </c>
      <c r="D53" s="11" t="inlineStr">
        <is>
          <t>Project transitions - DPO blockers and send back</t>
        </is>
      </c>
      <c r="E53" s="11" t="inlineStr">
        <is>
          <t>DPO</t>
        </is>
      </c>
      <c r="F53" s="11" t="inlineStr">
        <is>
          <t>High</t>
        </is>
      </c>
      <c r="G53" s="11" t="inlineStr">
        <is>
          <t>Negative</t>
        </is>
      </c>
      <c r="H53" s="11" t="inlineStr">
        <is>
          <t>Core</t>
        </is>
      </c>
      <c r="I53" s="11" t="inlineStr">
        <is>
          <t>- PRJ-08 completed (UAT Study 01 is Pending Approval; its notice's purposes are Draft and English text is not approved).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53" s="11" t="inlineStr">
        <is>
          <t>- Project: UAT Study 01
- Reason: (leave empty)</t>
        </is>
      </c>
      <c r="K53" s="11" t="inlineStr">
        <is>
          <t>1. On the 'Dashboard' look at 'Needs attention'.
2. Click 'Projects' in the sidebar, set 'Status' to 'Pending Approval', and click 'UAT Study 01'.
3. Look at the 'What happens next' card.
4. Read the warning lines under 'Moves the project to Approved'.
5. Under 'Moves the project to In Draft' note the hint, then click the 'Return to draft' button.
6. Leave 'Reason' empty and click 'Return to draft' in the panel.
7. Click 'Cancel' in the panel.
8. Click the 'Open the notice' link on the blocker line.</t>
        </is>
      </c>
      <c r="L53" s="11" t="inlineStr">
        <is>
          <t>1. A row 'Projects pending approval' shows a count of 1 or more.
2. The project page opens with status 'Pending Approval'.
3. It reads 'Currently Pending Approval.' and offers two rows: 'Moves the project to Approved' (with the tag 'publishes the notice' and an 'Approve project' button) and 'Moves the project to In Draft' (with a 'Return to draft' button).
4. Both DPO-side blockers are listed: 'The notice text is not legally approved - approve every language on the notice first' with a link 'Approve the notice', and 'The notice carries purposes that are not activated - activate them before approving' with a link 'Open the notice'. The 'Approve project' button is disabled.
5. The hint reads 'A reason is required and is recorded in the history.' A panel 'Return to draft' opens with a required 'Reason' box.
6. The message 'A reason is required for this transition.' appears; the project stays 'Pending Approval'.
7. The panel closes; status is still 'Pending Approval' and History has no new entry.
8. The notice page 'NTC-UAT-STUDY-01-2026 · version 1' opens.</t>
        </is>
      </c>
      <c r="M53" s="11" t="inlineStr">
        <is>
          <t>The DPO cannot approve while text is unapproved or purposes are not activated, every blocker is named with a link to the notice, and a send-back cannot be done without a reason.</t>
        </is>
      </c>
      <c r="N53" s="16" t="n"/>
      <c r="O53" s="17" t="n"/>
      <c r="P53" s="16" t="inlineStr">
        <is>
          <t>Not run</t>
        </is>
      </c>
      <c r="Q53" s="16" t="n"/>
      <c r="R53" s="16" t="n"/>
    </row>
    <row r="54">
      <c r="A54" s="10" t="inlineStr">
        <is>
          <t>PRJ-10</t>
        </is>
      </c>
      <c r="B54" s="11" t="inlineStr">
        <is>
          <t>Projects, notices and links</t>
        </is>
      </c>
      <c r="C54" s="11" t="inlineStr">
        <is>
          <t>DPO activates each purpose from the notice that carries it</t>
        </is>
      </c>
      <c r="D54" s="11" t="inlineStr">
        <is>
          <t>Notice review - activate purposes</t>
        </is>
      </c>
      <c r="E54" s="11" t="inlineStr">
        <is>
          <t>DPO</t>
        </is>
      </c>
      <c r="F54" s="11" t="inlineStr">
        <is>
          <t>High</t>
        </is>
      </c>
      <c r="G54" s="11" t="inlineStr">
        <is>
          <t>Positive</t>
        </is>
      </c>
      <c r="H54" s="11" t="inlineStr">
        <is>
          <t>Core</t>
        </is>
      </c>
      <c r="I54" s="11" t="inlineStr">
        <is>
          <t>- PRJ-09 completed (DPO is on the notice page of NTC-UAT-STUDY-01-2026 v1).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54" s="11" t="inlineStr">
        <is>
          <t>- Notice: NTC-UAT-STUDY-01-2026 v1 (9 draft purposes from the uploaded document)</t>
        </is>
      </c>
      <c r="K54" s="11" t="inlineStr">
        <is>
          <t>1. Look at the 'Publication checklist' card.
2. Click 'fix this' next to a purpose line.
3. Review the first purpose (name, description, Basis, Retention, Categories), then click its 'Activate' button.
4. Scroll back to the 'Publication checklist'.
5. Repeat 'Activate' for every remaining Draft purpose, one at a time.
6. Check the checklist once all purposes are active.</t>
        </is>
      </c>
      <c r="L54" s="11" t="inlineStr">
        <is>
          <t>1. It reads '&lt;n&gt; item(s) blocking publication:' with one line per purpose 'the purpose &lt;code&gt; is draft, not activated' plus 'the english text is not legally approved'; each line has a 'fix this' link.
2. The page scrolls to the 'Purposes' card ('Rule 3(b): what each purpose enables, itemised, with its retention.').
3. Toast '&lt;purpose name&gt; activated' says 'It no longer blocks publication.' Its status changes from 'Draft' to 'Active' and its 'Activate' button disappears.
4. The blocking count has gone down by one and that purpose's line is gone, without reloading the page.
5. Each shows its own toast; there is no single 'activate all' control.
6. No 'the purpose ... is draft, not activated' lines remain; only 'the english text is not legally approved' is left. The 'Purposes' stat shows 9.</t>
        </is>
      </c>
      <c r="M54" s="11" t="inlineStr">
        <is>
          <t>Every purpose is activated individually from the notice page and each activation removes its checklist line straight away.</t>
        </is>
      </c>
      <c r="N54" s="16" t="n"/>
      <c r="O54" s="17" t="n"/>
      <c r="P54" s="16" t="inlineStr">
        <is>
          <t>Not run</t>
        </is>
      </c>
      <c r="Q54" s="16" t="n"/>
      <c r="R54" s="16" t="n"/>
    </row>
    <row r="55">
      <c r="A55" s="10" t="inlineStr">
        <is>
          <t>PRJ-11</t>
        </is>
      </c>
      <c r="B55" s="11" t="inlineStr">
        <is>
          <t>Projects, notices and links</t>
        </is>
      </c>
      <c r="C55" s="11" t="inlineStr">
        <is>
          <t>DPO composes the wording, adds a Hindi rendition and legally approves each language</t>
        </is>
      </c>
      <c r="D55" s="11" t="inlineStr">
        <is>
          <t>Notice review - renditions and legal approval</t>
        </is>
      </c>
      <c r="E55" s="11" t="inlineStr">
        <is>
          <t>DPO</t>
        </is>
      </c>
      <c r="F55" s="11" t="inlineStr">
        <is>
          <t>High</t>
        </is>
      </c>
      <c r="G55" s="11" t="inlineStr">
        <is>
          <t>Positive</t>
        </is>
      </c>
      <c r="H55" s="11" t="inlineStr">
        <is>
          <t>Core</t>
        </is>
      </c>
      <c r="I55" s="11" t="inlineStr">
        <is>
          <t>- PRJ-10 completed.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55" s="11" t="inlineStr">
        <is>
          <t>- Extra sentence for English: 'Contact the Privacy Office at dpo@example.org with any question.'
- Hindi text: 'यह UAT परीक्षण सूचना है। (UAT test notice - Hindi rendition)'</t>
        </is>
      </c>
      <c r="K55" s="11" t="inlineStr">
        <is>
          <t>1. On notice NTC-UAT-STUDY-01-2026 v1, find the 'Notice text' card and click 'Edit English text'.
2. Add the extra sentence at the end of the text and click 'Save text'.
3. In the 'Legal approval, per language' card click 'Add language'.
4. Choose Language 'Hindi', paste the Hindi text and click 'Save text'.
5. Look at the 'Publication checklist'.
6. Read the English text, then click 'Approve' on the English row.
7. Click the 'hindi' tab in 'Notice text', read it, then click 'Approve' on the Hindi row.
8. Look at the 'Publication checklist'.</t>
        </is>
      </c>
      <c r="L55" s="11" t="inlineStr">
        <is>
          <t>1. A dialog 'Edit English text' opens: 'This exact text is hashed at publication and becomes the record of what was agreed to.' 'Language' is locked to English; 'Notice text' holds the current wording.
2. Toast 'Rendition saved' says 'It must be legally approved before the notice can be published.' The new sentence is visible in the 'Notice text' card.
3. A dialog 'Add language' opens with 'Language' and 'Notice text'.
4. Toast 'Rendition saved'. The card now lists English and Hindi, both 'Not legally approved'. The 'Notice text' card shows language tabs (english / hindi).
5. Lines 'the english text is not legally approved' and 'the hindi text is not legally approved' are shown; 'Languages' stat is 2, 'Approved' is 0.
6. Toast 'english approved' says 'Its hash is what a data subject's consent will be matched against.' The row shows 'Approved' with 'Priya Menon' and the time.
7. Toast 'hindi approved'. Both rows show 'Approved'; 'Approved' stat equals 2.
8. It reads 'This notice is complete and ready to publish.' and shows a 'Publish this notice' button. Do NOT click it - publication happens with the project approval in PRJ-12.</t>
        </is>
      </c>
      <c r="M55" s="11" t="inlineStr">
        <is>
          <t>The Privacy Office can edit the wording and add a language, each saved text starts unapproved, and approving every language clears the checklist.</t>
        </is>
      </c>
      <c r="N55" s="16" t="n"/>
      <c r="O55" s="17" t="n"/>
      <c r="P55" s="16" t="inlineStr">
        <is>
          <t>Not run</t>
        </is>
      </c>
      <c r="Q55" s="16" t="n"/>
      <c r="R55" s="16" t="n"/>
    </row>
    <row r="56">
      <c r="A56" s="10" t="inlineStr">
        <is>
          <t>PRJ-12</t>
        </is>
      </c>
      <c r="B56" s="11" t="inlineStr">
        <is>
          <t>Projects, notices and links</t>
        </is>
      </c>
      <c r="C56" s="11" t="inlineStr">
        <is>
          <t>DPO approves the project, which publishes and freezes its notice</t>
        </is>
      </c>
      <c r="D56" s="11" t="inlineStr">
        <is>
          <t>Project approval (Pending Approval to Approved)</t>
        </is>
      </c>
      <c r="E56" s="11" t="inlineStr">
        <is>
          <t>DPO</t>
        </is>
      </c>
      <c r="F56" s="11" t="inlineStr">
        <is>
          <t>High</t>
        </is>
      </c>
      <c r="G56" s="11" t="inlineStr">
        <is>
          <t>Positive</t>
        </is>
      </c>
      <c r="H56" s="11" t="inlineStr">
        <is>
          <t>Core</t>
        </is>
      </c>
      <c r="I56" s="11" t="inlineStr">
        <is>
          <t>- PRJ-11 completed (checklist says the notice is complete).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56" s="11" t="inlineStr">
        <is>
          <t>- Project: UAT Study 01
- Note: 'UAT approval - all purposes reviewed.'</t>
        </is>
      </c>
      <c r="K56" s="11" t="inlineStr">
        <is>
          <t>1. Click the project name link at the top of the notice page ('UAT Study 01') to return to the project.
2. Look at 'Moves the project to Approved' in 'What happens next'.
3. Click 'Approve project'.
4. Type the note and click 'Approve project' in the panel.
5. Check the page header and progress bar.
6. Click the 'Setup' tab and look at the 'Notices' card.
7. Click the 'Activity' tab and look at the 'History' card.
8. Click the 'Consent' tab.</t>
        </is>
      </c>
      <c r="L56" s="11" t="inlineStr">
        <is>
          <t>1. The project page opens with status 'Pending Approval'.
2. No warning lines remain; the 'Approve project' button is active and the row carries the tag 'publishes the notice'.
3. A panel 'Approve project' opens with a yellow warning: 'This publishes the project's notice. Its text and hash are frozen at that moment and cannot be edited afterwards - a correction requires a new version...' and an optional 'Note (optional)' box.
4. Toast 'Moved to Approved' says 'The notice has been published and its text is now frozen.'
5. Status badge 'Approved'; progress bar at the last step.
6. 'NTC-UAT-STUDY-01-2026 v1' shows the badge 'Published' and '· published &lt;date/time&gt;'.
7. The newest entry is 'Pending Approval → Approved' by 'Priya Menon (Dpo)' with the note shown in quotes.
8. Above 'Collection sites' an info note reads 'Adding a site now is a material change: it adds a recipient to a published notice, so it requires a new notice version before collection starts there.'</t>
        </is>
      </c>
      <c r="M56" s="11" t="inlineStr">
        <is>
          <t>The project is Approved and, in the same step, its notice becomes Published with a timestamp.</t>
        </is>
      </c>
      <c r="N56" s="16" t="n"/>
      <c r="O56" s="17" t="n"/>
      <c r="P56" s="16" t="inlineStr">
        <is>
          <t>Not run</t>
        </is>
      </c>
      <c r="Q56" s="16" t="n"/>
      <c r="R56" s="16" t="n"/>
    </row>
    <row r="57">
      <c r="A57" s="10" t="inlineStr">
        <is>
          <t>PRJ-13</t>
        </is>
      </c>
      <c r="B57" s="11" t="inlineStr">
        <is>
          <t>Projects, notices and links</t>
        </is>
      </c>
      <c r="C57" s="11" t="inlineStr">
        <is>
          <t>A published notice is frozen - no edits, and an upload cannot replace it</t>
        </is>
      </c>
      <c r="D57" s="11" t="inlineStr">
        <is>
          <t>Notice freeze after publication</t>
        </is>
      </c>
      <c r="E57" s="11" t="inlineStr">
        <is>
          <t>DPO, R&amp;D User</t>
        </is>
      </c>
      <c r="F57" s="11" t="inlineStr">
        <is>
          <t>High</t>
        </is>
      </c>
      <c r="G57" s="11" t="inlineStr">
        <is>
          <t>Negative</t>
        </is>
      </c>
      <c r="H57" s="11" t="inlineStr">
        <is>
          <t>Core</t>
        </is>
      </c>
      <c r="I57" s="11" t="inlineStr">
        <is>
          <t>- PRJ-12 completed (NTC-UAT-STUDY-01-2026 v1 is Published).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Kavya Rao (rnd@cmp.local) available for the second half.</t>
        </is>
      </c>
      <c r="J57" s="11" t="inlineStr">
        <is>
          <t>- Notice: NTC-UAT-STUDY-01-2026 v1
- File: the same filled notice .docx used in PRJ-05</t>
        </is>
      </c>
      <c r="K57" s="11" t="inlineStr">
        <is>
          <t>1. As the DPO open 'Notices' in the sidebar and click 'NTC-UAT-STUDY-01-2026'.
2. Look for editing controls across the page.
3. Read the info note in the right-hand column.
4. Look at 'Rule 3 elements' &gt; 'Recipients'.
5. Sign out and sign in as rnd@cmp.local. Open project 'UAT Study 01', click the 'Setup' tab and click 'Upload a notice document' in the 'Notices' card.
6. Choose the filled .docx and click 'Check the document'.
7. Click 'Cancel'.</t>
        </is>
      </c>
      <c r="L57" s="11" t="inlineStr">
        <is>
          <t>1. The notice page shows 'Published &lt;date&gt;. This text is frozen.' and the badge 'Published'.
2. There is NO 'Edit' in the header, NO 'Edit English text', NO 'Manage', NO 'Activate', NO 'Customise for this notice', NO 'Add language' and NO 'Publish this notice'. The 'Publication checklist' card is not shown.
3. 'This notice is published. Its text and hashes are immutable — the database refuses an edit. To change anything, publish a new version.'
4. It shows the recipient text fixed at publication (no longer 'Generated from the project's sites at publication').
5. The 'Upload a notice document' dialog opens.
6. A red message says 'This project already has the published notice NTC-UAT-STUDY-01-2026. Its text is hashed into every consent taken against it, so an upload cannot replace it - create a new version of the notice instead.' 'Create the notice' stays disabled.
7. The dialog closes; the Notices card still shows only v1 'Published'.</t>
        </is>
      </c>
      <c r="M57" s="11" t="inlineStr">
        <is>
          <t>Once published, the notice offers no way to change its text or purposes, and a re-upload is refused with a message pointing to a new version.</t>
        </is>
      </c>
      <c r="N57" s="16" t="n"/>
      <c r="O57" s="17" t="n"/>
      <c r="P57" s="16" t="inlineStr">
        <is>
          <t>Not run</t>
        </is>
      </c>
      <c r="Q57" s="16" t="n"/>
      <c r="R57" s="16" t="n"/>
    </row>
    <row r="58">
      <c r="A58" s="10" t="inlineStr">
        <is>
          <t>PRJ-14</t>
        </is>
      </c>
      <c r="B58" s="11" t="inlineStr">
        <is>
          <t>Projects, notices and links</t>
        </is>
      </c>
      <c r="C58" s="11" t="inlineStr">
        <is>
          <t>Third-party routing: DCO Admin registers the partner's collection site and it passes to the DCO</t>
        </is>
      </c>
      <c r="D58" s="11" t="inlineStr">
        <is>
          <t>Routing after approval - third party; Add site; Who runs it</t>
        </is>
      </c>
      <c r="E58" s="11" t="inlineStr">
        <is>
          <t>DCO Admin</t>
        </is>
      </c>
      <c r="F58" s="11" t="inlineStr">
        <is>
          <t>High</t>
        </is>
      </c>
      <c r="G58" s="11" t="inlineStr">
        <is>
          <t>Positive</t>
        </is>
      </c>
      <c r="H58" s="11" t="inlineStr">
        <is>
          <t>Core</t>
        </is>
      </c>
      <c r="I58" s="11" t="inlineStr">
        <is>
          <t>- PRJ-12 completed (UAT Study 01 Approved, names SEED).
- Signed in to the console (http://localhost:3000) as Nikhil Bose, DCO Admin (dcoadmin@cmp.local):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Seeded data source 'CIT' (SRC-SEED-CIT) under SEED is owned by Arun Shetty.</t>
        </is>
      </c>
      <c r="J58" s="11" t="inlineStr">
        <is>
          <t>- Project: UAT Study 01
- Data source: CIT · SEED · Arun Shetty
- Location: CIT campus, Coimbatore</t>
        </is>
      </c>
      <c r="K58" s="11" t="inlineStr">
        <is>
          <t>1. Click 'Projects' in the sidebar, set 'Status' to 'Approved' and open 'UAT Study 01'.
2. Click the 'Setup' tab and look at the 'Who is collecting' card.
3. Click the 'Consent' tab, then 'Add site' in the 'Collection sites' card.
4. Open 'Data source'.
5. Choose 'CIT · SEED · Arun Shetty'.
6. Type the Location and click 'Add collection site'.
7. Look at the 'Collection sites' card.
8. Look at 'Details' at the top right.
9. Click 'Who runs it' on the CIT row.
10. Click 'Cancel'.</t>
        </is>
      </c>
      <c r="L58" s="11" t="inlineStr">
        <is>
          <t>1. The project is visible to the DCO Admin (it names a third-party processor). Status 'Approved'.
2. SEED shows 'approved', 'collected by a third party' and '· no collection set up yet'.
3. A dialog 'Add a collection site' opens with a yellow note that the notice is already published and adding a site is a material change requiring a new notice version; fields 'Data source' and 'Location'. There is no site-name or processor field.
4. Only sources under this project's processors (SEED, SRIB) are offered, each as '&lt;name&gt; · &lt;processor&gt; · &lt;owner or unowned&gt;'. Sources of other processors are not listed.
5. A blue note reads 'Arun Shetty owns SRC-SEED-CIT and will pick up this site.'
6. Toast 'Collection site added' says 'This adds a recipient the published notice does not name. A new notice version is required before collecting here.'
7. A row 'CIT' with 'CIT campus, Coimbatore · operated by SEED', owner line 'CIT · Arun Shetty' with a 'decides' tag, status 'Active', and the buttons 'Change source' and 'Who runs it'.
8. 'Data Collection Owner' now reads 'Arun Shetty'.
9. A dialog 'Who runs CIT?' opens: 'Only on this project. The data source keeps its own owner.' It explains 'Arun Shetty owns SRC-SEED-CIT and runs this site by default... every other project collecting from it is untouched.' The field is labelled 'Data Collection Owner' with the default 'No exception — Arun Shetty runs it'. The 'Name them'/'Clear the exception' button is disabled until the choice changes.
10. The dialog closes with nothing changed.</t>
        </is>
      </c>
      <c r="M58" s="11" t="inlineStr">
        <is>
          <t>The DCO Admin can see the approved third-party project, register the site by choosing a data source, and the site (and project) is owned by the source's DCO.</t>
        </is>
      </c>
      <c r="N58" s="16" t="n"/>
      <c r="O58" s="17" t="n"/>
      <c r="P58" s="16" t="inlineStr">
        <is>
          <t>Not run</t>
        </is>
      </c>
      <c r="Q58" s="16" t="n"/>
      <c r="R58" s="16" t="n"/>
    </row>
    <row r="59">
      <c r="A59" s="10" t="inlineStr">
        <is>
          <t>PRJ-15</t>
        </is>
      </c>
      <c r="B59" s="11" t="inlineStr">
        <is>
          <t>Projects, notices and links</t>
        </is>
      </c>
      <c r="C59" s="11" t="inlineStr">
        <is>
          <t>In-house routing: the R&amp;D owner names the in-house source and the RCO sees only her site</t>
        </is>
      </c>
      <c r="D59" s="11" t="inlineStr">
        <is>
          <t>Routing after approval - in-house; Add site; site scope</t>
        </is>
      </c>
      <c r="E59" s="11" t="inlineStr">
        <is>
          <t>R&amp;D User, RCO</t>
        </is>
      </c>
      <c r="F59" s="11" t="inlineStr">
        <is>
          <t>High</t>
        </is>
      </c>
      <c r="G59" s="11" t="inlineStr">
        <is>
          <t>Positive</t>
        </is>
      </c>
      <c r="H59" s="11" t="inlineStr">
        <is>
          <t>Core</t>
        </is>
      </c>
      <c r="I59" s="11" t="inlineStr">
        <is>
          <t>- PRJ-14 completed.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Meera Iyer (rco@cmp.local) available. Seeded source 'SE' (SRC-SRIB-SE) under SRIB is owned by Meera Iyer.</t>
        </is>
      </c>
      <c r="J59" s="11" t="inlineStr">
        <is>
          <t>- Project: UAT Study 01
- Data source: SE · SRIB · Meera Iyer
- Location: SRIB lab, Bengaluru</t>
        </is>
      </c>
      <c r="K59" s="11" t="inlineStr">
        <is>
          <t>1. As Kavya Rao open project 'UAT Study 01'.
2. Click the 'Consent' tab, then 'Add site'.
3. Choose Data source 'SE · SRIB · Meera Iyer', enter the Location, and click 'Add collection site'.
4. Look at the new 'SE' row in 'Collection sites'.
5. Click 'Who runs it' on the SE row.
6. Sign out, sign in as rco@cmp.local and click 'Collection sites' in the sidebar.
7. Click 'UAT Study 01' on the SE row.</t>
        </is>
      </c>
      <c r="L59" s="11" t="inlineStr">
        <is>
          <t>1. Status 'Approved'. 'What happens next' says 'There is nothing for your role to do at this stage.' In the 'Setup' tab, the 'Who is collecting' button now reads 'Request a collector'.
2. The 'Add a collection site' dialog opens with the material-change note.
3. Before saving the note reads 'Meera Iyer owns SRC-SRIB-SE and will pick up this site.' After saving, toast 'Collection site added'.
4. Owner line 'SE · Meera Iyer' with the tag 'in-house'; buttons 'Change source' and 'Who runs it' are available to the R&amp;D owner. There is NO 'Create link' button for the R&amp;D User.
5. Dialog 'Who runs SE?' opens; the field is labelled 'R&amp;D Collection Owner' and lists R&amp;D Collection Owners (e.g. Meera Iyer · rco@cmp.local), not Data Collection Owners. Click 'Cancel'.
6. The list includes 'SE' with project 'UAT Study 01', 'Operated by' SRIB. The 'CIT' site of UAT Study 01 is NOT listed.
7. The project page opens on its 'Consent' tab. In 'Collection sites', the SE row shows a 'Create link' button; Meera has no link control for CIT.</t>
        </is>
      </c>
      <c r="M59" s="11" t="inlineStr">
        <is>
          <t>The in-house site is set up by the R&amp;D owner and is visible to (and actionable by) the RCO only, separate from the third-party site.</t>
        </is>
      </c>
      <c r="N59" s="16" t="n"/>
      <c r="O59" s="17" t="n"/>
      <c r="P59" s="16" t="inlineStr">
        <is>
          <t>Not run</t>
        </is>
      </c>
      <c r="Q59" s="16" t="n"/>
      <c r="R59" s="16" t="n"/>
    </row>
    <row r="60">
      <c r="A60" s="10" t="inlineStr">
        <is>
          <t>PRJ-16</t>
        </is>
      </c>
      <c r="B60" s="11" t="inlineStr">
        <is>
          <t>Projects, notices and links</t>
        </is>
      </c>
      <c r="C60" s="11" t="inlineStr">
        <is>
          <t>A correction after publication is made as a new notice version, which supersedes the old one</t>
        </is>
      </c>
      <c r="D60" s="11" t="inlineStr">
        <is>
          <t>Notice versioning</t>
        </is>
      </c>
      <c r="E60" s="11" t="inlineStr">
        <is>
          <t>DPO</t>
        </is>
      </c>
      <c r="F60" s="11" t="inlineStr">
        <is>
          <t>Medium</t>
        </is>
      </c>
      <c r="G60" s="11" t="inlineStr">
        <is>
          <t>Positive</t>
        </is>
      </c>
      <c r="H60" s="11" t="inlineStr">
        <is>
          <t>Core</t>
        </is>
      </c>
      <c r="I60" s="11" t="inlineStr">
        <is>
          <t>- PRJ-14 and PRJ-15 completed (two sites added after publication).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60" s="11" t="inlineStr">
        <is>
          <t>- Notice code (set by hand): NTC-UAT-STUDY-01-2026
- DPO contact: dpo@example.org
- Applies to: Data subjects — people outside the organisation
- Withdraw consent URL: https://example.org/withdraw
- Exercise rights URL: https://example.org/rights
- Board complaint URL: https://example.org/complain
- Language: English
- Notice text: copy the English text of v1 from its 'Notice text' card and add 'Collection sites: CIT campus, Coimbatore; SRIB lab, Bengaluru.'
- Purposes: the same 9 purposes shown on v1</t>
        </is>
      </c>
      <c r="K60" s="11" t="inlineStr">
        <is>
          <t>1. Open project 'UAT Study 01' and click 'New notice' (DPO only).
2. Click 'Set the code myself' and type NTC-UAT-STUDY-01-2026 in 'Notice code'. Fill 'DPO contact', 'Applies to', the three URLs, 'Language' and 'Notice text' from the test data. Click 'Create notice'.
3. Open v2. In 'Purposes' click 'Attach a purpose' (or 'Manage').
4. Attach each of the 9 purposes that v1 carries, one by one: choose it and click 'Attach'. The dialog stays open after each - there is no 'Done' button - so close it with the × at its top right when all 9 are attached.
5. In 'Legal approval, per language' click 'Approve' on the English row.
6. Click 'Publish this notice'.
7. Click 'Publish and freeze'.
8. Return to the project (breadcrumb 'UAT Study 01') and look at the 'Notices' card.</t>
        </is>
      </c>
      <c r="L60" s="11" t="inlineStr">
        <is>
          <t>1. Dialog 'New notice' opens: 'Every Rule 3 element is required before it can be published.' It says 'The notice code is generated for you' with a link 'Set the code myself'.
2. Toast 'Notice NTC-UAT-STUDY-01-2026 created' with 'Attach purposes, then approve the text and publish.' The Notices card lists 'NTC-UAT-STUDY-01-2026 v2' as 'Draft' and v1 as 'Published'.
3. Dialog 'Purposes on this notice' opens with 'Attach a purpose' (only active purposes listed), a 'Cannot be refused' tick box, and 'Attach'.
4. Toast 'Purpose attached' each time; the Purposes card lists 9 purposes, all 'Active'.
5. Toast 'english approved'. The checklist reads 'This notice is complete and ready to publish.' and the 'Sites' stat shows 2.
6. A box 'Publishing is not reversible' explains the text is hashed and frozen and the recipient list is generated from the project's active sites; buttons 'Publish and freeze' and 'Cancel'.
7. Toast 'Notice published' says 'The text and its hash are frozen. Edits now require a new version.' Title 'NTC-UAT-STUDY-01-2026 · version 2', badge 'Published'; 'Recipients' now names CIT and SE.
8. v2 shows 'Published'; v1 shows 'Superseded' - only one notice on the project is ever 'Published'. Opening v1 still shows its original frozen text.</t>
        </is>
      </c>
      <c r="M60" s="11" t="inlineStr">
        <is>
          <t>The change is made as version 2 with the same code; publishing it supersedes version 1, which stays readable and unchanged.</t>
        </is>
      </c>
      <c r="N60" s="16" t="n"/>
      <c r="O60" s="17" t="n"/>
      <c r="P60" s="16" t="inlineStr">
        <is>
          <t>Not run</t>
        </is>
      </c>
      <c r="Q60" s="16" t="n"/>
      <c r="R60" s="16" t="n"/>
    </row>
    <row r="61">
      <c r="A61" s="10" t="inlineStr">
        <is>
          <t>PRJ-17</t>
        </is>
      </c>
      <c r="B61" s="11" t="inlineStr">
        <is>
          <t>Projects, notices and links</t>
        </is>
      </c>
      <c r="C61" s="11" t="inlineStr">
        <is>
          <t>A consent link cannot be created without a future expiry</t>
        </is>
      </c>
      <c r="D61" s="11" t="inlineStr">
        <is>
          <t>Create consent link - validation</t>
        </is>
      </c>
      <c r="E61" s="11" t="inlineStr">
        <is>
          <t>DCO</t>
        </is>
      </c>
      <c r="F61" s="11" t="inlineStr">
        <is>
          <t>High</t>
        </is>
      </c>
      <c r="G61" s="11" t="inlineStr">
        <is>
          <t>Negative</t>
        </is>
      </c>
      <c r="H61" s="11" t="inlineStr">
        <is>
          <t>Core</t>
        </is>
      </c>
      <c r="I61" s="11" t="inlineStr">
        <is>
          <t>- PRJ-14 completed (CIT site on UAT Study 01 owned by Arun Shetty, no live link).
- Signed in to the console (http://localhost:3000) as Arun Shetty, DCO (dco@cmp.local):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61" s="11" t="inlineStr">
        <is>
          <t>- Expires at: empty, then yesterday's date/time
- Maximum uses: 0</t>
        </is>
      </c>
      <c r="K61" s="11" t="inlineStr">
        <is>
          <t>1. Click 'Collection sites' in the sidebar.
2. Click 'UAT Study 01' on the CIT row.
3. Click 'Create link'.
4. Leave 'Expires at' empty and click 'Create link'.
5. Set 'Expires at' to yesterday and click 'Create link'.
6. Set 'Expires at' to 7 days ahead, enter 0 in 'Maximum uses' and click 'Create link'.
7. Click 'Cancel'.</t>
        </is>
      </c>
      <c r="L61" s="11" t="inlineStr">
        <is>
          <t>1. The list shows 'CIT' for project 'UAT Study 01'. The 'SE' site of UAT Study 01 is NOT listed for the DCO.
2. The project page opens on its 'Consent' tab. The CIT site row shows a 'Create link' button.
3. Dialog 'Consent link for CIT' opens: 'The token is shown once and cannot be retrieved again.' Fields 'Expires at' (required; hint 'Required, with no default and no maximum...'), 'Maximum uses', 'Field agent reference'. 'Expires at' is empty - there is no default.
4. The dialog stays open with 'The expiry is required' under 'Expires at'. No link is created.
5. 'The expiry has to be in the future' is shown. No link is created.
6. 'A link that can be used zero times is not worth minting' is shown under 'Maximum uses'.
7. The dialog closes; the CIT row still shows 'Create link' and no active link count.</t>
        </is>
      </c>
      <c r="M61" s="11" t="inlineStr">
        <is>
          <t>No consent link can be minted without an expiry in the future (and a use limit, if given, of at least 1).</t>
        </is>
      </c>
      <c r="N61" s="16" t="n"/>
      <c r="O61" s="17" t="n"/>
      <c r="P61" s="16" t="inlineStr">
        <is>
          <t>Not run</t>
        </is>
      </c>
      <c r="Q61" s="16" t="n"/>
      <c r="R61" s="16" t="n"/>
    </row>
    <row r="62">
      <c r="A62" s="10" t="inlineStr">
        <is>
          <t>PRJ-18</t>
        </is>
      </c>
      <c r="B62" s="11" t="inlineStr">
        <is>
          <t>Projects, notices and links</t>
        </is>
      </c>
      <c r="C62" s="11" t="inlineStr">
        <is>
          <t>DCO creates a consent link for the site, copies it, and it opens on the portal</t>
        </is>
      </c>
      <c r="D62" s="11" t="inlineStr">
        <is>
          <t>Create and copy consent link</t>
        </is>
      </c>
      <c r="E62" s="11" t="inlineStr">
        <is>
          <t>DCO</t>
        </is>
      </c>
      <c r="F62" s="11" t="inlineStr">
        <is>
          <t>High</t>
        </is>
      </c>
      <c r="G62" s="11" t="inlineStr">
        <is>
          <t>Positive</t>
        </is>
      </c>
      <c r="H62" s="11" t="inlineStr">
        <is>
          <t>Core</t>
        </is>
      </c>
      <c r="I62" s="11" t="inlineStr">
        <is>
          <t>- PRJ-17 completed.
- Signed in to the console (http://localhost:3000) as Arun Shetty, DCO (dco@cmp.local):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PRJ-16 completed is recommended so the link serves notice v2.</t>
        </is>
      </c>
      <c r="J62" s="11" t="inlineStr">
        <is>
          <t>- Expires at: 7 days from now, 18:00
- Maximum uses: 50
- Field agent reference: UAT-AGENT-01</t>
        </is>
      </c>
      <c r="K62" s="11" t="inlineStr">
        <is>
          <t>1. On project 'UAT Study 01' click the 'Consent' tab, then 'Create link' on the CIT row.
2. Fill in the test data and click 'Create link'.
3. Read the URL.
4. Click 'Copy link'.
5. Click 'Done'.
6. Look at the 'Consent links' card under 'Collection sites'.
7. Click 'Copy link' on the CIT row.
8. Open the saved URL in a private/incognito browser window.</t>
        </is>
      </c>
      <c r="L62" s="11" t="inlineStr">
        <is>
          <t>1. Dialog 'Consent link for CIT' opens.
2. Toast 'Consent link created'. The dialog now shows a yellow box titled 'Copy this now' and the full URL.
3. It begins with the data-principal portal address http://localhost:3001/c/ followed by a long token - NOT http://localhost:3000.
4. The button changes to 'Copied' for a moment. Paste into a notepad to confirm the same URL.
5. The dialog closes. The CIT row now shows '1 active link(s)', 'Copy link' and 'Replace link' instead of 'Create link' (refresh the page if the count has not updated).
6. A row 'CIT' with the badge 'Active' and '0 of 50 used · expires &lt;date/time&gt;'.
7. It shows 'Copied'; the pasted URL is the same one you saved.
8. The portal opens a consent page with 'UAT Study 01' and 'CIT' in the top banner and the steps 'Your details', 'Confirm', 'The notice', 'Done', asking for a 'Mobile number'. Close the window without continuing.</t>
        </is>
      </c>
      <c r="M62" s="11" t="inlineStr">
        <is>
          <t>An active link is minted with the chosen expiry and limit, its URL points at the portal (port 3001), it can be copied again later, and it opens the consent page for the right project and site.</t>
        </is>
      </c>
      <c r="N62" s="16" t="n"/>
      <c r="O62" s="17" t="n"/>
      <c r="P62" s="16" t="inlineStr">
        <is>
          <t>Not run</t>
        </is>
      </c>
      <c r="Q62" s="16" t="n"/>
      <c r="R62" s="16" t="n"/>
    </row>
    <row r="63">
      <c r="A63" s="10" t="inlineStr">
        <is>
          <t>PRJ-19</t>
        </is>
      </c>
      <c r="B63" s="11" t="inlineStr">
        <is>
          <t>Projects, notices and links</t>
        </is>
      </c>
      <c r="C63" s="11" t="inlineStr">
        <is>
          <t>DCO replaces a consent link; the old URL stops working and the new one works</t>
        </is>
      </c>
      <c r="D63" s="11" t="inlineStr">
        <is>
          <t>Replace consent link</t>
        </is>
      </c>
      <c r="E63" s="11" t="inlineStr">
        <is>
          <t>DCO</t>
        </is>
      </c>
      <c r="F63" s="11" t="inlineStr">
        <is>
          <t>High</t>
        </is>
      </c>
      <c r="G63" s="11" t="inlineStr">
        <is>
          <t>Positive</t>
        </is>
      </c>
      <c r="H63" s="11" t="inlineStr">
        <is>
          <t>Core</t>
        </is>
      </c>
      <c r="I63" s="11" t="inlineStr">
        <is>
          <t>- PRJ-18 completed (URL saved in a notepad as 'old URL').
- Signed in to the console (http://localhost:3000) as Arun Shetty, DCO (dco@cmp.local):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63" s="11" t="inlineStr">
        <is>
          <t>- Site: CIT (UAT Study 01)</t>
        </is>
      </c>
      <c r="K63" s="11" t="inlineStr">
        <is>
          <t>1. Click 'Consent links' in the sidebar.
2. Set the 'Status' filter to 'Active' and find the CIT row for UAT Study 01.
3. Click 'Replace' on that row.
4. Click 'Revoke and replace'.
5. Click 'Copy link', save it as 'new URL', then click 'I have copied it'.
6. Set 'Status' to 'All statuses' and look at the CIT rows.
7. Open the old URL in a private window.
8. Open the new URL in a private window.</t>
        </is>
      </c>
      <c r="L63" s="11" t="inlineStr">
        <is>
          <t>1. Page 'Consent links' opens with the info box 'The link is a credential' and a table with Site, Project, Status, Uses, Registrations, Expires, Actions.
2. The row shows 'Active', 'Copy link', 'Replace' and 'Revoke'.
3. Dialog 'Replace the link for CIT?' opens: 'The old link stops working immediately. The new URL is shown once.', a yellow box 'This revokes the current link', Site/Expires/Uses, and 'The replacement inherits the same expiry and use limit...'. Buttons 'Cancel' and 'Revoke and replace'.
4. The dialog changes to 'Copy this now' with a yellow box 'This is the only time you will see this' and the new URL (starting http://localhost:3001/c/).
5. The dialog closes.
6. The old link shows 'Revoked' (with 'New link' offered instead of Replace); a new link shows 'Active' with the same expiry and use limit.
7. The portal shows 'This link is not valid' and 'It may have expired, been withdrawn, or been mistyped. Please ask the person who gave it to you for a current one.' No project or notice details are shown.
8. The consent page for 'UAT Study 01' / 'CIT' opens at 'Your details'.</t>
        </is>
      </c>
      <c r="M63" s="11" t="inlineStr">
        <is>
          <t>Replacing revokes the old link and issues a new one in one step; only the new URL works on the portal.</t>
        </is>
      </c>
      <c r="N63" s="16" t="n"/>
      <c r="O63" s="17" t="n"/>
      <c r="P63" s="16" t="inlineStr">
        <is>
          <t>Not run</t>
        </is>
      </c>
      <c r="Q63" s="16" t="n"/>
      <c r="R63" s="16" t="n"/>
    </row>
    <row r="64">
      <c r="A64" s="10" t="inlineStr">
        <is>
          <t>PRJ-20</t>
        </is>
      </c>
      <c r="B64" s="11" t="inlineStr">
        <is>
          <t>Projects, notices and links</t>
        </is>
      </c>
      <c r="C64" s="11" t="inlineStr">
        <is>
          <t>A revoked consent link shows 'This link is not valid' on the portal</t>
        </is>
      </c>
      <c r="D64" s="11" t="inlineStr">
        <is>
          <t>Revoke consent link</t>
        </is>
      </c>
      <c r="E64" s="11" t="inlineStr">
        <is>
          <t>RCO</t>
        </is>
      </c>
      <c r="F64" s="11" t="inlineStr">
        <is>
          <t>High</t>
        </is>
      </c>
      <c r="G64" s="11" t="inlineStr">
        <is>
          <t>Negative</t>
        </is>
      </c>
      <c r="H64" s="11" t="inlineStr">
        <is>
          <t>Core</t>
        </is>
      </c>
      <c r="I64" s="11" t="inlineStr">
        <is>
          <t>- PRJ-15 completed (SE site on UAT Study 01 owned by Meera Iyer).
- Signed in to the console (http://localhost:3000) as Meera Iyer, RCO (rco@cmp.local):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64" s="11" t="inlineStr">
        <is>
          <t>- Site: SE (UAT Study 01)
- Expires at: 3 days from now
- Maximum uses: (blank = unlimited)</t>
        </is>
      </c>
      <c r="K64" s="11" t="inlineStr">
        <is>
          <t>1. Open 'Collection sites', click 'UAT Study 01' on the SE row, and click 'Create link' on SE.
2. Set 'Expires at' and click 'Create link'. Copy the URL, then click 'Done'.
3. Open the URL in a private window.
4. Click 'Consent links' in the sidebar and find the SE row for UAT Study 01.
5. Click 'Revoke'.
6. Open the same URL again in a private window.</t>
        </is>
      </c>
      <c r="L64" s="11" t="inlineStr">
        <is>
          <t>1. Dialog 'Consent link for SE' opens.
2. Toast 'Consent link created'; the URL starts http://localhost:3001/c/. The SE row shows 'Copy link' and 'Replace link'.
3. The consent page for 'UAT Study 01' / 'SE' opens. Close it.
4. The row shows 'Active' with 'Copy link', 'Replace' and 'Revoke'. Meera does not see the CIT link of UAT Study 01.
5. Toast 'Link revoked' says 'SE no longer resolves for anyone holding it.' The status changes to 'Revoked'; 'Copy link', 'Replace' and 'Revoke' disappear and 'New link' is offered.
6. The portal shows only 'This link is not valid' with 'It may have expired, been withdrawn, or been mistyped...'. It does not say the link was revoked and shows no project or notice.</t>
        </is>
      </c>
      <c r="M64" s="11" t="inlineStr">
        <is>
          <t>A revoked link no longer opens the consent flow and the portal gives only the neutral 'This link is not valid' message.</t>
        </is>
      </c>
      <c r="N64" s="16" t="n"/>
      <c r="O64" s="17" t="n"/>
      <c r="P64" s="16" t="inlineStr">
        <is>
          <t>Not run</t>
        </is>
      </c>
      <c r="Q64" s="16" t="n"/>
      <c r="R64" s="16" t="n"/>
    </row>
    <row r="65">
      <c r="A65" s="10" t="inlineStr">
        <is>
          <t>PRJ-21</t>
        </is>
      </c>
      <c r="B65" s="11" t="inlineStr">
        <is>
          <t>Projects, notices and links</t>
        </is>
      </c>
      <c r="C65" s="11" t="inlineStr">
        <is>
          <t>An expired consent link shows 'This link is not valid' on the portal</t>
        </is>
      </c>
      <c r="D65" s="11" t="inlineStr">
        <is>
          <t>Consent link expiry</t>
        </is>
      </c>
      <c r="E65" s="11" t="inlineStr">
        <is>
          <t>RCO</t>
        </is>
      </c>
      <c r="F65" s="11" t="inlineStr">
        <is>
          <t>Medium</t>
        </is>
      </c>
      <c r="G65" s="11" t="inlineStr">
        <is>
          <t>Negative</t>
        </is>
      </c>
      <c r="H65" s="11" t="inlineStr">
        <is>
          <t>Core</t>
        </is>
      </c>
      <c r="I65" s="11" t="inlineStr">
        <is>
          <t>- PRJ-20 completed (SE link revoked, no live link on SE).
- Signed in to the console (http://localhost:3000) as Meera Iyer, RCO (rco@cmp.local):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65" s="11" t="inlineStr">
        <is>
          <t>- Expires at: about 3 minutes from now</t>
        </is>
      </c>
      <c r="K65" s="11" t="inlineStr">
        <is>
          <t>1. On 'Consent links', click 'New link' on the revoked SE row.
2. Set 'Expires at' to about 3 minutes from now and click 'Create link'.
3. Click 'Copy link', save the URL, click 'Done', and open the URL in a private window straight away.
4. Wait until the expiry time has passed (about 4 minutes), then open the same URL again.
5. Back in the console, refresh 'Consent links'.</t>
        </is>
      </c>
      <c r="L65" s="11" t="inlineStr">
        <is>
          <t>1. Dialog 'New link for SE' opens: 'The URL is shown once and then only its digest is kept. Copy it before closing.'
2. Toast 'Consent link created' and the URL is shown under 'Copy this now'.
3. Before the expiry time, the consent page for 'UAT Study 01' / 'SE' opens. Close it.
4. The portal shows 'This link is not valid' with 'It may have expired, been withdrawn, or been mistyped...'. It does not say it expired.
5. The link row's 'Expires' time is in the past. Its status turns to 'Expired' when the platform's periodic clean-up runs (every 15 minutes where scheduled); until then it may still read 'Active' - that is not a failure, the portal already refuses it.</t>
        </is>
      </c>
      <c r="M65" s="11" t="inlineStr">
        <is>
          <t>The portal refuses the link as soon as its expiry time passes, with the same neutral 'This link is not valid' message.</t>
        </is>
      </c>
      <c r="N65" s="16" t="n"/>
      <c r="O65" s="17" t="n"/>
      <c r="P65" s="16" t="inlineStr">
        <is>
          <t>Not run</t>
        </is>
      </c>
      <c r="Q65" s="16" t="n"/>
      <c r="R65" s="16" t="n"/>
    </row>
    <row r="66">
      <c r="A66" s="10" t="inlineStr">
        <is>
          <t>PRJ-22</t>
        </is>
      </c>
      <c r="B66" s="11" t="inlineStr">
        <is>
          <t>Projects, notices and links</t>
        </is>
      </c>
      <c r="C66" s="11" t="inlineStr">
        <is>
          <t>Publishing a replacement notice under a new code keeps one notice in force, and the consent links follow it</t>
        </is>
      </c>
      <c r="D66" s="11" t="inlineStr">
        <is>
          <t>One published notice per project; links move to the new notice</t>
        </is>
      </c>
      <c r="E66" s="11" t="inlineStr">
        <is>
          <t>DPO</t>
        </is>
      </c>
      <c r="F66" s="11" t="inlineStr">
        <is>
          <t>High</t>
        </is>
      </c>
      <c r="G66" s="11" t="inlineStr">
        <is>
          <t>Positive</t>
        </is>
      </c>
      <c r="H66" s="11" t="inlineStr">
        <is>
          <t>Core</t>
        </is>
      </c>
      <c r="I66" s="11" t="inlineStr">
        <is>
          <t>- PRJ-16 and PRJ-19 completed (NTC-UAT-STUDY-01-2026 v2 is published; the CIT link saved as 'new URL' is active).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The test coordinator relays one-time codes, and Anjali Verma (+91 90000 00001) has a portal account.</t>
        </is>
      </c>
      <c r="J66" s="11" t="inlineStr">
        <is>
          <t>- Notice to copy: NTC-GAIT-2026 v1 — Gait Identification Study 2026
- A code that belongs to another project: NTC-GAIT-2026</t>
        </is>
      </c>
      <c r="K66" s="11" t="inlineStr">
        <is>
          <t>1. Open project 'UAT Study 01', click the 'Setup' tab and in the 'Notices' card click 'Copy an existing notice', choose 'NTC-GAIT-2026 v1 — Gait Identification Study 2026' and click 'Copy into this project'.
2. Open the new notice. In 'Legal approval, per language' click 'Approve' on each language row.
3. Click 'Publish this notice', then 'Publish and freeze'.
4. Return to the project and look at the 'Notices' card.
5. In a private window open the CIT 'new URL' saved in PRJ-19. Send a code to +91 90000 00001, type the relayed code and click 'Verify and continue'.
6. Back in the console, on 'UAT Study 01' click 'New notice', then 'Set the code myself', type NTC-GAIT-2026 in 'Notice code', fill the other required fields and click 'Create notice'.</t>
        </is>
      </c>
      <c r="L66" s="11" t="inlineStr">
        <is>
          <t>1. A toast 'Copied into NTC-UAT-STUDY-01-2026-2' (the code may end differently) says it is a fresh draft. The 'Notices' card now lists it as 'Draft' beside v2 'Published'.
2. Each row shows 'Approved'. The 'Publication checklist' reads 'This notice is complete and ready to publish.'
3. Toast 'Notice published'. The notice's badge reads 'Published'.
4. The new notice shows 'Published'. NTC-UAT-STUDY-01-2026 v2 now shows 'Superseded', and v1 'Superseded'. Only one notice on the project is 'Published'.
5. The link still works - it is not 'This link is not valid'. The notice shown is the new one's wording (the Gait notice, starting 'NOTICE UNDER SECTION 5'), not v2's. Close the window without recording a choice.
6. The notice is not created. Under 'Notice code' a message reads 'NTC-GAIT-2026 is another project's notice code. Leave the code empty to have one generated, or use this project's own.' Close the dialog.</t>
        </is>
      </c>
      <c r="M66" s="11" t="inlineStr">
        <is>
          <t>Publishing a notice under a new code supersedes the one in force, so a project never has two published notices; an existing consent link keeps working and shows the notice now in force; another project's notice code cannot be used.</t>
        </is>
      </c>
      <c r="N66" s="16" t="n"/>
      <c r="O66" s="17" t="n"/>
      <c r="P66" s="16" t="inlineStr">
        <is>
          <t>Not run</t>
        </is>
      </c>
      <c r="Q66" s="16" t="n"/>
      <c r="R66" s="16" t="n"/>
    </row>
    <row r="67">
      <c r="A67" s="10" t="inlineStr">
        <is>
          <t>PRJ-23</t>
        </is>
      </c>
      <c r="B67" s="11" t="inlineStr">
        <is>
          <t>Projects, notices and links</t>
        </is>
      </c>
      <c r="C67" s="11" t="inlineStr">
        <is>
          <t>DPO writes a notice template before any project exists, finds it under Templates and edits it</t>
        </is>
      </c>
      <c r="D67" s="11" t="inlineStr">
        <is>
          <t>Notice templates - create, purposes, languages, edit (new in this release)</t>
        </is>
      </c>
      <c r="E67" s="11" t="inlineStr">
        <is>
          <t>DPO</t>
        </is>
      </c>
      <c r="F67" s="11" t="inlineStr">
        <is>
          <t>High</t>
        </is>
      </c>
      <c r="G67" s="11" t="inlineStr">
        <is>
          <t>Positive</t>
        </is>
      </c>
      <c r="H67" s="11" t="inlineStr">
        <is>
          <t>Core</t>
        </is>
      </c>
      <c r="I67"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The seed has no notice templates: this case makes the first one. The register holds the seeded purposes 'Gait model training' (PUR-GAIT-TRAIN) and 'Recording quality assurance' (PUR-QUALITY), both active.</t>
        </is>
      </c>
      <c r="J67" s="11" t="inlineStr">
        <is>
          <t>- Template name: UAT Gait template 01; after editing: UAT Gait template 01 (adults)
- DPO contact: dpo@example.org
- Applies to: Data subjects — people outside the organisation
- Note for the collector: Read the notice aloud if the person asks.
- Withdraw consent URL: https://example.org/withdraw
- Exercise rights URL: https://example.org/rights
- Board complaint URL: https://example.org/complain
- Language: English; Notice text: 'UAT template notice. We record gait video and facial images to train and check gait models. Contact the Privacy Office at dpo@example.org with any question.'
- Purposes: Gait model training (Mandatory ticked), Recording quality assurance (Mandatory not ticked)
- Hindi text: 'यह UAT टेम्पलेट सूचना है। (UAT template notice - Hindi)'
- Template ID: minted by the system as TPL- and four digits (for example TPL-0001). Write down the one you get; PRJ-24 and PRJ-25 use it.</t>
        </is>
      </c>
      <c r="K67" s="11" t="inlineStr">
        <is>
          <t>1. Click 'Dashboard' in the sidebar and look at the buttons at the top right of the page.
2. Click 'New notice template'.
3. Fill every field from the test data (choose 'Data subjects — people outside the organisation' in 'Applies to', leave 'Language' on 'English' and paste the English text) and click 'Create template'.
4. Read the 'Template ID' card at the top, then click 'Copy ID'.
5. Read the 'Details' card.
6. In the 'Purposes · 0' card ('No purposes yet.'), open 'Add a purpose', choose 'Gait model training (PUR-GAIT-TRAIN)', tick 'Mandatory' and click 'Add'.
7. Choose 'Recording quality assurance (PUR-QUALITY)', leave 'Mandatory' unticked and click 'Add'.
8. In the 'Text · 1 language' card (one row 'English' with 'Priya Menon · &lt;time&gt;', 'Edit' and a bin icon), click 'Add a language'.
9. Choose 'Hindi', paste the Hindi text and click 'Save text'.
10. Click 'Notice templates' at the top of the page.
11. Click 'Templates', then your template's ID. Click 'Edit details', change 'Template name' to 'UAT Gait template 01 (adults)' and click 'Save changes'.</t>
        </is>
      </c>
      <c r="L67" s="11" t="inlineStr">
        <is>
          <t>1. Two buttons: 'Log an incident' (highlighted) and beside it 'New notice template'.
2. A dialog 'New notice template' opens: 'A notice written before any project exists. A project uses it by its ID, which makes that project's own draft notice from it.' Fields: 'Template name', 'DPO contact', 'Applies to' (showing 'Not decided yet'), 'Note for the collector', 'Withdraw consent URL', 'Exercise rights URL', 'Board complaint URL', then 'Language' (showing 'English') and 'Notice text'. Buttons 'Cancel' and 'Create template'. There is no project field and no notice-code field.
3. The dialog closes and a green toast 'Template TPL-&lt;number&gt; created' says 'Add its purposes and languages, then give the ID to the study's R&amp;D User.' The template's own page opens: small heading 'Notice template', title 'UAT Gait template 01', the badge 'Active' and the buttons 'Edit details' and 'Retire'.
4. It shows the ID in large type (TPL- and four digits) with 'Give this to the study's R&amp;D User. On their project they choose Use a notice template and enter it; the project gets its own draft notice from it, to approve and publish.' After 'Copy ID' a toast '&lt;ID&gt; copied' appears. Write the ID down.
5. 'Written by Priya Menon on &lt;date and time&gt; · last changed &lt;date and time&gt;', and the values you typed under 'Applies to', 'DPO contact', 'Withdraw consent', 'Exercise rights', 'Board complaint' and 'Note for the collector'.
6. 'Add' is greyed out until a purpose is chosen. After it, the card title reads 'Purposes · 1' and lists 'Gait model training PUR-GAIT-TRAIN' with 'Mandatory' and its data categories. A draft purpose would be offered too, ending ' - draft'.
7. 'Purposes · 2'; the new line reads 'Optional'. 'Gait model training' is no longer offered in 'Add a purpose'.
8. A dialog 'Add a language' opens with 'Language' (English is not offered, it is already there) and 'Notice text'. 'Save text' is greyed out until text is typed.
9. A toast 'Text saved'. The card reads 'Text · 2 languages' with rows 'English' and 'Hindi'. Nothing on the page asks for a legal approval: that is given on each project's notice made from the template.
10. The 'Notices' page opens on its 'Templates' tab (beside 'Project notices'), with a blue note 'Write a notice here before the project exists...', 'Search' ('ID or name'), a 'Status' filter on 'Active', and a table ID, Name, Status, Purposes, Languages, Used by, Updated. Your template's row reads 'UAT Gait template 01', 'Active', 2, 2, '0 projects'. 'New notice template' is at the top right; click 'Project notices' and it is still there.
11. A dialog 'Edit the template' opens with the same fields except 'Language' and 'Notice text' (those are edited on the page). After saving, the toast 'Template saved' appears and the title reads 'UAT Gait template 01 (adults)'; 'last changed' shows the new time. Purposes and text are unchanged.</t>
        </is>
      </c>
      <c r="M67" s="11" t="inlineStr">
        <is>
          <t>The DPO can write a notice with no project under a system-minted TPL- ID, give it purposes from the register and text in two languages with no approval step, find it under the Templates tab, and edit it in place.</t>
        </is>
      </c>
      <c r="N67" s="16" t="n"/>
      <c r="O67" s="17" t="n"/>
      <c r="P67" s="16" t="inlineStr">
        <is>
          <t>Not run</t>
        </is>
      </c>
      <c r="Q67" s="16" t="n"/>
      <c r="R67" s="16" t="n"/>
    </row>
    <row r="68">
      <c r="A68" s="10" t="inlineStr">
        <is>
          <t>PRJ-24</t>
        </is>
      </c>
      <c r="B68" s="11" t="inlineStr">
        <is>
          <t>Projects, notices and links</t>
        </is>
      </c>
      <c r="C68" s="11" t="inlineStr">
        <is>
          <t>R&amp;D User makes a new project's draft notice from a template with 'Use a notice template'</t>
        </is>
      </c>
      <c r="D68" s="11" t="inlineStr">
        <is>
          <t>Notice templates - use on a project (new in this release)</t>
        </is>
      </c>
      <c r="E68" s="11" t="inlineStr">
        <is>
          <t>R&amp;D User, DPO</t>
        </is>
      </c>
      <c r="F68" s="11" t="inlineStr">
        <is>
          <t>High</t>
        </is>
      </c>
      <c r="G68" s="11" t="inlineStr">
        <is>
          <t>Positive</t>
        </is>
      </c>
      <c r="H68" s="11" t="inlineStr">
        <is>
          <t>Core</t>
        </is>
      </c>
      <c r="I68" s="11" t="inlineStr">
        <is>
          <t>- PRJ-23 completed (template 'UAT Gait template 01 (adults)' is Active; you have its ID).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Priya Menon (dpo@cmp.local) available for the second half.</t>
        </is>
      </c>
      <c r="J68" s="11" t="inlineStr">
        <is>
          <t>- Project name: UAT Study 03
- Description: Template-notice UAT project.
- Processor: SEED
- Template ID: the one from PRJ-23, typed in lower case (e.g. tpl-0001)
- A made-up ID: TPL-9999
- Expected notice code: NTC-UAT-STUDY-03-2026 (a suffix such as -2 is added if that code exists from an earlier run)
- Sentence added to the template afterwards: 'Template change after use.'</t>
        </is>
      </c>
      <c r="K68" s="11" t="inlineStr">
        <is>
          <t>1. On the 'Dashboard' click 'Register a project' at the top right (the R&amp;D User's only button there). Enter the name and description, tick 'SEED' and click 'Register project'.
2. Click the 'Setup' tab. In the 'Notices' card ('No notice yet') click 'Use a notice template'.
3. Type TPL-9999 in 'Template ID' and click 'Look up'.
4. Clear the box, type the PRJ-23 ID in lower case and click 'Look up'.
5. Click 'Make this project's notice from it'.
6. Read the 'Rule 3 elements' card.
7. Look at the 'Purposes', 'Legal approval, per language' and 'Publication checklist' cards.
8. Click 'UAT Study 03' at the top of the notice page to return to the project, open the 'Setup' tab and look at the 'Notices' card and 'What happens next'.
9. Sign out and sign in as dpo@cmp.local. Click 'Notices', then the 'Templates' tab, and open the template.
10. Click 'Edit details' and read the top of the dialog, then click 'Cancel'.
11. In 'Text · 2 languages' click 'Edit' on the 'English' row. In 'Edit the text' add the sentence from the test data at the end and click 'Save text'.
12. In 'Used by' click 'NTC-UAT-STUDY-03-2026 v1' and read its 'Notice text' card.</t>
        </is>
      </c>
      <c r="L68" s="11" t="inlineStr">
        <is>
          <t>1. The same 'Register a project' dialog as on the Projects page. A toast 'Project registered' appears and the 'UAT Study 03' page opens straight away with status 'In Draft'.
2. The card offers 'Upload a notice document', 'Copy an existing notice' and 'Use a notice template'. A dialog 'Use a notice template' opens: 'A notice the Privacy Office wrote ahead of the project. Enter the ID they gave you.' with 'Template ID' (hint 'The ID the Privacy Office gave you, like TPL-0007.'), 'Look up', 'Cancel' and a greyed-out 'Make this project's notice from it'.
3. A yellow box: 'There is no template TPL-9999. Check the ID with the Privacy Office.' 'Make this project's notice from it' stays greyed out.
4. It is shown in capitals and found. A box shows '&lt;ID&gt; · UAT Gait template 01 (adults)', 'For Data subjects — people outside the organisation · 2 languages (english, hindi)', and the purposes 'Gait model training · mandatory' and 'Recording quality assurance · optional'. Below: 'This project gets its own draft notice: the wording, the purposes and every language are copied, under the project's own notice code. Nothing is approved yet, and a later change to the template does not reach it.' The 'Make this project's notice from it' button is now clickable.
5. A toast 'NTC-UAT-STUDY-03-2026 made from &lt;ID&gt;' says 'A draft. Approve each language, then publish it.' The notice page opens: 'NTC-UAT-STUDY-03-2026 · version 1', badge 'Draft'.
6. 'Withdraw consent', 'Exercise rights', 'Board complaint' and 'DPO contact' show the template's values. A line 'Made from' reads 'Template &lt;ID&gt;' with 'A copy: later changes to the template do not reach this notice.'
7. Purposes: 'Gait model training' and 'Recording quality assurance', both 'Active'. Legal approval: English and Hindi rows, each 'Not legally approved'. The checklist lists 'the english text is not legally approved' and 'the hindi text is not legally approved'. As for any draft, there is NO 'Approve' and NO 'Publish this notice' for the R&amp;D User.
8. The card lists 'NTC-UAT-STUDY-03-2026 v1' with '2 purposes · 2 language(s)' and 'Draft'. Under 'Moves the project to Pending Approval' the notice lines are gone; only 'No approval with a proof file' remains. From here the project goes on as in PRJ-08 to PRJ-12.
9. The list row now says '1 project' under 'Used by'. On the template page 'Used by · 1' lists 'NTC-UAT-STUDY-03-2026 v1', 'UAT Study 03' and 'Draft'. The template itself is unchanged: badge 'Active', 'Purposes · 2', 'Text · 2 languages'.
10. A blue note: '1 project notice was made from this template. They are copies and keep what they were made with; changes here reach only notices made from now on.'
11. A toast 'Text saved'; the template's English text now ends with the new sentence.
12. The project's notice still has the English text as it was copied, WITHOUT 'Template change after use.' It is still 'Draft' and its English row still reads 'Not legally approved'.</t>
        </is>
      </c>
      <c r="M68" s="11" t="inlineStr">
        <is>
          <t>'Use a notice template' looks the ID up first, then makes the project's own draft notice under the project's code with the template's links, purposes and both languages, nothing approved; the notice names the template it came from, the template is listed as used but otherwise untouched, and a later edit to the template does not reach the notice.</t>
        </is>
      </c>
      <c r="N68" s="16" t="n"/>
      <c r="O68" s="17" t="n"/>
      <c r="P68" s="16" t="inlineStr">
        <is>
          <t>Not run</t>
        </is>
      </c>
      <c r="Q68" s="16" t="n"/>
      <c r="R68" s="16" t="n"/>
    </row>
    <row r="69">
      <c r="A69" s="10" t="inlineStr">
        <is>
          <t>PRJ-25</t>
        </is>
      </c>
      <c r="B69" s="11" t="inlineStr">
        <is>
          <t>Projects, notices and links</t>
        </is>
      </c>
      <c r="C69" s="11" t="inlineStr">
        <is>
          <t>Only the DPO writes notice templates; an incomplete one is refused and a retired one cannot be used</t>
        </is>
      </c>
      <c r="D69" s="11" t="inlineStr">
        <is>
          <t>Notice templates - who, validation, retire (new in this release)</t>
        </is>
      </c>
      <c r="E69" s="11" t="inlineStr">
        <is>
          <t>R&amp;D User, DCO, DPO</t>
        </is>
      </c>
      <c r="F69" s="11" t="inlineStr">
        <is>
          <t>Medium</t>
        </is>
      </c>
      <c r="G69" s="11" t="inlineStr">
        <is>
          <t>Negative</t>
        </is>
      </c>
      <c r="H69" s="11" t="inlineStr">
        <is>
          <t>Core</t>
        </is>
      </c>
      <c r="I69" s="11" t="inlineStr">
        <is>
          <t>- PRJ-23 and PRJ-24 completed.
- Signed in to the console (http://localhost:3000) as Kavya Rao, R&amp;D User (rnd@cmp.local):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Arun Shetty (dco@cmp.local) and Priya Menon (dpo@cmp.local) available.</t>
        </is>
      </c>
      <c r="J69" s="11" t="inlineStr">
        <is>
          <t>- Template ID: the one from PRJ-23
- Incomplete template: name 'UAT Bad template', DPO contact dpo@example.org, Withdraw consent URL example.org/withdraw (no https://), the other two URLs as in PRJ-23</t>
        </is>
      </c>
      <c r="K69" s="11" t="inlineStr">
        <is>
          <t>1. As Kavya Rao look at the top right of the 'Dashboard', then click 'Notices' in the sidebar.
2. Sign out and sign in as dco@cmp.local. Open project 'UAT Study 01' (Projects &gt; search &gt; click the name) and click the 'Setup' tab.
3. Sign out and sign in as dpo@cmp.local. Click 'Notices', then 'New notice template', and click 'Create template' with every field empty.
4. Fill the fields from the 'Incomplete template' test data and click 'Create template'.
5. Click 'Cancel'. On the 'Templates' tab type 'UAT Bad' in 'Search' (the list updates as you type).
6. Open the PRJ-23 template and click 'Retire'.
7. Click 'Notice templates'. With 'Status' on 'Active' look for the template, then set 'Status' to 'Retired'.
8. Sign out and sign in as rnd@cmp.local. Open 'UAT Study 03', click 'Setup', then 'Use a notice template' at the top of the 'Notices' card. Type the ID and click 'Look up'.
9. Restore: sign in as dpo@cmp.local, open the template and click 'Bring back'.</t>
        </is>
      </c>
      <c r="L69" s="11" t="inlineStr">
        <is>
          <t>1. The dashboard offers only 'Register a project' - no 'New notice template'. The 'Notices' page has no 'New notice template' button and no 'Project notices' / 'Templates' tabs: only the list of project notices.
2. The 'Notices' card lists the project's notices but offers none of 'Upload a notice document', 'Copy an existing notice' or 'Use a notice template': bringing a notice is for the project's R&amp;D User and the DPO.
3. The dialog stays open with messages under the fields: 'Give it a name the list can show - what kind of study it is for', 'State how the DPO can be reached', 'The withdrawal URL is required', 'The rights URL is required' and 'The Board complaint URL is required'.
4. Under 'Withdraw consent URL': 'The withdrawal URL has to start with http:// or https://'. No template is created.
5. 'No templates match'. Clear the search.
6. A toast '&lt;ID&gt; retired' says 'It can no longer be attached to a project.' The badge reads 'Retired', the button now reads 'Bring back', and the 'Template ID' card says 'Retired: it can no longer be used. Notices already made from it are unaffected. Bring it back to use it again.' 'Used by · 1' still lists the UAT Study 03 notice.
7. It is not in the 'Active' list; under 'Retired' it is listed with the badge 'Retired'.
8. The template is found and shown, with a yellow box 'The Privacy Office has retired this template. Ask them which one to use instead.' 'Make this project's notice from it' stays greyed out. Click 'Cancel': the Notices card still shows only NTC-UAT-STUDY-03-2026 v1.
9. A toast '&lt;ID&gt; is back in use'; the badge reads 'Active' again.</t>
        </is>
      </c>
      <c r="M69" s="11" t="inlineStr">
        <is>
          <t>Only the DPO can create or change a template; a template without a name, contact or valid links is refused field by field and nothing is saved; a retired template is found by ID but cannot be used on a project, and the notice already made from it is unaffected.</t>
        </is>
      </c>
      <c r="N69" s="16" t="n"/>
      <c r="O69" s="17" t="n"/>
      <c r="P69" s="16" t="inlineStr">
        <is>
          <t>Not run</t>
        </is>
      </c>
      <c r="Q69" s="16" t="n"/>
      <c r="R69" s="16" t="n"/>
    </row>
    <row r="70">
      <c r="A70" s="10" t="inlineStr">
        <is>
          <t>CON-01</t>
        </is>
      </c>
      <c r="B70" s="11" t="inlineStr">
        <is>
          <t>Consent and data exchange</t>
        </is>
      </c>
      <c r="C70" s="11" t="inlineStr">
        <is>
          <t>A registered data principal gives consent through the link using her mobile</t>
        </is>
      </c>
      <c r="D70" s="11" t="inlineStr">
        <is>
          <t>Consent link: identify, confirm, read the notice, choose, receipt</t>
        </is>
      </c>
      <c r="E70" s="11" t="inlineStr">
        <is>
          <t>Data principal (Anjali Verma)</t>
        </is>
      </c>
      <c r="F70" s="11" t="inlineStr">
        <is>
          <t>High</t>
        </is>
      </c>
      <c r="G70" s="11" t="inlineStr">
        <is>
          <t>Positive</t>
        </is>
      </c>
      <c r="H70" s="11" t="inlineStr">
        <is>
          <t>Core</t>
        </is>
      </c>
      <c r="I70"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Anjali Verma (subject@cmp.local, +91 90000 00001) is a registered data principal who has already given her date of birth.</t>
        </is>
      </c>
      <c r="J70" s="11" t="inlineStr">
        <is>
          <t>- Mobile: +91 90000 00001
- Choices: 'Gait model training' = I agree; 'Recording quality assurance' = I agree</t>
        </is>
      </c>
      <c r="K70" s="11" t="inlineStr">
        <is>
          <t>1. Open the CIT consent link.
2. Look at the form before typing anything.
3. Type +91 90000 00001 in 'Mobile number' and click 'Send the code'.
4. Type only five digits in 'Six-digit code'.
5. Complete the code with the one the coordinator relays and click 'Verify and continue'.
6. Scroll to the card 'What are you agreeing to?'.
7. Click 'I agree' on 'Gait model training' only.
8. On 'Recording quality assurance' click 'I do not agree', then change your mind and click 'I agree'.
9. Click 'Record my choices'.
10. Ask the coordinator to look in the test outbox for +91 90000 00001.
11. Click 'Review your consents'.</t>
        </is>
      </c>
      <c r="L70" s="11" t="inlineStr">
        <is>
          <t>1. The page opens with a coloured banner showing 'Gait Identification Study 2026' and 'CIT'. A step bar shows 'Your details', 'Confirm', 'The notice', 'Done' with 'Your details' current. A card 'Your details' says 'Confirm your mobile number or email to read the notice and make your choices.' Because this notice is in more than one language, a 'Read the notice in' drop-down showing 'English' is above 'Send my code to'.
2. Under 'Send my code to' the 'Mobile' option is already selected ('Email' is the other option). There is ONE box, 'Mobile number', with the hint 'The one your account is registered with.' There is no box for a name, date of birth or a second contact. 'Send the code' is greyed out. Below it: 'No account yet? Create one — it takes a minute, and this page will be waiting when you come back.'
3. The card changes to 'Confirm your mobile': 'We have sent a six-digit code to +91 90000 00001. It expires in ten minutes.' Below the code box are 'Send a new code' and 'Use a different contact'. The step bar moves to 'Confirm'.
4. The box accepts digits only, and 'Verify and continue' stays greyed out.
5. No date-of-birth question appears (Anjali already gave one). The step bar moves to 'The notice'. A 'Read this in' dropdown shows 'English'. A card 'The notice' shows the notice text (starting 'NOTICE UNDER SECTION 5, DIGITAL PERSONAL DATA PROTECTION ACT 2023'), then 'Data Protection Officer:', 'Who else sees your data:', the links 'Exercise your rights', 'Withdraw consent', 'Complain to the Data Protection Board', and 'Version 1 · content hash …'.
6. Two purposes are listed: 'Gait model training' and 'Recording quality assurance'. Each shows a description, 'What this allows:', 'Data collected:' and 'Kept for:', and two buttons of the same size, 'I agree' and 'I do not agree'. NEITHER button is selected on either purpose. 'Record my choices' is greyed out and the line 'Answer every purpose above, or decline the whole notice.' is shown. 'Decline everything' is active and the same size as 'Record my choices'.
7. That choice is highlighted. 'Record my choices' is still greyed out and the line 'Answer every purpose above, or decline the whole notice.' is still shown.
8. The highlight moves from 'I do not agree' to 'I agree'. 'Record my choices' becomes active and the 'Answer every purpose above…' line disappears.
9. The step bar moves to 'Done'. A green tick and the heading 'Your choices are recorded' appear, with 'A receipt is on its way to you. You can review or withdraw your consent at any time - withdrawing is as easy as this was.' Below: 'Your reference:' followed by a long code (write it down), and the links 'Review your consents' and 'Your rights'.
10. A receipt message for this consent is in the outbox.
11. The portal page 'My consents' opens, signed in as Anjali, with a card 'Gait Identification Study 2026', status 'Consented' and the line 'You agreed to both purposes.'</t>
        </is>
      </c>
      <c r="M70" s="11" t="inlineStr">
        <is>
          <t>Only one contact and a code were asked for; no purpose was pre-selected; the consent could only be recorded once every purpose was answered; the Done step shows 'Your choices are recorded' with a reference; a receipt was sent; the record shows as Consented, 2 of 2.</t>
        </is>
      </c>
      <c r="N70" s="16" t="n"/>
      <c r="O70" s="17" t="n"/>
      <c r="P70" s="16" t="inlineStr">
        <is>
          <t>Not run</t>
        </is>
      </c>
      <c r="Q70" s="16" t="n"/>
      <c r="R70" s="16" t="n"/>
    </row>
    <row r="71">
      <c r="A71" s="10" t="inlineStr">
        <is>
          <t>CON-02</t>
        </is>
      </c>
      <c r="B71" s="11" t="inlineStr">
        <is>
          <t>Consent and data exchange</t>
        </is>
      </c>
      <c r="C71" s="11" t="inlineStr">
        <is>
          <t>The link never reveals whether a contact is registered, and a wrong code is refused</t>
        </is>
      </c>
      <c r="D71" s="11" t="inlineStr">
        <is>
          <t>Consent link: neutral identification and code check</t>
        </is>
      </c>
      <c r="E71" s="11" t="inlineStr">
        <is>
          <t>Anyone holding the link (visitor)</t>
        </is>
      </c>
      <c r="F71" s="11" t="inlineStr">
        <is>
          <t>High</t>
        </is>
      </c>
      <c r="G71" s="11" t="inlineStr">
        <is>
          <t>Negative</t>
        </is>
      </c>
      <c r="H71" s="11" t="inlineStr">
        <is>
          <t>Core</t>
        </is>
      </c>
      <c r="I71"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The coordinator confirms that +91 98100 00002 and tester09@example.org are NOT registered on the platform.</t>
        </is>
      </c>
      <c r="J71" s="11" t="inlineStr">
        <is>
          <t>- Unregistered mobile: +91 98100 00002
- Unregistered email: tester09@example.org
- Registered mobile: +91 90000 00001 (Anjali Verma)
- Wrong code: 123456 (any six digits that are not the code sent)</t>
        </is>
      </c>
      <c r="K71" s="11" t="inlineStr">
        <is>
          <t>1. Open the CIT consent link and look at the 'Your details' card.
2. With 'Mobile' selected, type +91 98100 00002 in 'Mobile number' and click 'Send the code'.
3. Ask the coordinator to check the test outbox for +91 98100 00002.
4. Type 123456 in 'Six-digit code' and click 'Verify and continue'.
5. Reload the page. Under 'Send my code to' select 'Email', type tester09@example.org in 'Email address' and click 'Send the code'.
6. Reload the page. With 'Mobile' selected type +91 90000 00001 (a registered number) and click 'Send the code'.
7. Type 123456 (not the code that was sent) and click 'Verify and continue'.
8. Clear the box, type the correct code relayed by the coordinator and click 'Verify and continue'.</t>
        </is>
      </c>
      <c r="L71" s="11" t="inlineStr">
        <is>
          <t>1. The line 'No account yet? Create one — …' is already shown, before anything is typed (it is offered to everybody).
2. The card changes to 'Confirm your mobile' with 'We have sent a six-digit code to +91 98100 00002. It expires in ten minutes.' There is NO message saying the number is unknown or not registered.
3. No message was sent to that number.
4. A red message 'Invalid or expired code' appears. The page stays on 'Confirm your mobile' with the code box; no notice is shown.
5. The card 'Confirm your email' says 'We have sent a six-digit code to tester09@example.org. It expires in ten minutes.' Nothing hints that the address is unknown.
6. The screen and wording are exactly the same as in step 2; only the number differs. A visitor cannot tell a registered number from an unregistered one.
7. The red message 'Invalid or expired code' appears and the page stays on the code step.
8. The notice opens, proving the earlier wrong attempt did not break the flow. Close the browser tab WITHOUT clicking 'Record my choices' or 'Decline everything'.</t>
        </is>
      </c>
      <c r="M71" s="11" t="inlineStr">
        <is>
          <t>Registered and unregistered contacts get word-for-word the same response; no code is sent to an unregistered contact; a wrong code never opens the notice and shows 'Invalid or expired code'.</t>
        </is>
      </c>
      <c r="N71" s="16" t="n"/>
      <c r="O71" s="17" t="n"/>
      <c r="P71" s="16" t="inlineStr">
        <is>
          <t>Not run</t>
        </is>
      </c>
      <c r="Q71" s="16" t="n"/>
      <c r="R71" s="16" t="n"/>
    </row>
    <row r="72">
      <c r="A72" s="10" t="inlineStr">
        <is>
          <t>CON-03</t>
        </is>
      </c>
      <c r="B72" s="11" t="inlineStr">
        <is>
          <t>Consent and data exchange</t>
        </is>
      </c>
      <c r="C72" s="11" t="inlineStr">
        <is>
          <t>A person with no account uses 'Create one', signs up and returns to the link, then consents in Hindi to one purpose</t>
        </is>
      </c>
      <c r="D72" s="11" t="inlineStr">
        <is>
          <t>Consent link: 'Create one' to sign-up and back; language switch; partial consent</t>
        </is>
      </c>
      <c r="E72" s="11" t="inlineStr">
        <is>
          <t>New data principal (UAT Tester One)</t>
        </is>
      </c>
      <c r="F72" s="11" t="inlineStr">
        <is>
          <t>High</t>
        </is>
      </c>
      <c r="G72" s="11" t="inlineStr">
        <is>
          <t>Positive</t>
        </is>
      </c>
      <c r="H72" s="11" t="inlineStr">
        <is>
          <t>Core</t>
        </is>
      </c>
      <c r="I72"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The coordinator confirms +91 98100 00011 and tester01@example.org are not registered.</t>
        </is>
      </c>
      <c r="J72" s="11" t="inlineStr">
        <is>
          <t>- Full name: UAT Tester One
- Mobile number: +91 98100 00011
- Email address: tester01@example.org
- Date of birth: 15/05/1990
- Language: हिन्दी (Hindi)
- Choices: 'Gait model training' = I agree; 'Recording quality assurance' = I do not agree</t>
        </is>
      </c>
      <c r="K72" s="11" t="inlineStr">
        <is>
          <t>1. Open the CIT consent link and click 'Create one' on the 'Your details' card.
2. Fill in 'Full name', 'Mobile number', 'Email address' and 'Date of birth' with the test data and click 'Create account'.
3. Type only the mobile code the coordinator relays.
4. Type the email code as well and click 'Confirm and sign in'.
5. On the 'Your details' card select 'Email' under 'Send my code to', type tester01@example.org in 'Email address' and click 'Send the code'.
6. Type the code the coordinator relays and click 'Verify and continue'.
7. In 'Read this in' choose 'हिन्दी'.
8. Switch 'Read this in' to 'English', then back to 'हिन्दी'.
9. With Hindi showing, click 'I agree' on 'Gait model training' and 'I do not agree' on 'Recording quality assurance', then click 'Record my choices'.
10. Click 'Review your consents'.</t>
        </is>
      </c>
      <c r="L72" s="11" t="inlineStr">
        <is>
          <t>1. The page 'Create your account' opens ('For people whose data is being collected. Staff accounts are issued by your administrator.'). The address bar shows /sign-up?next= followed by the consent link's address.
2. The page 'Confirm your contacts' opens: 'If those details are new to us, a code has gone to your mobile and another to your email. Enter both.' Two boxes are shown: 'Code sent to your mobile' and 'Code sent to your email'.
3. 'Confirm and sign in' stays greyed out until both six-digit codes are entered.
4. You are taken straight back to the same consent link page (banner 'Gait Identification Study 2026' / 'CIT', card 'Your details'), not to your consents page.
5. The card changes to 'Confirm your email' and says 'We have sent a six-digit code to tester01@example.org. It expires in ten minutes.' The step bar at the top moves from 'Your details' to 'Confirm'.
6. The notice opens directly. No 'Your date of birth' question appears, because it was given at sign-up.
7. The notice text changes to Hindi (it starts 'धारा 5, डिजिटल व्यक्तिगत डेटा संरक्षण अधिनियम 2023'). The purposes and the 'I agree' / 'I do not agree' buttons are still shown.
8. The text switches each time without any error message. Hindi is showing at the end.
9. The Done step shows 'Your choices are recorded' and 'Your reference:' with a code.
10. 'My consents' opens with a card 'Gait Identification Study 2026' whose small line reads 'NTC-GAIT-2026 v1 · hindi · &lt;date and time&gt;', status 'Partial', and 'You agreed to 1 of 2 purposes.'</t>
        </is>
      </c>
      <c r="M72" s="11" t="inlineStr">
        <is>
          <t>'Create one' leads to sign-up and back to the same link; the link still asks for one contact and a code; the notice can be read in Hindi; a partial answer is recorded as Partial, 1 of 2, in Hindi.</t>
        </is>
      </c>
      <c r="N72" s="16" t="n"/>
      <c r="O72" s="17" t="n"/>
      <c r="P72" s="16" t="inlineStr">
        <is>
          <t>Not run</t>
        </is>
      </c>
      <c r="Q72" s="16" t="n"/>
      <c r="R72" s="16" t="n"/>
    </row>
    <row r="73">
      <c r="A73" s="10" t="inlineStr">
        <is>
          <t>CON-04</t>
        </is>
      </c>
      <c r="B73" s="11" t="inlineStr">
        <is>
          <t>Consent and data exchange</t>
        </is>
      </c>
      <c r="C73" s="11" t="inlineStr">
        <is>
          <t>A person signs up on the portal first, then declines everything at the link</t>
        </is>
      </c>
      <c r="D73" s="11" t="inlineStr">
        <is>
          <t>Portal sign-up (mobile only); Decline everything; declined record</t>
        </is>
      </c>
      <c r="E73" s="11" t="inlineStr">
        <is>
          <t>New data principal (UAT Tester Two)</t>
        </is>
      </c>
      <c r="F73" s="11" t="inlineStr">
        <is>
          <t>Medium</t>
        </is>
      </c>
      <c r="G73" s="11" t="inlineStr">
        <is>
          <t>Positive</t>
        </is>
      </c>
      <c r="H73" s="11" t="inlineStr">
        <is>
          <t>Core</t>
        </is>
      </c>
      <c r="I73"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The coordinator confirms +91 98100 00022 is not registered.</t>
        </is>
      </c>
      <c r="J73" s="11" t="inlineStr">
        <is>
          <t>- Full name: UAT Tester Two
- Mobile number: +91 98100 00022
- Email address: leave empty
- Date of birth: 02/11/1988</t>
        </is>
      </c>
      <c r="K73" s="11" t="inlineStr">
        <is>
          <t>1. Open http://localhost:3001/sign-in and click 'Create an account' (under 'Never registered with us?').
2. Click 'Create account' with every field empty.
3. Fill in 'Full name', 'Mobile number' and 'Date of birth' from the test data, leave 'Email address' empty and click 'Create account'.
4. Type the code the coordinator relays and click 'Confirm and sign in'.
5. In the same browser window open the CIT consent link. Leave 'Mobile' selected, type +91 98100 00022, click 'Send the code', type the relayed code and click 'Verify and continue'.
6. Without answering any purpose, click 'Decline everything'.
7. Click 'Review your consents'.
8. Click 'See what you were asked'.</t>
        </is>
      </c>
      <c r="L73" s="11" t="inlineStr">
        <is>
          <t>1. The page 'Create your account' opens with 'Full name', 'Mobile number', 'Email address' (hint starts 'Optional.') and 'Date of birth', and a 'Create account' button.
2. Nothing is sent. Messages appear under the fields, including 'Enter your full name' and 'Enter your date of birth'.
3. 'Confirm your contacts' opens with 'If that number is new to us, a code has gone to your mobile. Enter it to finish.' and only one box, 'Code sent to your mobile'.
4. You are signed in and 'My consents' opens with the empty message 'No consent records' / 'When you agree to a notice, it will appear here.'
5. The notice opens with the two purposes, neither pre-selected.
6. The Done step shows a grey cross, the heading 'You have declined' and 'Nothing will be collected from you for this project. You can come back to this link if you change your mind.' plus 'Your reference:' with a code. It does not look like an error.
7. The card 'Gait Identification Study 2026' shows status 'Declined' and 'You were asked about 2 purposes and agreed to none.' The first button reads 'See what you were asked'. There is no 'Withdraw everything' button.
8. Both purposes are listed with the badge 'Declined' and no 'Withdraw just this one' button.</t>
        </is>
      </c>
      <c r="M73" s="11" t="inlineStr">
        <is>
          <t>Sign-up works with a mobile only; 'Decline everything' works without answering purposes and is recorded as a decision ('You have declined', status Declined, agreed to none).</t>
        </is>
      </c>
      <c r="N73" s="16" t="n"/>
      <c r="O73" s="17" t="n"/>
      <c r="P73" s="16" t="inlineStr">
        <is>
          <t>Not run</t>
        </is>
      </c>
      <c r="Q73" s="16" t="n"/>
      <c r="R73" s="16" t="n"/>
    </row>
    <row r="74">
      <c r="A74" s="10" t="inlineStr">
        <is>
          <t>CON-05</t>
        </is>
      </c>
      <c r="B74" s="11" t="inlineStr">
        <is>
          <t>Consent and data exchange</t>
        </is>
      </c>
      <c r="C74" s="11" t="inlineStr">
        <is>
          <t>An account with no date of birth is asked for it before the notice is shown</t>
        </is>
      </c>
      <c r="D74" s="11" t="inlineStr">
        <is>
          <t>Consent link: 'Your date of birth' step (S2-01)</t>
        </is>
      </c>
      <c r="E74" s="11" t="inlineStr">
        <is>
          <t>Member of staff acting as a data principal (Nikhil Bose, DCO Admin)</t>
        </is>
      </c>
      <c r="F74" s="11" t="inlineStr">
        <is>
          <t>High</t>
        </is>
      </c>
      <c r="G74" s="11" t="inlineStr">
        <is>
          <t>Positive</t>
        </is>
      </c>
      <c r="H74" s="11" t="inlineStr">
        <is>
          <t>S2-01</t>
        </is>
      </c>
      <c r="I74"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Nikhil Bose (dcoadmin@cmp.local) has never given a date of birth (staff accounts have none until they give one). The coordinator confirms this before the test.</t>
        </is>
      </c>
      <c r="J74" s="11" t="inlineStr">
        <is>
          <t>- Email: dcoadmin@cmp.local
- First try: tomorrow's date
- Date of birth: 21/07/1985
- Choices: both purposes = I agree</t>
        </is>
      </c>
      <c r="K74" s="11" t="inlineStr">
        <is>
          <t>1. Open the CIT consent link. On the 'Your details' card select 'Email' under 'Send my code to', type dcoadmin@cmp.local in 'Email address' and click 'Send the code'.
2. Type the code the coordinator relays and click 'Verify and continue'.
3. Click 'Save and continue' with the field empty.
4. Enter tomorrow's date in 'Date of birth' and click 'Save and continue'.
5. Enter 21/07/1985 and click 'Save and continue'.
6. Click 'I agree' on both purposes and click 'Record my choices'.
7. Click 'Review your consents'.
8. Open the CIT consent link again in a new private window, identify with dcoadmin@cmp.local and the new code, and click 'Verify and continue'.</t>
        </is>
      </c>
      <c r="L74" s="11" t="inlineStr">
        <is>
          <t>1. The card changes to 'Confirm your email' and says 'We have sent a six-digit code to dcoadmin@cmp.local. It expires in ten minutes.' The step bar at the top moves from 'Your details' to 'Confirm'.
2. Instead of the notice, a card 'Your date of birth' appears: 'The law protects people under 18 differently, and we do not have your date of birth yet. We need it before you can give a new consent.' with a 'Date of birth' field and a 'Save and continue' button. The step bar still shows 'Confirm'. No notice text is visible yet.
3. The message 'Enter your date of birth' appears and nothing is saved.
4. The message 'Date of birth must be in the past' appears (or the date picker will not allow a future date). The notice is not shown.
5. The step bar moves to 'The notice' and the notice with its two purposes is shown.
6. The Done step shows 'Your choices are recorded' with a reference.
7. 'My consents' shows the card 'Gait Identification Study 2026' with status 'Consented' and 'You agreed to both purposes.'
8. The notice opens directly; the date-of-birth question is NOT asked again. Close the tab without recording anything.</t>
        </is>
      </c>
      <c r="M74" s="11" t="inlineStr">
        <is>
          <t>An account with no date of birth sees 'Your date of birth' between the code and the notice; empty and future dates are refused; once a valid date is saved the notice appears and consent can be recorded; the question is not asked again.</t>
        </is>
      </c>
      <c r="N74" s="16" t="n"/>
      <c r="O74" s="17" t="n"/>
      <c r="P74" s="16" t="inlineStr">
        <is>
          <t>Not run</t>
        </is>
      </c>
      <c r="Q74" s="16" t="n"/>
      <c r="R74" s="16" t="n"/>
    </row>
    <row r="75">
      <c r="A75" s="10" t="inlineStr">
        <is>
          <t>CON-06</t>
        </is>
      </c>
      <c r="B75" s="11" t="inlineStr">
        <is>
          <t>Consent and data exchange</t>
        </is>
      </c>
      <c r="C75" s="11" t="inlineStr">
        <is>
          <t>A person under 18 cannot sign up, and no guardian route is offered</t>
        </is>
      </c>
      <c r="D75" s="11" t="inlineStr">
        <is>
          <t>Sign-up refuses a minor (S2-01)</t>
        </is>
      </c>
      <c r="E75" s="11" t="inlineStr">
        <is>
          <t>Prospective data principal under 18 (UAT Minor)</t>
        </is>
      </c>
      <c r="F75" s="11" t="inlineStr">
        <is>
          <t>High</t>
        </is>
      </c>
      <c r="G75" s="11" t="inlineStr">
        <is>
          <t>Negative</t>
        </is>
      </c>
      <c r="H75" s="11" t="inlineStr">
        <is>
          <t>S2-01</t>
        </is>
      </c>
      <c r="I75"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The coordinator confirms +91 98100 00066 and tester06@example.org are not registered.</t>
        </is>
      </c>
      <c r="J75" s="11" t="inlineStr">
        <is>
          <t>- Full name: UAT Minor
- Mobile number: +91 98100 00066
- Email address: tester06@example.org
- Date of birth: a date that makes the person 16 on the test day, e.g. 15/03/2010
- Adult date of birth for the retry: 01/01/1990</t>
        </is>
      </c>
      <c r="K75" s="11" t="inlineStr">
        <is>
          <t>1. Open the CIT consent link and click 'Create one'. Read the hint under 'Date of birth'.
2. Fill in all four fields with the test data (date of birth 15/03/2010) and click 'Create account'.
3. Look over the whole page.
4. Ask the coordinator to check the test outbox for +91 98100 00066 and tester06@example.org.
5. Go back to the CIT consent link, leave 'Mobile' selected, type +91 98100 00066 and click 'Send the code'.
6. Return to 'Create your account' and submit the same name, mobile and email with the adult date of birth 01/01/1990.</t>
        </is>
      </c>
      <c r="L75" s="11" t="inlineStr">
        <is>
          <t>1. 'Create your account' opens. The hint reads 'The law protects people under 18 differently, so we ask before an account is opened.' It does not mention a parent or guardian.
2. The page stays on 'Create your account' and a red message refuses the registration. Expected wording: 'We cannot register or record consent for a person under eighteen. If you think your date of birth is wrong, contact the Privacy Office.' The 'Confirm your contacts' step does NOT appear. Write down the exact message you see.
3. There is no link, button, form or field for a parent or guardian to consent on the person's behalf. Only the sign-up fields, 'Create account' and the 'Sign in' link are offered.
4. No registration codes were sent.
5. The neutral 'Confirm your mobile' screen appears as for anyone, and the outbox shows no code was sent (no account exists).
6. 'Confirm your contacts' opens, proving nothing was half-created by the refused attempt (the mobile is not reported as already registered). Stop here; do not enter the codes.</t>
        </is>
      </c>
      <c r="M75" s="11" t="inlineStr">
        <is>
          <t>A date of birth under 18 creates no account and sends no code; the refusal names no guardian route and none is offered anywhere on the page.</t>
        </is>
      </c>
      <c r="N75" s="16" t="n"/>
      <c r="O75" s="17" t="n"/>
      <c r="P75" s="16" t="inlineStr">
        <is>
          <t>Not run</t>
        </is>
      </c>
      <c r="Q75" s="16" t="n"/>
      <c r="R75" s="16" t="n"/>
    </row>
    <row r="76">
      <c r="A76" s="10" t="inlineStr">
        <is>
          <t>CON-07</t>
        </is>
      </c>
      <c r="B76" s="11" t="inlineStr">
        <is>
          <t>Consent and data exchange</t>
        </is>
      </c>
      <c r="C76" s="11" t="inlineStr">
        <is>
          <t>A person who gives an under-18 date of birth at the link cannot record any choice, and no guardian route is offered</t>
        </is>
      </c>
      <c r="D76" s="11" t="inlineStr">
        <is>
          <t>Consent link refuses a minor's consent or refusal (S2-01)</t>
        </is>
      </c>
      <c r="E76" s="11" t="inlineStr">
        <is>
          <t>Account with no date of birth, giving an under-18 date</t>
        </is>
      </c>
      <c r="F76" s="11" t="inlineStr">
        <is>
          <t>High</t>
        </is>
      </c>
      <c r="G76" s="11" t="inlineStr">
        <is>
          <t>Negative</t>
        </is>
      </c>
      <c r="H76" s="11" t="inlineStr">
        <is>
          <t>S2-01</t>
        </is>
      </c>
      <c r="I76"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The test coordinator is available to read six-digit codes from the test outbox and relay them to you.
-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The coordinator provides a staff account with no date of birth that may be marked as under 18 for this test, ideally one the administrator creates just for it (see REG-01), e.g. tester07@example.org. NEVER use a seeded account other testers need: the date cannot be changed afterwards from the portal.</t>
        </is>
      </c>
      <c r="J76" s="11" t="inlineStr">
        <is>
          <t>- Email: tester07@example.org (or the account the coordinator names)
- Date of birth: a date that makes the person 15 on the test day, e.g. 01/06/2011</t>
        </is>
      </c>
      <c r="K76" s="11" t="inlineStr">
        <is>
          <t>1. Open the CIT consent link. On the 'Your details' card select 'Email' under 'Send my code to', type tester07@example.org in 'Email address' and click 'Send the code'.
2. Type the relayed code and click 'Verify and continue'.
3. Enter 01/06/2011 and click 'Save and continue'.
4. Click 'I agree' on both purposes and click 'Record my choices'.
5. Click 'Decline everything'.
6. Look over the whole page, including the notice links.
7. Open http://localhost:3001/my-consents in the same window.
8. Click your name at the top right to open the account menu, click 'My profile' and look at 'Date of birth'.
9. In the console, as the DPO, open 'Consents' and look for this account's name.</t>
        </is>
      </c>
      <c r="L76" s="11" t="inlineStr">
        <is>
          <t>1. The card changes to 'Confirm your email' and says 'We have sent a six-digit code to tester07@example.org. It expires in ten minutes.' The step bar at the top moves from 'Your details' to 'Confirm'.
2. The card 'Your date of birth' appears (the account has no date of birth).
3. The notice with its two purposes is shown.
4. A red message appears at the top of the page: 'We cannot register or record consent for a person under eighteen. If you think your date of birth is wrong, contact the Privacy Office.' The page stays on the notice. No Done step and no reference are shown.
5. The same refusal message appears. There is no 'You have declined' screen: a child's refusal is not recorded either.
6. Nothing offers a parent or guardian route: no link, button, form or contact field for a guardian.
7. 'My consents' shows 'No consent records'.
8. It shows the date entered, marked as under 18. Nothing on the page offers a way for a parent or guardian to consent. The badge reads 'Under 18 — we cannot record consent from you'.
9. There is no consent record for this account.</t>
        </is>
      </c>
      <c r="M76" s="11" t="inlineStr">
        <is>
          <t>With an under-18 date of birth neither 'Record my choices' nor 'Decline everything' writes anything; the refusal message names no guardian route and none is offered; no record appears on the portal or the console.</t>
        </is>
      </c>
      <c r="N76" s="16" t="n"/>
      <c r="O76" s="17" t="n"/>
      <c r="P76" s="16" t="inlineStr">
        <is>
          <t>Not run</t>
        </is>
      </c>
      <c r="Q76" s="16" t="n"/>
      <c r="R76" s="16" t="n"/>
    </row>
    <row r="77">
      <c r="A77" s="10" t="inlineStr">
        <is>
          <t>CON-08</t>
        </is>
      </c>
      <c r="B77" s="11" t="inlineStr">
        <is>
          <t>Consent and data exchange</t>
        </is>
      </c>
      <c r="C77" s="11" t="inlineStr">
        <is>
          <t>An invalid, altered, revoked or expired link shows 'This link is not valid' and nothing else</t>
        </is>
      </c>
      <c r="D77" s="11" t="inlineStr">
        <is>
          <t>Consent link: invalid link page</t>
        </is>
      </c>
      <c r="E77" s="11" t="inlineStr">
        <is>
          <t>Anyone holding a link (visitor)</t>
        </is>
      </c>
      <c r="F77" s="11" t="inlineStr">
        <is>
          <t>High</t>
        </is>
      </c>
      <c r="G77" s="11" t="inlineStr">
        <is>
          <t>Negative</t>
        </is>
      </c>
      <c r="H77" s="11" t="inlineStr">
        <is>
          <t>Core</t>
        </is>
      </c>
      <c r="I77" s="11" t="inlineStr">
        <is>
          <t>- The data-principal portal is open at http://localhost:3001 in a fresh private (incognito) browser window, so no earlier sign-in carries over.
- You have the live consent link for the CIT site of the seeded project 'Gait Identification Study 2026' (valid until 8 Oct 2026) from the test coordinator, or one the DCO created from the console in PRJ-18. It looks like http://localhost:3001/c/&lt;long code&gt;.
- Optional: a revoked or replaced link (PRJ-19, PRJ-20) and an expired link (PRJ-21) from the coordinator.</t>
        </is>
      </c>
      <c r="J77" s="11" t="inlineStr">
        <is>
          <t>- Made-up link: http://localhost:3001/c/not-a-real-link
- Altered link: the CIT link with its last character changed (e.g. last letter a → b)</t>
        </is>
      </c>
      <c r="K77" s="11" t="inlineStr">
        <is>
          <t>1. Open http://localhost:3001/c/not-a-real-link.
2. Open the CIT link with its last character changed.
3. If the coordinator supplied a revoked/replaced link, open it.
4. If the coordinator supplied an expired link, open it.
5. Click 'Your rights under the DPDP Act'.
6. Open the original, correct CIT link.</t>
        </is>
      </c>
      <c r="L77" s="11" t="inlineStr">
        <is>
          <t>1. A card with the heading 'This link is not valid' and 'It may have expired, been withdrawn, or been mistyped. Please ask the person who gave it to you for a current one.' and a link 'Your rights under the DPDP Act'. The banner shows only 'Consent' and 'Digital Personal Data Protection Act 2023' — no project or site name. There is no step bar, no contact box and no notice text.
2. Exactly the same page and wording as step 1.
3. Exactly the same page and wording; it does not say whether the link was revoked, expired or mistyped.
4. Exactly the same page and wording.
5. A page explaining the data principal's rights opens.
6. The normal 'Your details' page opens with the project banner, so the earlier attempts did not affect the valid link.</t>
        </is>
      </c>
      <c r="M77" s="11" t="inlineStr">
        <is>
          <t>Every invalid link shows the same 'This link is not valid' page with no project, notice or contact field, and never says why it is invalid.</t>
        </is>
      </c>
      <c r="N77" s="16" t="n"/>
      <c r="O77" s="17" t="n"/>
      <c r="P77" s="16" t="inlineStr">
        <is>
          <t>Not run</t>
        </is>
      </c>
      <c r="Q77" s="16" t="n"/>
      <c r="R77" s="16" t="n"/>
    </row>
    <row r="78">
      <c r="A78" s="10" t="inlineStr">
        <is>
          <t>CON-09</t>
        </is>
      </c>
      <c r="B78" s="11" t="inlineStr">
        <is>
          <t>Consent and data exchange</t>
        </is>
      </c>
      <c r="C78" s="11" t="inlineStr">
        <is>
          <t>On My consents the principal sees her choices, the exact notice she was served and the record</t>
        </is>
      </c>
      <c r="D78" s="11" t="inlineStr">
        <is>
          <t>Portal: My consents (view record, notice as served, trail, disclosures)</t>
        </is>
      </c>
      <c r="E78" s="11" t="inlineStr">
        <is>
          <t>Data principal (UAT Tester One)</t>
        </is>
      </c>
      <c r="F78" s="11" t="inlineStr">
        <is>
          <t>High</t>
        </is>
      </c>
      <c r="G78" s="11" t="inlineStr">
        <is>
          <t>Positive</t>
        </is>
      </c>
      <c r="H78" s="11" t="inlineStr">
        <is>
          <t>Core</t>
        </is>
      </c>
      <c r="I78" s="11" t="inlineStr">
        <is>
          <t>- The data-principal portal is open at http://localhost:3001 in a fresh private (incognito) browser window, so no earlier sign-in carries over.
- The test coordinator is available to read six-digit codes from the test outbox and relay them to you.
- CON-03 is done (UAT Tester One consented in Hindi to one of two purposes).
- Run before CON-14 to see the empty disclosure list; after CON-14 the list shows the processor.</t>
        </is>
      </c>
      <c r="J78" s="11" t="inlineStr">
        <is>
          <t>- Email: tester01@example.org</t>
        </is>
      </c>
      <c r="K78" s="11" t="inlineStr">
        <is>
          <t>1. Open http://localhost:3001/sign-in. Under 'Sign in with' select 'Email', type tester01@example.org in 'Email address' and click 'Send me a code'. Then type the code the coordinator relays into 'Six-digit code' and click 'Verify'.
2. Read the page header and the card for 'Gait Identification Study 2026'.
3. Click 'See what you agreed to'.
4. Click 'Show the exact notice I was given'.
5. Click 'What was recorded'.
6. Scroll to 'Who your data has been shared with'.
7. Click 'Hide details' and 'Hide the record'.
8. Click 'My requests' in the sidebar, then 'Make a request'. Read the dialog, then close it with the × at its top right without sending anything.</t>
        </is>
      </c>
      <c r="L78" s="11" t="inlineStr">
        <is>
          <t>1. After 'Send me a code' a blue box 'Check your messages' says 'If tester01@example.org is registered with us, a six-digit code is on its way. It expires in ten minutes.' After 'Verify' the page 'My consents' opens and 'My consents' is highlighted in the sidebar.
2. Description: 'Everything you have agreed to, the exact wording you were shown, and who it has been shared with. You can withdraw at any time.' The card shows 'NTC-GAIT-2026 v1 · hindi · &lt;date and time&gt;', status 'Partial', 'You agreed to 1 of 2 purposes.' and the buttons 'See what you agreed to', 'What was recorded' and 'Withdraw everything'. There is no button for a request about this one consent: a rights request covers everything held about her and is made from 'My requests' (step 8).
3. The button changes to 'Hide details'. 'Gait model training' shows the badge 'Consented' and a 'Withdraw just this one' button; 'Recording quality assurance' shows 'Declined' and no withdraw button. Each shows 'Data:' and 'Kept for:'.
4. A box shows 'Served &lt;date and time&gt;', a green 'Integrity verified', the Hindi notice text exactly as it was shown at the link (starting 'धारा 5'), and 'Hash recorded at capture:' with a code.
5. A panel 'What was recorded' opens ('The same record the Privacy Office sees, for this consent and every change to it. Oldest first.') listing at least the consent being given. The button now reads 'Hide the record'.
6. Before any export (CON-14): 'No sharing recorded here' / 'This lists every file of your details this platform has sent to a processor. None has been sent.' After CON-14: an entry naming the processor 'SEED' with the project name and date.
7. Both sections close. Nothing has changed: the status is still 'Partial'.
8. A dialog 'Make a request' opens with 'What are you asking for' and 'Your request', and the line 'A request is about everything we hold about you - every project and every consent.' There is no box for choosing a consent or a project. Closing it sends nothing.</t>
        </is>
      </c>
      <c r="M78" s="11" t="inlineStr">
        <is>
          <t>The principal can see per-purpose choices, the exact text served (in the language served) with 'Integrity verified', the record of what happened, and who the data was shared with; a rights request is made about everything from 'My requests', not about one consent.</t>
        </is>
      </c>
      <c r="N78" s="16" t="n"/>
      <c r="O78" s="17" t="n"/>
      <c r="P78" s="16" t="inlineStr">
        <is>
          <t>Not run</t>
        </is>
      </c>
      <c r="Q78" s="16" t="n"/>
      <c r="R78" s="16" t="n"/>
    </row>
    <row r="79">
      <c r="A79" s="10" t="inlineStr">
        <is>
          <t>CON-10</t>
        </is>
      </c>
      <c r="B79" s="11" t="inlineStr">
        <is>
          <t>Consent and data exchange</t>
        </is>
      </c>
      <c r="C79" s="11" t="inlineStr">
        <is>
          <t>The principal withdraws everything, with a confirmation she can cancel</t>
        </is>
      </c>
      <c r="D79" s="11" t="inlineStr">
        <is>
          <t>Portal: Withdraw everything</t>
        </is>
      </c>
      <c r="E79" s="11" t="inlineStr">
        <is>
          <t>Member of staff acting as a data principal (Nikhil Bose)</t>
        </is>
      </c>
      <c r="F79" s="11" t="inlineStr">
        <is>
          <t>High</t>
        </is>
      </c>
      <c r="G79" s="11" t="inlineStr">
        <is>
          <t>Positive</t>
        </is>
      </c>
      <c r="H79" s="11" t="inlineStr">
        <is>
          <t>Core</t>
        </is>
      </c>
      <c r="I79" s="11" t="inlineStr">
        <is>
          <t>- The data-principal portal is open at http://localhost:3001 in a fresh private (incognito) browser window, so no earlier sign-in carries over.
- The test coordinator is available to read six-digit codes from the test outbox and relay them to you.
- CON-05 is done (Nikhil Bose consented to both purposes).</t>
        </is>
      </c>
      <c r="J79" s="11" t="inlineStr">
        <is>
          <t>- Email: dcoadmin@cmp.local</t>
        </is>
      </c>
      <c r="K79" s="11" t="inlineStr">
        <is>
          <t>1. Open http://localhost:3001/sign-in. Under 'Sign in with' select 'Email', type dcoadmin@cmp.local in 'Email address' and click 'Send me a code'. Then type the code the coordinator relays into 'Six-digit code' and click 'Verify'.
2. On the card 'Gait Identification Study 2026' (status 'Consented', 'You agreed to both purposes.') click 'Withdraw everything'.
3. Click 'Keep my consent'.
4. Click 'Withdraw everything' again, then 'Withdraw'.
5. Look at the card.
6. Click 'See what you were asked', then 'Show the exact notice I was given'.
7. Click 'What was recorded'.
8. Ask the coordinator to check the outbox for dcoadmin@cmp.local.</t>
        </is>
      </c>
      <c r="L79" s="11" t="inlineStr">
        <is>
          <t>1. After 'Send me a code' a blue box 'Check your messages' says 'If dcoadmin@cmp.local is registered with us, a six-digit code is on its way. It expires in ten minutes.' After 'Verify' the page 'My consents' opens and 'My consents' is highlighted in the sidebar.
2. A warning 'Withdraw all purposes?' appears: 'Processing for these purposes will stop. Data already collected is not deleted by a withdrawal — if you want it erased, make a rights request.' with the buttons 'Withdraw' and 'Keep my consent'.
3. The warning closes and the status is still 'Consented'.
4. A notice 'Withdrawal recorded' appears with 'Stopped: Gait model training, Recording quality assurance.' (the order may differ).
5. The status is 'Withdrawn' and the text reads 'You were asked about 2 purposes and agreed to none.' The 'Withdraw everything' button is gone.
6. Both purposes show 'Declined'. The notice box still shows the English text originally served, with 'Integrity verified'.
7. The list shows the consent and, after it, the withdrawal.
8. A withdrawal confirmation message is present.</t>
        </is>
      </c>
      <c r="M79" s="11" t="inlineStr">
        <is>
          <t>Withdrawal needs one confirmation that can be cancelled; after 'Withdraw' every purpose is stopped, the record shows Withdrawn, the served notice is still viewable and a confirmation is sent.</t>
        </is>
      </c>
      <c r="N79" s="16" t="n"/>
      <c r="O79" s="17" t="n"/>
      <c r="P79" s="16" t="inlineStr">
        <is>
          <t>Not run</t>
        </is>
      </c>
      <c r="Q79" s="16" t="n"/>
      <c r="R79" s="16" t="n"/>
    </row>
    <row r="80">
      <c r="A80" s="10" t="inlineStr">
        <is>
          <t>CON-11</t>
        </is>
      </c>
      <c r="B80" s="11" t="inlineStr">
        <is>
          <t>Consent and data exchange</t>
        </is>
      </c>
      <c r="C80" s="11" t="inlineStr">
        <is>
          <t>Without a date of birth, My consents and My requests stay open while other pages ask for it</t>
        </is>
      </c>
      <c r="D80" s="11" t="inlineStr">
        <is>
          <t>Portal: withdrawal and requests do not need a date of birth (S2-01)</t>
        </is>
      </c>
      <c r="E80" s="11" t="inlineStr">
        <is>
          <t>Member of staff acting as a data principal (System Admin)</t>
        </is>
      </c>
      <c r="F80" s="11" t="inlineStr">
        <is>
          <t>Medium</t>
        </is>
      </c>
      <c r="G80" s="11" t="inlineStr">
        <is>
          <t>Positive</t>
        </is>
      </c>
      <c r="H80" s="11" t="inlineStr">
        <is>
          <t>S2-01</t>
        </is>
      </c>
      <c r="I80" s="11" t="inlineStr">
        <is>
          <t>- The data-principal portal is open at http://localhost:3001 in a fresh private (incognito) browser window, so no earlier sign-in carries over.
- The test coordinator is available to read six-digit codes from the test outbox and relay them to you.
- admin@cmp.local has never given a date of birth; do not use it in any other date-of-birth test.
- Optional: the coordinator supplies an account with no date of birth that already holds an active consent (for step 8).</t>
        </is>
      </c>
      <c r="J80" s="11" t="inlineStr">
        <is>
          <t>- Email: admin@cmp.local</t>
        </is>
      </c>
      <c r="K80" s="11" t="inlineStr">
        <is>
          <t>1. Open http://localhost:3001/sign-in. Under 'Sign in with' select 'Email', type admin@cmp.local in 'Email address' and click 'Send me a code'. Then type the code the coordinator relays into 'Six-digit code' and click 'Verify'.
2. Look below the note.
3. Click 'Add it now' in the note.
4. Click 'My requests' in the sidebar.
5. Click your name at the top right to open the account menu, then click 'My profile'.
6. Click the 'withdraw a consent' link on that card.
7. Do not enter a date. Click 'Sign out'.
8. Only if the coordinator supplied an account with no date of birth and an active consent: sign in as it, click 'Withdraw everything' on its card, then 'Withdraw'.</t>
        </is>
      </c>
      <c r="L80" s="11" t="inlineStr">
        <is>
          <t>1. 'My consents' opens — it is NOT replaced by a date-of-birth question. A blue note 'We need your date of birth' reads 'You can withdraw a consent or make a request without it, but we need it before you give a new consent.' with a link 'Add it now'.
2. The page works normally; with no consents it shows 'No consent records'.
3. 'My profile' opens and shows the card 'Your date of birth' with 'Save and continue'. Do not enter a date.
4. The requests page opens normally, with the same 'We need your date of birth' note.
5. The page is replaced by the card 'Your date of birth' with 'Save and continue', and the line 'You can still withdraw a consent or make a request without it.'
6. 'My consents' opens again, with the note.
7. You are signed out; no date of birth was saved.
8. 'Withdrawal recorded' appears and the card shows 'Withdrawn'. No date of birth was asked for at any point.</t>
        </is>
      </c>
      <c r="M80" s="11" t="inlineStr">
        <is>
          <t>An account with no date of birth can always reach My consents and My requests (and withdraw), while other pages ask for the date first.</t>
        </is>
      </c>
      <c r="N80" s="16" t="n"/>
      <c r="O80" s="17" t="n"/>
      <c r="P80" s="16" t="inlineStr">
        <is>
          <t>Not run</t>
        </is>
      </c>
      <c r="Q80" s="16" t="n"/>
      <c r="R80" s="16" t="n"/>
    </row>
    <row r="81">
      <c r="A81" s="10" t="inlineStr">
        <is>
          <t>CON-12</t>
        </is>
      </c>
      <c r="B81" s="11" t="inlineStr">
        <is>
          <t>Consent and data exchange</t>
        </is>
      </c>
      <c r="C81" s="11" t="inlineStr">
        <is>
          <t>The DPO reads the consent register and a consent record as evidence</t>
        </is>
      </c>
      <c r="D81" s="11" t="inlineStr">
        <is>
          <t>Console: Consents register and consent record</t>
        </is>
      </c>
      <c r="E81" s="11" t="inlineStr">
        <is>
          <t>DPO</t>
        </is>
      </c>
      <c r="F81" s="11" t="inlineStr">
        <is>
          <t>High</t>
        </is>
      </c>
      <c r="G81" s="11" t="inlineStr">
        <is>
          <t>Positive</t>
        </is>
      </c>
      <c r="H81" s="11" t="inlineStr">
        <is>
          <t>Core</t>
        </is>
      </c>
      <c r="I81"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CON-01, CON-03, CON-04, CON-05 and CON-10 are done.</t>
        </is>
      </c>
      <c r="J81" s="11" t="inlineStr">
        <is>
          <t>- Anjali Verma (Consented), UAT Tester One (Partial), UAT Tester Two (Declined), Nikhil Bose (Withdrawn) — all at site CIT</t>
        </is>
      </c>
      <c r="K81" s="11" t="inlineStr">
        <is>
          <t>1. In the sidebar, under 'Consent', click 'Consents'.
2. Find the four test people on 'Gait Identification Study 2026', site 'CIT'.
3. Set 'Status' to 'Partial', then 'Declined', then 'Withdrawn', then 'Consented', then back to 'All statuses'.
4. Click 'UAT Tester One'.
5. Read the 'Purposes' card.
6. Read the 'Evidence' card.
7. Read the 'Data subject' card and 'Assets containing this person'.
8. Look for any control to edit or delete the record.
9. Click 'All consents' and open 'Nikhil Bose'.
10. Click 'Audit trail' on this record.</t>
        </is>
      </c>
      <c r="L81" s="11" t="inlineStr">
        <is>
          <t>1. The page 'Consents' opens ('The current position for every data subject in scope…') with a 'Status' filter and the columns Data subject, Project, Site, Status, Purposes, Recorded.
2. Each appears once (latest record only): Anjali Verma 'Consented' '2 of 2'; UAT Tester One 'Partial' '1 of 2'; UAT Tester Two 'Declined' '0 of 2'; Nikhil Bose 'Withdrawn'.
3. Each time only rows with that status are listed, and the matching test person is among them. 'All statuses' shows everyone again.
4. The record page opens: small heading 'Consent', title 'UAT Tester One', 'Gait Identification Study 2026 · CIT', the status 'Partial', an 'Audit trail' button and the back link 'All consents'.
5. '1 of 2 purposes agreed.' 'Gait model training' shows 'Agreed'; 'Recording quality assurance' shows 'Not agreed'. Each line shows 'Lawful basis:', 'Retention:' and 'Categories:'.
6. 'Notice' NTC-GAIT-2026 v1 (a link), 'Language' Hindi, 'Content hash', 'Served at' and 'Acted at' (Served at is not later than Acted at), 'Action' Checkbox click. A note explains the gap between served and acted evidences s.5(1).
7. 'Data subject' shows Name, Email (tester01@example.org), Mobile, Site CIT, Project, Record and Recorded — no date of birth or other personal data. 'Assets containing this person' shows 'No assets mapped' (before CON-18).
8. There is none; the record is read-only.
9. A warning 'This record is a withdrawal' says it supersedes an earlier consent rather than replacing it. Both purposes show 'Not agreed' and 'Action' is 'Button press'.
10. The 'Audit trail' page opens already filtered to this record (a filter chip is shown) and lists 'Consent withdrawn'.</t>
        </is>
      </c>
      <c r="M81" s="11" t="inlineStr">
        <is>
          <t>The register shows one current status per person and filters correctly; a record shows each purpose separately, the notice version, language, hash, served and acted times, contact details only, and cannot be edited.</t>
        </is>
      </c>
      <c r="N81" s="16" t="n"/>
      <c r="O81" s="17" t="n"/>
      <c r="P81" s="16" t="inlineStr">
        <is>
          <t>Not run</t>
        </is>
      </c>
      <c r="Q81" s="16" t="n"/>
      <c r="R81" s="16" t="n"/>
    </row>
    <row r="82">
      <c r="A82" s="10" t="inlineStr">
        <is>
          <t>CON-13</t>
        </is>
      </c>
      <c r="B82" s="11" t="inlineStr">
        <is>
          <t>Consent and data exchange</t>
        </is>
      </c>
      <c r="C82" s="11" t="inlineStr">
        <is>
          <t>Consent records and exports are limited to the sites a role runs; other roles have no access</t>
        </is>
      </c>
      <c r="D82" s="11" t="inlineStr">
        <is>
          <t>Console: role scope for Consents and Exports</t>
        </is>
      </c>
      <c r="E82" s="11" t="inlineStr">
        <is>
          <t>DCO, RCO, R&amp;D User, Administrator</t>
        </is>
      </c>
      <c r="F82" s="11" t="inlineStr">
        <is>
          <t>Medium</t>
        </is>
      </c>
      <c r="G82" s="11" t="inlineStr">
        <is>
          <t>Negative</t>
        </is>
      </c>
      <c r="H82" s="11" t="inlineStr">
        <is>
          <t>Core</t>
        </is>
      </c>
      <c r="I82" s="11" t="inlineStr">
        <is>
          <t>- Console sign-in as in the other console cases (password SeedPassw0rd!2026 and a relayed 6-digit code).
- CON-01 to CON-05 are done. Arun Shetty (DCO) runs the CIT site; Meera Iyer (RCO) runs only the SE site of the Gait project.</t>
        </is>
      </c>
      <c r="J82" s="11" t="inlineStr">
        <is>
          <t>- dco@cmp.local, rco@cmp.local, rnd@cmp.local, admin@cmp.local</t>
        </is>
      </c>
      <c r="K82" s="11" t="inlineStr">
        <is>
          <t>1. Sign in as dco@cmp.local and click 'Consents'.
2. Open one of them.
3. Sign out, sign in as rco@cmp.local and click 'Consents'.
4. As the RCO click 'My projects', type 'Gait Identification' in 'Search' (the list updates as you type), open 'Gait Identification Study 2026', click the 'Collections &amp; exchanges' tab, then 'Generate export' and 'Generate the export'.
5. Sign out, sign in as rnd@cmp.local and look at the sidebar.
6. Type http://localhost:3000/consents in the address bar, then http://localhost:3000/exports.
7. Sign out, sign in as admin@cmp.local and look at the sidebar; then open http://localhost:3000/consents.</t>
        </is>
      </c>
      <c r="L82" s="11" t="inlineStr">
        <is>
          <t>1. The CIT rows for Anjali Verma, UAT Tester One, UAT Tester Two and Nikhil Bose are listed.
2. The record opens read-only, as for the DPO.
3. None of the CIT test people are listed (the RCO runs only the SE site); the list is empty ('No consent records yet') unless someone consented at SE.
4. The notice 'Export generated' says 'Nobody has consented on this project yet, so the file carries the project details only.' — the RCO's export contains none of the CIT people.
5. There is no 'Consents', 'Consent links' or 'Exports' entry.
6. Each shows 'Not part of your account' ('This section belongs to a different role, so there is nothing here for you…'). No consent or export data is shown.
7. The sidebar has no 'Consents', 'Exports', 'Imports' or 'Collections'. The address shows 'Not part of your account'.</t>
        </is>
      </c>
      <c r="M82" s="11" t="inlineStr">
        <is>
          <t>A collection owner sees only the consents and export rows of sites they run; the R&amp;D User and Administrator cannot see the consent register or exports at all.</t>
        </is>
      </c>
      <c r="N82" s="16" t="n"/>
      <c r="O82" s="17" t="n"/>
      <c r="P82" s="16" t="inlineStr">
        <is>
          <t>Not run</t>
        </is>
      </c>
      <c r="Q82" s="16" t="n"/>
      <c r="R82" s="16" t="n"/>
    </row>
    <row r="83">
      <c r="A83" s="10" t="inlineStr">
        <is>
          <t>CON-14</t>
        </is>
      </c>
      <c r="B83" s="11" t="inlineStr">
        <is>
          <t>Consent and data exchange</t>
        </is>
      </c>
      <c r="C83" s="11" t="inlineStr">
        <is>
          <t>The DPO generates a project export for processors in India and downloads it</t>
        </is>
      </c>
      <c r="D83" s="11" t="inlineStr">
        <is>
          <t>Console: Generate export, Exports page, download (India = domestic)</t>
        </is>
      </c>
      <c r="E83" s="11" t="inlineStr">
        <is>
          <t>DPO</t>
        </is>
      </c>
      <c r="F83" s="11" t="inlineStr">
        <is>
          <t>High</t>
        </is>
      </c>
      <c r="G83" s="11" t="inlineStr">
        <is>
          <t>Positive</t>
        </is>
      </c>
      <c r="H83" s="11" t="inlineStr">
        <is>
          <t>S2-04</t>
        </is>
      </c>
      <c r="I83"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CON-01, CON-03, CON-04, CON-05 and CON-10 are done.
- Spreadsheet software (Excel or similar) to open a CSV. The file contains personal data: keep it on the test machine and delete it after the test.</t>
        </is>
      </c>
      <c r="J83" s="11" t="inlineStr">
        <is>
          <t>- Project: Gait Identification Study 2026
- Expected rows: Anjali Verma = consented, UAT Tester One = partial, Nikhil Bose = withdrawn; UAT Tester Two (declined) must NOT appear</t>
        </is>
      </c>
      <c r="K83" s="11" t="inlineStr">
        <is>
          <t>1. In the sidebar click 'Processors'.
2. Click 'Projects', type 'Gait Identification' in 'Search' (the list updates as you type) and open 'Gait Identification Study 2026'.
3. Click the 'Collections &amp; exchanges' tab, then 'Generate export' on the 'Exports' card.
4. Click 'Cancel'.
5. Click 'Generate export' again, then 'Generate the export'.
6. In the sidebar click 'Exports'.
7. Click 'Download' on that row.
8. Open the CSV in a spreadsheet.
9. Click 'Download' on the same row again.
10. Set the 'Type' filter to 'Project export (CSV, personal data)'.</t>
        </is>
      </c>
      <c r="L83" s="11" t="inlineStr">
        <is>
          <t>1. The 'Country' column shows 'IN' for 'SEED', 'SRIB' and 'Pune Motion Lab Pvt Ltd'. If any shows something else, set it back to IN (Edit, Country, Save changes) before continuing.
2. The project page opens with the status approved.
3. A dialog 'Generate an export' opens with a warning ('This CSV contains personal data — name, email and mobile number for every person who consented. Generating it writes one disclosure row each…'), an information box ('One row per consent… People who have withdrawn are included and marked…') and the buttons 'Cancel' and 'Generate the export'. There is nothing to choose.
4. The dialog closes and nothing is generated.
5. The notice 'Export generated' says '&lt;N&gt; consent(s). Download it from the Exports page — downloading is repeatable.' The dialog closes. Write down N.
6. The top row shows the time just now 'by Priya Menon', project 'Gait Identification Study 2026', Site 'Whole project', Type 'Project export', Subjects = N, a SHA-256 code and a 'Download' button.
7. The notice 'Downloaded' with the file name appears and one .csv file is saved.
8. One file with a header row including project_name, site_label, consent_uuid, full_name, email, mobile, consent_status, granted_purposes, notice_code and notice_version. Anjali Verma: consent_status 'consented', granted_purposes lists PUR-GAIT-TRAIN and PUR-QUALITY. UAT Tester One: 'partial', PUR-GAIT-TRAIN only. Nikhil Bose: 'withdrawn', granted_purposes empty. There is NO row for UAT Tester Two. Names and contacts are readable. Note Anjali's consent_uuid (needed in CON-18).
9. The same file downloads again, and no new row appears on the Exports page (downloading does not create a new export).
10. The new export is still listed.</t>
        </is>
      </c>
      <c r="M83" s="11" t="inlineStr">
        <is>
          <t>With every processor in India the export is generated as one CSV per project with rows for consented, partial and withdrawn people (declined excluded), is listed on Exports with a subject count and hash, and can be downloaded repeatedly without a new export.</t>
        </is>
      </c>
      <c r="N83" s="16" t="n"/>
      <c r="O83" s="17" t="n"/>
      <c r="P83" s="16" t="inlineStr">
        <is>
          <t>Not run</t>
        </is>
      </c>
      <c r="Q83" s="16" t="n"/>
      <c r="R83" s="16" t="n"/>
    </row>
    <row r="84">
      <c r="A84" s="10" t="inlineStr">
        <is>
          <t>CON-15</t>
        </is>
      </c>
      <c r="B84" s="11" t="inlineStr">
        <is>
          <t>Consent and data exchange</t>
        </is>
      </c>
      <c r="C84" s="11" t="inlineStr">
        <is>
          <t>An export is refused when a site's processor is in a restricted country</t>
        </is>
      </c>
      <c r="D84" s="11" t="inlineStr">
        <is>
          <t>Console: cross-border check at export — restricted country (S2-04)</t>
        </is>
      </c>
      <c r="E84" s="11" t="inlineStr">
        <is>
          <t>DPO</t>
        </is>
      </c>
      <c r="F84" s="11" t="inlineStr">
        <is>
          <t>High</t>
        </is>
      </c>
      <c r="G84" s="11" t="inlineStr">
        <is>
          <t>Negative</t>
        </is>
      </c>
      <c r="H84" s="11" t="inlineStr">
        <is>
          <t>S2-04</t>
        </is>
      </c>
      <c r="I84"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CON-14 passed (so an export would otherwise succeed); at least one current consent with an agreed purpose exists at the CIT site (run by processor SEED).
- REMEMBER: set SEED's Country back to IN and lift the test restriction at the end, even if the test fails.</t>
        </is>
      </c>
      <c r="J84" s="11" t="inlineStr">
        <is>
          <t>- Processor: SEED
- Invalid country: 1N
- Test country: SG
- Notification: UAT-TEST-NOTIF-01</t>
        </is>
      </c>
      <c r="K84" s="11" t="inlineStr">
        <is>
          <t>1. Click 'Processors'. On the 'SEED' row click 'Edit'.
2. Replace the country with 1N and click 'Save changes'.
3. Replace it with SG and click 'Save changes'.
4. Scroll down to the card 'Restricted countries (s.16)'. Type SG in 'Country' and UAT-TEST-NOTIF-01 in 'Notification' and click 'Restrict'.
5. Open 'Projects' &gt; 'Gait Identification Study 2026', click the 'Collections &amp; exchanges' tab, then 'Generate export' and 'Generate the export'.
6. Click 'Cancel' and open 'Exports'.
7. Go back to 'Processors'; in 'Restricted countries (s.16)' click 'Lift' on SG.
8. Restore: on the 'SEED' row click 'Edit', set 'Country' to IN and click 'Save changes'.</t>
        </is>
      </c>
      <c r="L84" s="11" t="inlineStr">
        <is>
          <t>1. A dialog 'Edit processor' opens. 'Country' shows IN with the hint 'Where it is, as a two-letter code (IN for India). An export to a processor with no country is refused; one abroad goes only where the law and every purpose allow.'
2. The message 'Two letters: the ISO country code, e.g. IN' appears under 'Country'; nothing is saved.
3. The notice 'Processor updated' appears and the 'Country' column for SEED shows SG.
4. 'Restrict' is greyed out until both boxes are filled. After clicking, the notice 'Country restricted' ('Exports whose rows would go there are refused from now on.') appears and the list shows 'SG UAT-TEST-NOTIF-01 since &lt;today&gt;' with a 'Lift' button.
5. A red message appears inside the dialog: 'This export cannot go: SEED is in SG, restricted by UAT-TEST-NOTIF-01.' The dialog stays open and there is no 'Export generated' notice.
6. No new export row has been added since CON-14.
7. The notice 'SG lifted' ('Exports there are judged by the purposes again.') appears and SG leaves the list.
8. 'Processor updated' appears and SEED's Country shows IN again.</t>
        </is>
      </c>
      <c r="M84" s="11" t="inlineStr">
        <is>
          <t>While SEED is in a restricted country the export is refused with 'This export cannot go: … restricted by &lt;notification&gt;.' and nothing is written; SEED is back in IN and the restriction lifted at the end.</t>
        </is>
      </c>
      <c r="N84" s="16" t="n"/>
      <c r="O84" s="17" t="n"/>
      <c r="P84" s="16" t="inlineStr">
        <is>
          <t>Not run</t>
        </is>
      </c>
      <c r="Q84" s="16" t="n"/>
      <c r="R84" s="16" t="n"/>
    </row>
    <row r="85">
      <c r="A85" s="10" t="inlineStr">
        <is>
          <t>CON-16</t>
        </is>
      </c>
      <c r="B85" s="11" t="inlineStr">
        <is>
          <t>Consent and data exchange</t>
        </is>
      </c>
      <c r="C85" s="11" t="inlineStr">
        <is>
          <t>An export abroad is refused when an agreed purpose does not permit cross-border transfer, and goes once India is restored</t>
        </is>
      </c>
      <c r="D85" s="11" t="inlineStr">
        <is>
          <t>Console: cross-border check at export — purpose not permitted abroad; India succeeds (S2-04)</t>
        </is>
      </c>
      <c r="E85" s="11" t="inlineStr">
        <is>
          <t>DPO</t>
        </is>
      </c>
      <c r="F85" s="11" t="inlineStr">
        <is>
          <t>High</t>
        </is>
      </c>
      <c r="G85" s="11" t="inlineStr">
        <is>
          <t>Negative</t>
        </is>
      </c>
      <c r="H85" s="11" t="inlineStr">
        <is>
          <t>S2-04</t>
        </is>
      </c>
      <c r="I85"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SG is not on the 'Restricted countries (s.16)' list (CON-15 lifted it).
- At the CIT site there is at least one current consent with agreed purposes (Anjali Verma). The seeded purposes 'Gait model training' (PUR-GAIT-TRAIN) and 'Recording quality assurance' (PUR-QUALITY) do not permit transfer outside India.
- REMEMBER: set SEED's Country back to IN at the end, even if the test fails.</t>
        </is>
      </c>
      <c r="J85" s="11" t="inlineStr">
        <is>
          <t>- Processor: SEED
- Test country: SG</t>
        </is>
      </c>
      <c r="K85" s="11" t="inlineStr">
        <is>
          <t>1. Click 'Processors'; on 'SEED' click 'Edit', set 'Country' to SG and click 'Save changes'.
2. Check the 'Restricted countries (s.16)' card.
3. Open 'Gait Identification Study 2026', click the 'Collections &amp; exchanges' tab, then 'Generate export' and 'Generate the export'.
4. Click 'Cancel' and open 'Exports'.
5. Restore: 'Processors' &gt; 'SEED' &gt; 'Edit', set 'Country' to IN, 'Save changes'.
6. Open the project again, click the 'Collections &amp; exchanges' tab, then 'Generate export' and 'Generate the export'.
7. Open 'Exports' and click 'Download' on the new top row, then open the CSV.</t>
        </is>
      </c>
      <c r="L85" s="11" t="inlineStr">
        <is>
          <t>1. 'Processor updated' appears and SEED shows SG.
2. SG is not listed.
3. A red message in the dialog: 'This export cannot go: SEED is in SG, and PUR-GAIT-TRAIN, PUR-QUALITY does not permit a transfer outside India.' (it names the purposes people agreed to at CIT). No 'Export generated' notice.
4. No new export row was added by the refused attempt.
5. SEED shows IN.
6. 'Export generated' appears with the number of consents.
7. A new 'Project export' row is listed; the CSV holds the same people and statuses as in CON-14.</t>
        </is>
      </c>
      <c r="M85" s="11" t="inlineStr">
        <is>
          <t>Abroad with purposes that do not permit transfer the export is refused and names the purposes; with the processor back in India the same export succeeds.</t>
        </is>
      </c>
      <c r="N85" s="16" t="n"/>
      <c r="O85" s="17" t="n"/>
      <c r="P85" s="16" t="inlineStr">
        <is>
          <t>Not run</t>
        </is>
      </c>
      <c r="Q85" s="16" t="n"/>
      <c r="R85" s="16" t="n"/>
    </row>
    <row r="86">
      <c r="A86" s="10" t="inlineStr">
        <is>
          <t>CON-17</t>
        </is>
      </c>
      <c r="B86" s="11" t="inlineStr">
        <is>
          <t>Consent and data exchange</t>
        </is>
      </c>
      <c r="C86" s="11" t="inlineStr">
        <is>
          <t>An export is refused when a site's processor has no recorded country</t>
        </is>
      </c>
      <c r="D86" s="11" t="inlineStr">
        <is>
          <t>Console: cross-border check at export — unknown location (S2-04)</t>
        </is>
      </c>
      <c r="E86" s="11" t="inlineStr">
        <is>
          <t>DPO</t>
        </is>
      </c>
      <c r="F86" s="11" t="inlineStr">
        <is>
          <t>High</t>
        </is>
      </c>
      <c r="G86" s="11" t="inlineStr">
        <is>
          <t>Negative</t>
        </is>
      </c>
      <c r="H86" s="11" t="inlineStr">
        <is>
          <t>S2-04</t>
        </is>
      </c>
      <c r="I86"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The coordinator has prepared an approved project (e.g. from the PRJ cases) with a collection site run by a processor whose 'Country' shows 'not recorded', and at least one person has agreed to a purpose at that site. The coordinator gives you the project and processor names. (An existing processor's country cannot be emptied from the Edit dialog, so this has to be prepared.)</t>
        </is>
      </c>
      <c r="J86" s="11" t="inlineStr">
        <is>
          <t>- New processor: UAT No Country Lab Pvt Ltd, Type Lab, Contract reference CTR-UAT-0001, Security confirmed on: 01/09/2026, Country: leave empty
- Prepared project and processor: as named by the coordinator</t>
        </is>
      </c>
      <c r="K86" s="11" t="inlineStr">
        <is>
          <t>1. Click 'Processors', then 'Register processor'. Fill 'Registered legal name', 'Type', 'Contract reference' and 'Security confirmed on' from the test data, leave 'Country' empty and click 'Register processor'.
2. Find the coordinator's prepared processor in the list.
3. Open the prepared project, click the 'Collections &amp; exchanges' tab, then 'Generate export' and 'Generate the export'.
4. Click 'Cancel' and open 'Exports'.
5. Go to 'Processors', click 'Edit' on the prepared processor, set 'Country' to IN and click 'Save changes'.
6. Open the prepared project again, click the 'Collections &amp; exchanges' tab, then 'Generate export' and 'Generate the export'.
7. Clean-up: on the 'UAT No Country Lab Pvt Ltd' row click 'Suspend'.</t>
        </is>
      </c>
      <c r="L86" s="11" t="inlineStr">
        <is>
          <t>1. The notice 'Processor registered' appears. The new row shows 'not recorded' in the Country column; hovering it shows 'An export to this processor is refused until its country is recorded'.
2. Its Country also shows 'not recorded'.
3. A red message in the dialog: 'This export cannot go: &lt;processor name&gt; has no recorded location - record its country first.' No 'Export generated' notice.
4. No new export row for that project.
5. 'Processor updated' appears and the row shows IN.
6. 'Export generated' appears and a new 'Project export' row is listed on 'Exports'.
7. 'Processor suspended' appears and its status changes.</t>
        </is>
      </c>
      <c r="M86" s="11" t="inlineStr">
        <is>
          <t>A processor with no country is visibly 'not recorded', an export through it is refused naming the processor and asking for its country, and the export succeeds once the country (India) is recorded.</t>
        </is>
      </c>
      <c r="N86" s="16" t="n"/>
      <c r="O86" s="17" t="n"/>
      <c r="P86" s="16" t="inlineStr">
        <is>
          <t>Not run</t>
        </is>
      </c>
      <c r="Q86" s="16" t="n"/>
      <c r="R86" s="16" t="n"/>
    </row>
    <row r="87">
      <c r="A87" s="10" t="inlineStr">
        <is>
          <t>CON-18</t>
        </is>
      </c>
      <c r="B87" s="11" t="inlineStr">
        <is>
          <t>Consent and data exchange</t>
        </is>
      </c>
      <c r="C87" s="11" t="inlineStr">
        <is>
          <t>A collection owner downloads the manifest template, validates a manifest, imports it and sees the collection and assets</t>
        </is>
      </c>
      <c r="D87" s="11" t="inlineStr">
        <is>
          <t>Console: Imports (template, dry run, import), Collections, assets</t>
        </is>
      </c>
      <c r="E87" s="11" t="inlineStr">
        <is>
          <t>Data Collection Owner</t>
        </is>
      </c>
      <c r="F87" s="11" t="inlineStr">
        <is>
          <t>High</t>
        </is>
      </c>
      <c r="G87" s="11" t="inlineStr">
        <is>
          <t>Positive</t>
        </is>
      </c>
      <c r="H87" s="11" t="inlineStr">
        <is>
          <t>Core</t>
        </is>
      </c>
      <c r="I87" s="11" t="inlineStr">
        <is>
          <t>- Signed in to the console (http://localhost:3000) as Arun Shetty, Data Collection Owner (dco@cmp.local):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CON-14 is done and you have Anjali Verma's consent_uuid from the export CSV.
- A spreadsheet or text editor that can save a CSV (UTF-8).</t>
        </is>
      </c>
      <c r="J87" s="11" t="inlineStr">
        <is>
          <t>- File uat-template-asis.csv: the downloaded template saved unchanged
- File uat-manifest-01.csv, keep the template's header row and replace the example with two rows:
- Row 1: source_collection_ref RUN-UAT-CON-01; source_asset_ref IMG_UAT_0001.jpg; asset_type image; collected_on 2026-09-20; subject_role consented; consent_uuid &lt;Anjali's consent_uuid&gt;; storage_ref s3://collections/run-uat-con-01/IMG_UAT_0001.jpg; other columns empty
- Row 2: RUN-UAT-CON-01; VID_UAT_0002.mp4; video; 2026-09-20; incidental; consent_uuid empty; storage_ref s3://collections/run-uat-con-01/VID_UAT_0002.mp4; other columns empty
- Data source: CIT · SRC-SEED-CIT; Project: Gait Identification Study 2026</t>
        </is>
      </c>
      <c r="K87" s="11" t="inlineStr">
        <is>
          <t>1. In the sidebar, under 'Data movement', click 'Imports', then 'Import a manifest'.
2. Click 'What the file must contain'.
3. Click 'Download the manifest template' and open the file.
4. Save it unchanged as uat-template-asis.csv. In the dialog choose 'CIT · SRC-SEED-CIT' in 'Data source' and 'Gait Identification Study 2026' in 'Project'.
5. Choose uat-template-asis.csv and click 'Check it — this writes nothing'.
6. Create uat-manifest-01.csv from the test data, choose it and click 'Check it — this writes nothing'.
7. Click 'Import 2 row(s)'.
8. Click the file name uat-manifest-01.csv.
9. In the sidebar click 'Collections'.
10. Click 'RUN-UAT-CON-01'.
11. Open 'Consents' and click 'Anjali Verma'.</t>
        </is>
      </c>
      <c r="L87" s="11" t="inlineStr">
        <is>
          <t>1. A dialog 'Import a manifest' opens with three numbered steps: '1 Start from the template', '2 Where it came from, and where it goes' and '3 Check the file' — step 3 is dimmed with 'Choose a source and a project first — the checks depend on both.' The 'Import' button is greyed out.
2. It lists source_collection_ref, source_asset_ref, asset_type, collected_on and subject_role, each with a short explanation.
3. collection-manifest-template.csv is saved. It has a header row, one example row (RUN-2026-001, IMG_0001.jpg, image, …, consented) and guidance lines starting with '#', including '# Delete every line below before uploading.'
4. Step 3 becomes available with a 'Manifest' file picker (hint 'CSV, up to 25 MB.') and the button 'Check it — this writes nothing', which is greyed out until a file is chosen.
5. A red box '1 problem(s) found' ('Nothing has been written. Fix the manifest and check it again…') and a table Row / Column / Problem: row 2, consent_uuid, 'A consented subject requires a consent_uuid'. 'Import' stays greyed out.
6. The earlier result disappears when the file changes. Then a green box 'Manifest is valid': '2 row(s) parsed with no errors. Nothing has been written yet.' with 'File SHA-256 …', a notice 'Manifest is valid' / '2 row(s) ready to import.', and the footer button now reads 'Import 2 row(s)'.
7. The notice 'Import accepted' / '2 accepted, 0 rejected.' appears and the dialog closes. The Imports list shows a new row: File uat-manifest-01.csv, Source SRC-SEED-CIT, Project Gait Identification Study 2026, Status 'Accepted', Rows '2 of 2', Received just now.
8. The batch page shows the tiles 'Declared' 2, 'Accepted' 2, 'Rejected' 0, 'Not processed' 0, an 'Outcome' bar, 'Rejected rows' with 'Nothing was rejected', and a card 'The file' with its hash.
9. A row with Reference 'RUN-UAT-CON-01' (site CIT underneath), Project 'Gait Identification Study 2026', Source CIT, Collected 20 Sep 2026.
10. The collection page shows 'Gait Identification Study 2026 · collected …'; the note 'This collection carries no declaration' (no declared_asset_count was given); the tile 'Assets flagged' = 1 ('Contain someone with no consent'); the 'Assets' table lists IMG_UAT_0001.jpg (Image, Subjects 1) and VID_UAT_0002.mp4 (Video, Bystanders 1); 'Provenance' shows Source CIT SRC-SEED-CIT.
11. 'Assets containing this person' now lists IMG_UAT_0001.jpg with Source CIT, Collected 20 Sep 2026, Role Consented and a Disposition (Active).</t>
        </is>
      </c>
      <c r="M87" s="11" t="inlineStr">
        <is>
          <t>The template downloads with guidance; the dry run reports problems row by row and writes nothing; a valid manifest imports as an Accepted batch; the collection and its assets appear and the consented asset is linked to the person's consent record.</t>
        </is>
      </c>
      <c r="N87" s="16" t="n"/>
      <c r="O87" s="17" t="n"/>
      <c r="P87" s="16" t="inlineStr">
        <is>
          <t>Not run</t>
        </is>
      </c>
      <c r="Q87" s="16" t="n"/>
      <c r="R87" s="16" t="n"/>
    </row>
    <row r="88">
      <c r="A88" s="10" t="inlineStr">
        <is>
          <t>CON-19</t>
        </is>
      </c>
      <c r="B88" s="11" t="inlineStr">
        <is>
          <t>Consent and data exchange</t>
        </is>
      </c>
      <c r="C88" s="11" t="inlineStr">
        <is>
          <t>Imports refuse bad manifests, never duplicate a file, and reject rows whose consent does not exist</t>
        </is>
      </c>
      <c r="D88" s="11" t="inlineStr">
        <is>
          <t>Console: Imports — negative paths</t>
        </is>
      </c>
      <c r="E88" s="11" t="inlineStr">
        <is>
          <t>Data Collection Owner; R&amp;D User</t>
        </is>
      </c>
      <c r="F88" s="11" t="inlineStr">
        <is>
          <t>Medium</t>
        </is>
      </c>
      <c r="G88" s="11" t="inlineStr">
        <is>
          <t>Negative</t>
        </is>
      </c>
      <c r="H88" s="11" t="inlineStr">
        <is>
          <t>Core</t>
        </is>
      </c>
      <c r="I88" s="11" t="inlineStr">
        <is>
          <t>- Signed in to the console (http://localhost:3000) as Arun Shetty, Data Collection Owner (dco@cmp.local):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CON-18 is done (uat-manifest-01.csv was imported).
- R&amp;D User account rnd@cmp.local for step 1 (same console sign-in).</t>
        </is>
      </c>
      <c r="J88" s="11" t="inlineStr">
        <is>
          <t>- bad-values.csv (template header): row 2 asset_type 'photo', collected_on 2030-01-01, subject_role consented with a consent_uuid; row 3 subject_role incidental WITH a consent_uuid, collected_on 20/09/2026
- extra-column.csv: a valid row but with an extra column named notes
- unknown-consent.csv: one row RUN-UAT-CON-02, IMG_UAT_0100.jpg, image, 2026-09-20, consented, consent_uuid 00000000-0000-4000-8000-000000000000
- uat-manifest-01.csv from CON-18, unchanged</t>
        </is>
      </c>
      <c r="K88" s="11" t="inlineStr">
        <is>
          <t>1. Sign in as rnd@cmp.local and click 'Imports'.
2. As the DCO click 'Imports' &gt; 'Import a manifest'. Choose only a 'Data source'.
3. Choose the 'Project' too.
4. Choose bad-values.csv and click 'Check it — this writes nothing'.
5. Choose extra-column.csv and check it.
6. Choose uat-manifest-01.csv and check it; then change 'Data source' to a different source.
7. Set 'Data source' back to 'CIT · SRC-SEED-CIT', check uat-manifest-01.csv again and, if 'Import' is available, click it.
8. Open 'Import a manifest' again, choose CIT and the Gait project, choose unknown-consent.csv and check it.
9. Click 'Import 1 row(s)'.
10. Open that batch.</t>
        </is>
      </c>
      <c r="L88" s="11" t="inlineStr">
        <is>
          <t>1. The list is visible but there is NO 'Import a manifest' button. Sign out and sign in as dco@cmp.local.
2. Step 3 stays dimmed with 'Choose a source and a project first — the checks depend on both.' 'Import' is greyed out.
3. Step 3 opens; 'Check it — this writes nothing' is greyed out until a file is chosen; 'Import' is still greyed out.
4. A red '&lt;n&gt; problem(s) found' box and a table including: asset_type 'Must be one of: audio, document, image, other, sensor, video'; collected_on 'Collection date is in the future'; consent_uuid 'A incidental subject must not carry a consent_uuid'; collected_on 'Must be YYYY-MM-DD'. 'Import' stays greyed out.
5. The table shows Row 'file', Column 'notes', Problem 'Unknown column(s): notes'.
6. The check first reports 'Already imported' ('This exact file has been imported before (batch …)…'). Changing the data source clears the result, so the file must be checked again before anything can be imported.
7. 'Already imported' is shown again; if imported, the notice 'Nothing to do' / 'This file has already been imported. Nothing was written.' appears. No second batch and no second RUN-UAT-CON-01 collection appear.
8. 'Manifest is valid' — the dry run checks the file's shape, not whether the consent exists.
9. The notice 'Import rejected' / '0 accepted, 1 rejected.' appears. The Imports list shows the batch with Status 'Rejected', Rows '0 of 1' and '1 rejected'.
10. 'Rejected' = 1 and the 'Rejected rows' table gives the Reason 'Consent artefact not found'.</t>
        </is>
      </c>
      <c r="M88" s="11" t="inlineStr">
        <is>
          <t>Import stays locked until a clean dry run; every bad value is reported by row and column with nothing written; a file already imported writes nothing; a row naming a non-existent consent is rejected with a reason; the R&amp;D User cannot import.</t>
        </is>
      </c>
      <c r="N88" s="16" t="n"/>
      <c r="O88" s="17" t="n"/>
      <c r="P88" s="16" t="inlineStr">
        <is>
          <t>Not run</t>
        </is>
      </c>
      <c r="Q88" s="16" t="n"/>
      <c r="R88" s="16" t="n"/>
    </row>
    <row r="89">
      <c r="A89" s="10" t="inlineStr">
        <is>
          <t>CON-20</t>
        </is>
      </c>
      <c r="B89" s="11" t="inlineStr">
        <is>
          <t>Consent and data exchange</t>
        </is>
      </c>
      <c r="C89" s="11" t="inlineStr">
        <is>
          <t>Consent, export, cross-border and import events appear in the audit trail</t>
        </is>
      </c>
      <c r="D89" s="11" t="inlineStr">
        <is>
          <t>Console: Audit trail for consent and data exchange</t>
        </is>
      </c>
      <c r="E89" s="11" t="inlineStr">
        <is>
          <t>DPO</t>
        </is>
      </c>
      <c r="F89" s="11" t="inlineStr">
        <is>
          <t>Medium</t>
        </is>
      </c>
      <c r="G89" s="11" t="inlineStr">
        <is>
          <t>Positive</t>
        </is>
      </c>
      <c r="H89" s="11" t="inlineStr">
        <is>
          <t>Core</t>
        </is>
      </c>
      <c r="I89" s="11" t="inlineStr">
        <is>
          <t>-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
- CON-01 to CON-19 have been run (in any order), so the events exist.</t>
        </is>
      </c>
      <c r="J89" s="11" t="inlineStr">
        <is>
          <t>- Areas: Consent, Exports, Cross-border transfers, Processors, Imports</t>
        </is>
      </c>
      <c r="K89" s="11" t="inlineStr">
        <is>
          <t>1. Under 'Oversight' click 'Audit trail'.
2. Set 'Area' to 'Consent'.
3. Set 'Area' to 'Exports'.
4. Click an 'Export refused' row.
5. Set 'Area' to 'Cross-border transfers'.
6. Set 'Area' to 'Processors'.
7. Set 'Area' to 'Imports'.
8. Click 'Verify chain'.</t>
        </is>
      </c>
      <c r="L89" s="11" t="inlineStr">
        <is>
          <t>1. The page 'Audit trail' opens ('Append-only and hash-chained…') with 'Export CSV' and 'Verify chain' buttons, filters 'Area', 'Event', 'Record type', 'Actor role', 'From', 'To' and a 'Search' box, and the columns When, Event, Actor, About, Record.
2. Entries such as 'Consent given', 'Consent declined' and 'Consent withdrawn' for the test people are listed.
3. Entries 'Export generated' (Actor Priya Menon, and Meera Iyer from CON-13), 'Export downloaded' and 'Export refused' (from CON-15, CON-16, CON-17) are listed.
4. A detail panel titled 'Export refused' opens with What, When, Who. It concerns the project and names the processor/cause; it does not name any data principal.
5. 'Transfer country restricted' and 'Transfer country lifted' entries for SG are listed.
6. 'Processor updated' entries for the SEED country changes and 'Processor created' for UAT No Country Lab Pvt Ltd are listed.
7. 'Import validated' (one per check), 'Import accepted' and 'Import rejected' entries are listed with Actor Arun Shetty.
8. A green box 'Chain intact' appears.</t>
        </is>
      </c>
      <c r="M89" s="11" t="inlineStr">
        <is>
          <t>Every consent decision, export (generated, downloaded, refused), restricted-country change, processor change and import (validated, accepted, rejected) is in the audit trail, and the chain verifies intact.</t>
        </is>
      </c>
      <c r="N89" s="16" t="n"/>
      <c r="O89" s="17" t="n"/>
      <c r="P89" s="16" t="inlineStr">
        <is>
          <t>Not run</t>
        </is>
      </c>
      <c r="Q89" s="16" t="n"/>
      <c r="R89" s="16" t="n"/>
    </row>
    <row r="90">
      <c r="A90" s="10" t="inlineStr">
        <is>
          <t>CON-21</t>
        </is>
      </c>
      <c r="B90" s="11" t="inlineStr">
        <is>
          <t>Consent and data exchange</t>
        </is>
      </c>
      <c r="C90" s="11" t="inlineStr">
        <is>
          <t>After an export the principal sees who received her data, and withdraws one purpose while keeping the other</t>
        </is>
      </c>
      <c r="D90" s="11" t="inlineStr">
        <is>
          <t>Portal: disclosures and Withdraw just this one</t>
        </is>
      </c>
      <c r="E90" s="11" t="inlineStr">
        <is>
          <t>Data principal (Anjali Verma); DPO for the last check</t>
        </is>
      </c>
      <c r="F90" s="11" t="inlineStr">
        <is>
          <t>High</t>
        </is>
      </c>
      <c r="G90" s="11" t="inlineStr">
        <is>
          <t>Positive</t>
        </is>
      </c>
      <c r="H90" s="11" t="inlineStr">
        <is>
          <t>Core</t>
        </is>
      </c>
      <c r="I90" s="11" t="inlineStr">
        <is>
          <t>- The data-principal portal is open at http://localhost:3001 in a fresh private (incognito) browser window, so no earlier sign-in carries over.
- The test coordinator is available to read six-digit codes from the test outbox and relay them to you.
- CON-14 and CON-18 are done (Anjali is in an export; her consent is still 2 of 2).
- For the last step: Signed in to the console (http://localhost:3000) as Priya Menon, DPO (dpo@cmp.local): on 'Sign in' enter 'Email or username' and 'Password' (SeedPassw0rd!2026), click 'Sign in', then type the 6-digit code relayed by the test coordinator on 'Verify it is you' and click 'Verify and continue'. If the sign-in page shows a 'Development accounts' panel (development builds only), its 'Use' button beside a login fills both boxes for you. To change user, use 'Sign out' in the sidebar.</t>
        </is>
      </c>
      <c r="J90" s="11" t="inlineStr">
        <is>
          <t>- Mobile: +91 90000 00001
- Purpose to withdraw: Recording quality assurance</t>
        </is>
      </c>
      <c r="K90" s="11" t="inlineStr">
        <is>
          <t>1. Open http://localhost:3001/sign-in. Under 'Sign in with' select 'Mobile', type +91 90000 00001 in 'Mobile number' and click 'Send me a code'. Then type the code the coordinator relays into 'Six-digit code' and click 'Verify'.
2. Scroll to 'Who your data has been shared with'.
3. On the 'Gait Identification Study 2026' card (status 'Consented') click 'See what you agreed to'.
4. Click 'Withdraw just this one' under 'Recording quality assurance'.
5. Look at the card.
6. Look for a way to withdraw the remaining purpose, 'Gait model training'.
7. Click 'What was recorded'.
8. Ask the coordinator to check the outbox for Anjali.
9. In the console as the DPO open 'Consents' &gt; 'Anjali Verma'.</t>
        </is>
      </c>
      <c r="L90" s="11" t="inlineStr">
        <is>
          <t>1. After 'Send me a code' a blue box 'Check your messages' says 'If +91 90000 00001 is registered with us, a six-digit code is on its way. It expires in ten minutes.' After 'Verify' the page 'My consents' opens and 'My consents' is highlighted in the sidebar.
2. At least one entry names the processor 'SEED' with 'Gait Identification Study 2026 · &lt;date and time&gt;' of the export.
3. Both purposes show 'Consented', each with a 'Withdraw just this one' button.
4. The notice 'Withdrawal recorded' / 'Stopped: Recording quality assurance.' appears.
5. The line reads 'You agreed to 1 of 2 purposes.' 'Recording quality assurance' now shows 'Declined' and 'Gait model training' still shows 'Consented'. The status badge reads 'Partial', not 'Withdrawn'.
6. A 'Withdraw just this one' button is still offered under 'Gait model training' (and 'Withdraw everything' on the card), so the rest can be withdrawn as easily as consent was given (s.6(4)).
7. The list shows the original consent followed by the withdrawal.
8. A withdrawal confirmation message is present.
9. The record shows the warning 'This record is a withdrawal'; 'Purposes' shows 'Gait model training' Agreed and 'Recording quality assurance' Not agreed. Its status reads 'Partial', not 'Withdrawn'.</t>
        </is>
      </c>
      <c r="M90" s="11" t="inlineStr">
        <is>
          <t>The principal sees the processor her data went to; withdrawing one purpose stops only that purpose, the other remains agreed, and she can still withdraw the remaining purpose from the same page.</t>
        </is>
      </c>
      <c r="N90" s="16" t="n"/>
      <c r="O90" s="17" t="n"/>
      <c r="P90" s="16" t="inlineStr">
        <is>
          <t>Not run</t>
        </is>
      </c>
      <c r="Q90" s="16" t="n"/>
      <c r="R90" s="16" t="n"/>
    </row>
    <row r="91">
      <c r="A91" s="10" t="inlineStr">
        <is>
          <t>RGT-01</t>
        </is>
      </c>
      <c r="B91" s="11" t="inlineStr">
        <is>
          <t>Rights requests</t>
        </is>
      </c>
      <c r="C91" s="11" t="inlineStr">
        <is>
          <t>Data principal raises an access request from My requests and sends a document with it</t>
        </is>
      </c>
      <c r="D91" s="11" t="inlineStr">
        <is>
          <t>Portal - My requests - Make a request (access, s.11), with documents</t>
        </is>
      </c>
      <c r="E91" s="11" t="inlineStr">
        <is>
          <t>Data principal (Anjali Verma) on portal</t>
        </is>
      </c>
      <c r="F91" s="11" t="inlineStr">
        <is>
          <t>High</t>
        </is>
      </c>
      <c r="G91" s="11" t="inlineStr">
        <is>
          <t>Positive</t>
        </is>
      </c>
      <c r="H91" s="11" t="inlineStr">
        <is>
          <t>Core</t>
        </is>
      </c>
      <c r="I91" s="11" t="inlineStr">
        <is>
          <t>-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A small PDF file is on the tester's computer, for example id-proof.pdf.</t>
        </is>
      </c>
      <c r="J91" s="11" t="inlineStr">
        <is>
          <t>- What are you asking for: Access (s.11)
- Your request: Please give me a summary of all the personal data you hold about me and who it was shared with.
- Document: id-proof.pdf (any small PDF)
- Note the reference shown (called RR-A in later cases).</t>
        </is>
      </c>
      <c r="K91" s="11" t="inlineStr">
        <is>
          <t>1. In Browser A open http://localhost:3001/sign-in. Under 'Sign in with' choose 'Email', type subject@cmp.local in 'Email address' and click 'Send me a code'. Ask the coordinator for the code, type it in 'Six-digit code' and click 'Verify'.
2. In the sidebar click 'My requests'.
3. Click 'Make a request'.
4. Open 'What are you asking for' and choose 'Access (s.11)'.
5. Type the test text in 'Your request'. Click 'Add documents' and choose id-proof.pdf.
6. Click 'Send the request'.
7. Look at the new card for RR-A at the top of the list.
8. Look at the lower half of the card (it opens already expanded after sending).
9. Click 'Hide details', then 'Show details'.
10. Click 'Show what was recorded' on the card.
11. Ask the coordinator to check the outbox for an acknowledgement sent to subject@cmp.local.</t>
        </is>
      </c>
      <c r="L91" s="11" t="inlineStr">
        <is>
          <t>1. A 'Check your messages' box appears after the first click. After 'Verify' you are signed in and the 'My consents' page opens; the sidebar shows 'My consents' and 'My requests'.
2. The page 'My requests' opens with the text 'Ask for access to everything we hold about you, ask for it to be erased, or raise a complaint...' and a 'Make a request' button at the top right. At the foot of the page a line says naming someone to act for you is under 'My nominations'.
3. A dialog titled 'Make a request' opens with the line 'You are signed in, so this counts as verified and the clock starts now.' It has 'What are you asking for', the line 'A request is about everything we hold about you - every project and every consent.', 'Your request', a 'Documents' section marked '(optional)' with an 'Add documents' button, and a 'Send the request' button. There is no 'About' field and no list of consents to choose from.
4. The list has exactly three choices: 'Access (s.11)', 'Erasure (s.12(3))' and 'Complaint (grievance) (s.13)'. After choosing Access a blue note under it reads 'A summary of the personal data we hold about you, what we do with it, and who it has been shared with.'
5. id-proof.pdf is listed with its size and a small X to take it off the list. The button now reads 'Add more documents'. The hint says 'PDF, image, text or Word; up to 10 files, 25 MB each.'
6. The dialog closes. A message 'Recorded as RR-YYYY-NNNNNN' appears with 'You will hear from us by &lt;date&gt;. 1 document sent with it.' Write down the reference (RR-A).
7. The card shows the reference, the badges 'Access · s.11' and 'Received', and the line 'Received &lt;date and time&gt; · you will hear by &lt;date&gt;'. Your request text is shown, and under it 'Documents you sent' lists id-proof.pdf with its size. There is NO yellow box saying 'We have not yet confirmed this came from you'.
8. Two columns are shown: 'Clock' with the checkpoints, and 'The path' with steps including 'Request received', 'Acknowledge', 'Identity verified?', 'A valid access request?', 'The CMP answers its own records', 'Holders found, DPO confirms', 'Tickets sent to each holder' and 'Every answer accepted?'. The button reads 'Hide details'.
9. The card folds to a summary - reference, badges, dates and the first lines of your request - and opens again.
10. A list of recorded events opens, oldest first, starting with the request being received. The button now reads 'Hide what was recorded'.
11. An acknowledgement for RR-A is in the outbox, quoting the reference and the date by which she will hear.</t>
        </is>
      </c>
      <c r="M91" s="11" t="inlineStr">
        <is>
          <t>The access request is about everything held (no consent picker), is recorded with an RR- reference, is verified by the session, carries the document she attached, and shows 'Received' with its clock and path; an acknowledgement is sent.</t>
        </is>
      </c>
      <c r="N91" s="16" t="n"/>
      <c r="O91" s="17" t="n"/>
      <c r="P91" s="16" t="inlineStr">
        <is>
          <t>Not run</t>
        </is>
      </c>
      <c r="Q91" s="16" t="n"/>
      <c r="R91" s="16" t="n"/>
    </row>
    <row r="92">
      <c r="A92" s="10" t="inlineStr">
        <is>
          <t>RGT-02</t>
        </is>
      </c>
      <c r="B92" s="11" t="inlineStr">
        <is>
          <t>Rights requests</t>
        </is>
      </c>
      <c r="C92" s="11" t="inlineStr">
        <is>
          <t>Correction is not a kind of request on any form; a name is corrected from the account</t>
        </is>
      </c>
      <c r="D92" s="11" t="inlineStr">
        <is>
          <t>Portal - Make a request, public rights form, My nominations; Console - Log a request, classification (three kinds only)</t>
        </is>
      </c>
      <c r="E92" s="11" t="inlineStr">
        <is>
          <t>Data principal on portal; DPO on console</t>
        </is>
      </c>
      <c r="F92" s="11" t="inlineStr">
        <is>
          <t>Medium</t>
        </is>
      </c>
      <c r="G92" s="11" t="inlineStr">
        <is>
          <t>Negative</t>
        </is>
      </c>
      <c r="H92" s="11" t="inlineStr">
        <is>
          <t>Core</t>
        </is>
      </c>
      <c r="I92" s="11" t="inlineStr">
        <is>
          <t>- The portal is running at http://localhost:3001 and Anjali Verma (subject@cmp.local / +91 90000 00001) can sign in to it.
- The console is running at http://localhost:3000.
- Use two separate browsers or browser profiles: Browser A for the portal (the data principal or nominee) and Browser B for the console (staff). The two sites share one sign-in on this machine, so one browser cannot hold both sessions.
- Anjali is signed in to the portal in Browser A (RGT-01 step 1) and has no nomination in place.
- RGT-01 has been run; RR-A is 'Received'.
- A private window (not signed in) is available for the public page.</t>
        </is>
      </c>
      <c r="J92" s="11" t="inlineStr">
        <is>
          <t>- The three kinds offered everywhere: Access (s.11), Erasure (s.12(3)), Complaint (grievance) (s.13)</t>
        </is>
      </c>
      <c r="K92" s="11" t="inlineStr">
        <is>
          <t>1. In Browser A click 'My requests', then 'Make a request', and open 'What are you asking for'.
2. In the sidebar click 'My nominations' and look at 'Which of your rights they may exercise'.
3. In the private window open http://localhost:3001/rights. In the 'Make a request' card open 'What are you asking for'.
4. In Browser B open http://localhost:3000. Type dpo@cmp.local in 'Email or username' and SeedPassw0rd!2026 in 'Password' and click 'Sign in'. If the 'Verify it is you' page appears, ask the coordinator for the code, type it in '6-digit code' and click 'Verify and continue'.
5. Click 'Rights requests' and open the 'Kind' filter.
6. Click 'Log a request received by email' and open 'Kind of request'.
7. Open RR-A and, in the card '4 · A valid access request?', open 'This is a request for'. Do not confirm anything.
8. In Browser A click your name at the top right, then 'My profile'.</t>
        </is>
      </c>
      <c r="L92" s="11" t="inlineStr">
        <is>
          <t>1. Exactly three choices: 'Access (s.11)', 'Erasure (s.12(3))' and 'Complaint (grievance) (s.13)'. There is no 'Correction'. Close the dialog with Esc.
2. Three boxes: 'Access (s.11)', 'Erasure (s.12(3))' and 'Complaint (grievance) (s.13)'. There is no 'Correction' box.
3. The same three choices; no 'Correction'.
4. The Dashboard opens, signed in as Priya Menon (DPO).
5. The choices are 'All kinds', 'Access', 'Erasure' and 'Complaint (grievance)'. There is no 'Correction'.
6. The dialog 'Log a request received by email' opens. 'Kind of request' offers the same three kinds and no 'Correction'. Close the dialog with Esc without logging anything.
7. The same three kinds are offered; a request cannot be reclassified as a correction.
8. Beside her name there is a 'Change' button: a person corrects her own name here, not by a request (ACC-21 tests the change itself).</t>
        </is>
      </c>
      <c r="M92" s="11" t="inlineStr">
        <is>
          <t>No form on either site - the portal's request form, the public form, nominations, the DPO's log form and the classification - offers correction as a kind of request; the name is corrected from the account.</t>
        </is>
      </c>
      <c r="N92" s="16" t="n"/>
      <c r="O92" s="17" t="n"/>
      <c r="P92" s="16" t="inlineStr">
        <is>
          <t>Not run</t>
        </is>
      </c>
      <c r="Q92" s="16" t="n"/>
      <c r="R92" s="16" t="n"/>
    </row>
    <row r="93">
      <c r="A93" s="10" t="inlineStr">
        <is>
          <t>RGT-03</t>
        </is>
      </c>
      <c r="B93" s="11" t="inlineStr">
        <is>
          <t>Rights requests</t>
        </is>
      </c>
      <c r="C93" s="11" t="inlineStr">
        <is>
          <t>Data principal raises an erasure request and is told erasure is not withdrawal</t>
        </is>
      </c>
      <c r="D93" s="11" t="inlineStr">
        <is>
          <t>Portal - My requests - Make a request (erasure, s.12(3))</t>
        </is>
      </c>
      <c r="E93" s="11" t="inlineStr">
        <is>
          <t>Data principal (Anjali Verma) on portal</t>
        </is>
      </c>
      <c r="F93" s="11" t="inlineStr">
        <is>
          <t>High</t>
        </is>
      </c>
      <c r="G93" s="11" t="inlineStr">
        <is>
          <t>Positive</t>
        </is>
      </c>
      <c r="H93" s="11" t="inlineStr">
        <is>
          <t>Core</t>
        </is>
      </c>
      <c r="I93" s="11" t="inlineStr">
        <is>
          <t>-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Anjali is signed in to the portal in Browser A.
- The coordinator has imported a manifest naming the principal's consent (see CON cases) so that she appears in collected assets (needed later in RGT-11 to RGT-16).</t>
        </is>
      </c>
      <c r="J93" s="11" t="inlineStr">
        <is>
          <t>- What are you asking for: Erasure (s.12(3))
- Your request: Please erase the gait recordings you collected of me. I no longer want you to keep them.
- Note the reference (called RR-E in later cases).</t>
        </is>
      </c>
      <c r="K93" s="11" t="inlineStr">
        <is>
          <t>1. In 'My requests' click 'Make a request' and in 'What are you asking for' choose 'Erasure (s.12(3))'.
2. Type the test text in 'Your request' and click 'Send the request'.
3. Look at the RR-E card.
4. Read 'The path' on the RR-E card.
5. Click 'My consents' in the sidebar.</t>
        </is>
      </c>
      <c r="L93" s="11" t="inlineStr">
        <is>
          <t>1. A yellow (warning) note appears: 'Erase personal data that is no longer needed. Consent records are kept as evidence of what was agreed; withdrawing consent is a separate, quicker step you can take yourself.'
2. 'Recorded as RR-...' appears with the date she will hear by. Write down the reference (RR-E).
3. The card shows 'Erasure · s.12(3)' and 'Received', and no 'not yet confirmed' warning.
4. The steps include 'Withdrawal, or erasure?', 'Scope determined', 'Inside the one-year floor?', 'Holders found, DPO confirms', 'Erasure tickets sent', 'Every confirmation accepted?' and 'Respond and close'.
5. Her consents are unchanged - raising an erasure request did not withdraw any consent.</t>
        </is>
      </c>
      <c r="M93" s="11" t="inlineStr">
        <is>
          <t>An erasure request is recorded, the form warns that erasure is not withdrawal, the erasure path is shown, and no consent is withdrawn by the request.</t>
        </is>
      </c>
      <c r="N93" s="16" t="n"/>
      <c r="O93" s="17" t="n"/>
      <c r="P93" s="16" t="inlineStr">
        <is>
          <t>Not run</t>
        </is>
      </c>
      <c r="Q93" s="16" t="n"/>
      <c r="R93" s="16" t="n"/>
    </row>
    <row r="94">
      <c r="A94" s="10" t="inlineStr">
        <is>
          <t>RGT-04</t>
        </is>
      </c>
      <c r="B94" s="11" t="inlineStr">
        <is>
          <t>Rights requests</t>
        </is>
      </c>
      <c r="C94" s="11" t="inlineStr">
        <is>
          <t>Request forms refuse incomplete or badly formed input</t>
        </is>
      </c>
      <c r="D94" s="11" t="inlineStr">
        <is>
          <t>Portal - Make a request / public rights form - validation</t>
        </is>
      </c>
      <c r="E94" s="11" t="inlineStr">
        <is>
          <t>Data principal on portal; member of the public</t>
        </is>
      </c>
      <c r="F94" s="11" t="inlineStr">
        <is>
          <t>Medium</t>
        </is>
      </c>
      <c r="G94" s="11" t="inlineStr">
        <is>
          <t>Negative</t>
        </is>
      </c>
      <c r="H94" s="11" t="inlineStr">
        <is>
          <t>Core</t>
        </is>
      </c>
      <c r="I94" s="11" t="inlineStr">
        <is>
          <t>- The portal is running at http://localhost:3001 and Anjali Verma (subject@cmp.local / +91 90000 00001) can sign in to it.
- Use two separate browsers or browser profiles: Browser A for the portal (the data principal or nominee) and Browser B for the console (staff). The two sites share one sign-in on this machine, so one browser cannot hold both sessions.
- Anjali is signed in to the portal in Browser A.
- A second private window (not signed in) is available for the public page.</t>
        </is>
      </c>
      <c r="J94" s="11" t="inlineStr">
        <is>
          <t>- Short request text: short
- Bad contact: ab
- Bad reference: 12345
- Bad code: 12ab</t>
        </is>
      </c>
      <c r="K94" s="11" t="inlineStr">
        <is>
          <t>1. In 'My requests' click 'Make a request', choose 'Access (s.11)', type 'short' in 'Your request' and click 'Send the request'.
2. In the same dialog change 'What are you asking for' to 'Complaint (grievance) (s.13)'.
3. In the private window open http://localhost:3001/rights. In 'Make a request' type 'ab' in 'The email or mobile you registered with', a full sentence in 'Your request', and click 'Send the request'.
4. Click 'Already have a reference and a code? Verify it here.'
5. Type 12345 in 'Your reference' and 12ab in 'The code we sent'. Click 'Confirm it is me'.
6. Click 'Make a new request instead'.</t>
        </is>
      </c>
      <c r="L94" s="11" t="inlineStr">
        <is>
          <t>1. The dialog stays open with the error 'Say what you are asking for, in a sentence or two.' under 'Your request'. No new card appears.
2. A checkbox appears: 'This complaint is about the Data Protection Officer's own decisions.' with 'It will be reviewed by somebody independent of the DPO.' Close the dialog with Esc.
3. The error 'The email or mobile you registered with.' appears under the contact field. No 'Recorded' box appears.
4. The form changes to 'Your reference' and 'The code we sent' with a 'Confirm it is me' button and a 'Make a new request instead' link.
5. 'A reference looks like RR-2026-000123.' appears under the reference and 'The code is digits only.' under the code. Nothing is verified.
6. The request form ('What are you asking for', contact, 'Your name', 'Your request') is shown again.</t>
        </is>
      </c>
      <c r="M94" s="11" t="inlineStr">
        <is>
          <t>Each form refuses the bad input with the stated message and records nothing.</t>
        </is>
      </c>
      <c r="N94" s="16" t="n"/>
      <c r="O94" s="17" t="n"/>
      <c r="P94" s="16" t="inlineStr">
        <is>
          <t>Not run</t>
        </is>
      </c>
      <c r="Q94" s="16" t="n"/>
      <c r="R94" s="16" t="n"/>
    </row>
    <row r="95">
      <c r="A95" s="10" t="inlineStr">
        <is>
          <t>RGT-05</t>
        </is>
      </c>
      <c r="B95" s="11" t="inlineStr">
        <is>
          <t>Rights requests</t>
        </is>
      </c>
      <c r="C95" s="11" t="inlineStr">
        <is>
          <t>Person without a portal session makes a request on the public rights page and verifies it by code</t>
        </is>
      </c>
      <c r="D95" s="11" t="inlineStr">
        <is>
          <t>Portal - public /rights page - request and code verification</t>
        </is>
      </c>
      <c r="E95" s="11" t="inlineStr">
        <is>
          <t>Data principal, not signed in</t>
        </is>
      </c>
      <c r="F95" s="11" t="inlineStr">
        <is>
          <t>High</t>
        </is>
      </c>
      <c r="G95" s="11" t="inlineStr">
        <is>
          <t>Positive</t>
        </is>
      </c>
      <c r="H95" s="11" t="inlineStr">
        <is>
          <t>Core</t>
        </is>
      </c>
      <c r="I95"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Browser A is signed OUT of the portal (or use a private window).</t>
        </is>
      </c>
      <c r="J95" s="11" t="inlineStr">
        <is>
          <t>- What are you asking for: Access (s.11)
- The email or mobile you registered with: subject@cmp.local
- Your name: Anjali Verma
- Your request: I have lost my notice. Please tell me what data you hold about me.
- Note the reference (called RR-PUB).</t>
        </is>
      </c>
      <c r="K95" s="11" t="inlineStr">
        <is>
          <t>1. Open http://localhost:3001/rights.
2. In 'Make a request' choose 'Access (s.11)' in 'What are you asking for'. Read the hint under 'The email or mobile you registered with'.
3. Fill in the contact, name and request from the test data and click 'Send the request'.
4. Ask the coordinator for the code sent to subject@cmp.local for this reference.
5. Type the code in 'The code we sent' and click 'Confirm it is me'.
6. In Browser B open http://localhost:3000. Type dpo@cmp.local in 'Email or username' and SeedPassw0rd!2026 in 'Password' and click 'Sign in'. If the 'Verify it is you' page appears, ask the coordinator for the code, type it in '6-digit code' and click 'Verify and continue'.
7. Click 'Rights requests' in the sidebar and find RR-PUB.
8. Open RR-PUB.</t>
        </is>
      </c>
      <c r="L95" s="11" t="inlineStr">
        <is>
          <t>1. The page 'Your rights' opens without sign-in. It shows cards 'What you can ask for', 'Make a request', 'Withdrawing your consent', 'Acting for someone who nominated you', 'Contacting us', and a box 'If you are not satisfied' describing the Data Protection Board route.
2. The hint reads 'We send a verification code to the contact we already hold for you - never to a new one typed here.'
3. A box titled 'Recorded' reads 'Thank you. Your request has been recorded. If we hold records for the contact you gave, a verification code has been sent to it.' and 'Your reference is RR-.... Quote it if you contact us.' Below it 'Your reference' is already filled in and 'The code we sent' is empty.
4. The coordinator finds a verification code in the outbox addressed to subject@cmp.local.
5. A box titled 'Verified' reads 'Thank you, your identity is verified. You will hear from us by &lt;date&gt;.' and 'Your reference is RR-.... Keep it.'
6. The Dashboard opens, signed in as Priya Menon (DPO).
7. The row shows 'Anjali Verma' under 'Who', 'Access · s.11' under 'Kind' and 'Received' under 'Status', with no 'unverified' tag.
8. The line under the heading reads 'Access · s.11 · Public form'. The card '3 · Identity verified?' shows a green note 'Verified by code on &lt;date&gt;'.</t>
        </is>
      </c>
      <c r="M95" s="11" t="inlineStr">
        <is>
          <t>The public request is recorded with a neutral message, the code goes only to the contact on file, entering it shows 'Verified', and the DPO sees the request as verified by code.</t>
        </is>
      </c>
      <c r="N95" s="16" t="n"/>
      <c r="O95" s="17" t="n"/>
      <c r="P95" s="16" t="inlineStr">
        <is>
          <t>Not run</t>
        </is>
      </c>
      <c r="Q95" s="16" t="n"/>
      <c r="R95" s="16" t="n"/>
    </row>
    <row r="96">
      <c r="A96" s="10" t="inlineStr">
        <is>
          <t>RGT-06</t>
        </is>
      </c>
      <c r="B96" s="11" t="inlineStr">
        <is>
          <t>Rights requests</t>
        </is>
      </c>
      <c r="C96" s="11" t="inlineStr">
        <is>
          <t>Public form stays neutral for an unknown contact; wrong code refused; DPO closes it as not verified</t>
        </is>
      </c>
      <c r="D96" s="11" t="inlineStr">
        <is>
          <t>Portal - public /rights page; Console - identity verification</t>
        </is>
      </c>
      <c r="E96" s="11" t="inlineStr">
        <is>
          <t>Member of the public; DPO</t>
        </is>
      </c>
      <c r="F96" s="11" t="inlineStr">
        <is>
          <t>High</t>
        </is>
      </c>
      <c r="G96" s="11" t="inlineStr">
        <is>
          <t>Negative</t>
        </is>
      </c>
      <c r="H96" s="11" t="inlineStr">
        <is>
          <t>Core</t>
        </is>
      </c>
      <c r="I96"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RGT-05 has been run (its reference RR-PUB is known).</t>
        </is>
      </c>
      <c r="J96" s="11" t="inlineStr">
        <is>
          <t>- Contact: stranger.rgt@example.org
- Your name: A Stranger
- Your request: Tell me what you hold about me.
- Wrong code: 123456
- Note the reference (called RR-X).</t>
        </is>
      </c>
      <c r="K96" s="11" t="inlineStr">
        <is>
          <t>1. Signed out, open http://localhost:3001/rights, choose 'Access (s.11)', enter the test contact, name and request, and click 'Send the request'.
2. Ask the coordinator whether any code was sent to stranger.rgt@example.org.
3. Type 123456 in 'The code we sent' and click 'Confirm it is me'.
4. Reload the page, click 'Already have a reference and a code? Verify it here.', enter RR-PUB (already verified in RGT-05) and code 000000, and click 'Confirm it is me'.
5. In Browser B open http://localhost:3000. Type dpo@cmp.local in 'Email or username' and SeedPassw0rd!2026 in 'Password' and click 'Sign in'. If the 'Verify it is you' page appears, ask the coordinator for the code, type it in '6-digit code' and click 'Verify and continue'.
6. Click 'Rights requests'. Find RR-X.
7. Open RR-X and look at 'Who' and '3 · Identity verified?'.
8. Look at the 'What happens next' card.
9. In '3 · Identity verified?' click 'No match, or not satisfied'.
10. Click 'Close as not verified'.</t>
        </is>
      </c>
      <c r="L96" s="11" t="inlineStr">
        <is>
          <t>1. The same 'Recorded' box as for a known person appears, with a reference. Nothing on the page says 'no account', 'not found' or 'unknown contact'.
2. No code or message to stranger.rgt@example.org is in the outbox.
3. The error 'Invalid or expired code' appears. No 'Verified' box.
4. The same 'Invalid or expired code' error appears - the page does not reveal that RR-PUB is already verified.
5. The Dashboard opens, signed in as Priya Menon (DPO).
6. The row shows 'A Stranger' and the contact under 'Who', 'Received' under 'Status' and the small tag 'unverified'.
7. 'Who' shows 'A Stranger' and 'No account matches this contact'. The box 'A code to the stored channel' says 'No account matches this contact, so there is no stored channel. Verify manually, or close as not verified.' There is no 'Send a code' button.
8. 'Move to in progress' shows the warning 'Identity is not verified' and its 'In progress' button is greyed out.
9. A warning appears: 'Closes the request as not verified and audits it. The requester gets a neutral message - nothing is confirmed either way - and may try again.' with a 'Close as not verified' button.
10. The message 'Closed as not verified' appears. The header badge reads 'Not verified'. The card shows 'Not satisfied. The requester was told nothing either way, and may try again.' 'What happens next' is replaced by 'Closed. Disagreement with the outcome is a grievance - a new request linked to this one.'</t>
        </is>
      </c>
      <c r="M96" s="11" t="inlineStr">
        <is>
          <t>The public form gives an unknown contact the same neutral answer, no code is sent, wrong codes get one neutral error, and the DPO can only verify manually or close the request as 'Not verified'.</t>
        </is>
      </c>
      <c r="N96" s="16" t="n"/>
      <c r="O96" s="17" t="n"/>
      <c r="P96" s="16" t="inlineStr">
        <is>
          <t>Not run</t>
        </is>
      </c>
      <c r="Q96" s="16" t="n"/>
      <c r="R96" s="16" t="n"/>
    </row>
    <row r="97">
      <c r="A97" s="10" t="inlineStr">
        <is>
          <t>RGT-07</t>
        </is>
      </c>
      <c r="B97" s="11" t="inlineStr">
        <is>
          <t>Rights requests</t>
        </is>
      </c>
      <c r="C97" s="11" t="inlineStr">
        <is>
          <t>DPO finds a request in the register, checks identity, classifies it and starts it</t>
        </is>
      </c>
      <c r="D97" s="11" t="inlineStr">
        <is>
          <t>Console - Rights requests register and request detail (steps 3-4, next step)</t>
        </is>
      </c>
      <c r="E97" s="11" t="inlineStr">
        <is>
          <t>DPO (Priya Menon) on console</t>
        </is>
      </c>
      <c r="F97" s="11" t="inlineStr">
        <is>
          <t>High</t>
        </is>
      </c>
      <c r="G97" s="11" t="inlineStr">
        <is>
          <t>Positive</t>
        </is>
      </c>
      <c r="H97" s="11" t="inlineStr">
        <is>
          <t>Core</t>
        </is>
      </c>
      <c r="I97" s="11" t="inlineStr">
        <is>
          <t>- The console is running at http://localhost:3000.
- Use two separate browsers or browser profiles: Browser A for the portal (the data principal or nominee) and Browser B for the console (staff). The two sites share one sign-in on this machine, so one browser cannot hold both sessions.
- RGT-01 has been run; RR-A is in status 'Received'.</t>
        </is>
      </c>
      <c r="J97" s="11" t="inlineStr">
        <is>
          <t>- Request: RR-A (access)
- This is a request for: Access (s.11)
- Note: Clear access request</t>
        </is>
      </c>
      <c r="K97" s="11" t="inlineStr">
        <is>
          <t>1. In Browser B open http://localhost:3000. Type dpo@cmp.local in 'Email or username' and SeedPassw0rd!2026 in 'Password' and click 'Sign in'. If the 'Verify it is you' page appears, ask the coordinator for the code, type it in '6-digit code' and click 'Verify and continue'.
2. Click 'Rights requests'.
3. In the 'Kind' filter choose 'Access'.
4. Click RR-A.
5. Look at the card '3 · Identity verified?'.
6. Look at the card '4 · A valid access request?'.
7. Look at the group 'Next step' straight below 'Identity and classification'.
8. Type 'Clear access request' in 'Note' and click 'Confirm classification'.
9. Click 'Move to in progress' under 'Next' in the summary.
10. Click 'In progress'.
11. Go back to 'Rights requests' and set 'Status' to 'In progress'.
12. In Browser A (Anjali on the portal) reload 'My requests'.</t>
        </is>
      </c>
      <c r="L97" s="11" t="inlineStr">
        <is>
          <t>1. The Dashboard opens, signed in as Priya Menon (DPO). The sidebar shows 'Rights requests' under 'Your work'.
2. The page 'Rights requests' opens with a 'Log a request received by email' button. Filters 'Status', 'Kind', 'Clock' and 'Tickets' are shown, and the columns 'Reference', 'Who', 'Kind', 'Status', 'Received', 'Due'.
3. Only access requests are listed. RR-A shows 'Anjali Verma' and her contact, 'Access · s.11', 'Received', its received time, and a due date with 'N days left' under it.
4. The heading is RR-A, the line under it reads 'Access · s.11 · Portal', and the badges 'Access · s.11' and 'Received' are at the right. A summary at the top shows 'Due', 'Current step', 'With' and 'Next'. Under 'The request' the details show 'Who' (Anjali Verma with email and mobile), 'Contact given', 'Received' and 'Acknowledged', then her request text and 'Documents from the requester · 1' (id-proof.pdf). A folded card 'Clock and path' follows.
5. A green note reads 'Verified by session on &lt;date&gt;'. No code or manual verification controls are shown.
6. It has 'This is a request for' (showing 'Access (s.11)'), 'Confirm classification', a 'Note' box, and a box 'Not a rights request, or cannot be met?' with the text 'Refuse it with a written reason. The requester is told why, with the grievance route, and the request closes.' and a red-edged 'Refuse this request' button. Do not click it (RGT-28 does).
7. It sits before the 'Holders' group. Its card 'What happens next' reads 'Currently received. Rendered from the server's answer.' The row 'Move to in progress' carries the warning 'The request has not been classified as a rights request' and its 'In progress' button is greyed out. In the summary, 'Next' reads 'Move to in progress' with the same warning.
8. The message 'Classified' appears and the card shows 'Classified as access on &lt;date&gt;.'
9. The page scrolls to the 'Next step' group, where 'In progress' can now be clicked.
10. The message 'Moved to In progress' appears. The header badge reads 'In progress'. 'What happens next' now offers 'Move to awaiting holders' (warning 'No tickets have been issued yet') and 'Move to collating'.
11. RR-A is listed with status 'In progress'.
12. RR-A now shows the badge 'In progress'.</t>
        </is>
      </c>
      <c r="M97" s="11" t="inlineStr">
        <is>
          <t>The register lists and filters the request; the detail shows session verification, the requester's document and a refuse button at step 4; the next step sits straight after classification and is blocked with the server's reason until classified, then the request moves to 'In progress' on both sides.</t>
        </is>
      </c>
      <c r="N97" s="16" t="n"/>
      <c r="O97" s="17" t="n"/>
      <c r="P97" s="16" t="inlineStr">
        <is>
          <t>Not run</t>
        </is>
      </c>
      <c r="Q97" s="16" t="n"/>
      <c r="R97" s="16" t="n"/>
    </row>
    <row r="98">
      <c r="A98" s="10" t="inlineStr">
        <is>
          <t>RGT-08</t>
        </is>
      </c>
      <c r="B98" s="11" t="inlineStr">
        <is>
          <t>Rights requests</t>
        </is>
      </c>
      <c r="C98" s="11" t="inlineStr">
        <is>
          <t>DPO sends a ticket to a holder outside the organisation, who answers by link on the portal; the DPO accepts the answer</t>
        </is>
      </c>
      <c r="D98" s="11" t="inlineStr">
        <is>
          <t>Console - request detail - '6–8 · Holders and tickets' (outside holder); Portal - /ticket/&lt;link&gt;</t>
        </is>
      </c>
      <c r="E98" s="11" t="inlineStr">
        <is>
          <t>DPO (Priya Menon) on console; outside holder on the portal</t>
        </is>
      </c>
      <c r="F98" s="11" t="inlineStr">
        <is>
          <t>High</t>
        </is>
      </c>
      <c r="G98" s="11" t="inlineStr">
        <is>
          <t>Positive</t>
        </is>
      </c>
      <c r="H98" s="11" t="inlineStr">
        <is>
          <t>Core</t>
        </is>
      </c>
      <c r="I98" s="11" t="inlineStr">
        <is>
          <t>- The console is running at http://localhost:3000.
-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RGT-07 has been run; RR-A is 'In progress'.
- The third-party processor SEED is in the registry (seed data).
- A private window (Browser D) is available for the outside holder; nobody is signed in there.</t>
        </is>
      </c>
      <c r="J98" s="11" t="inlineStr">
        <is>
          <t>- A registered processor: SEED
- Who answers: name: SEED Privacy Desk
- Their email: privacy.desk@seed.example (outside the organisation)
- Your own words, added to the end of 'What their ticket will ask': Please include the CIT campus recordings.
- Their answer: Did all of it - SEED holds one CIT-campus gait video of her and a copy of the consent export; extract attached.
- Proof: seed-return.pdf (any small PDF)</t>
        </is>
      </c>
      <c r="K98" s="11" t="inlineStr">
        <is>
          <t>1. Open RR-A and scroll to the group 'Holders' and its card '6–8 · Holders and tickets'.
2. Click 'Add a holder'.
3. Choose SEED in 'A registered processor', fill 'Who answers: name' and 'Their email' from the test data, and click 'Add'.
4. Click the holder's name (SEED) in the table.
5. Add the test sentence to the end of 'What their ticket will ask' and click 'Save'. Close the dialog.
6. In the box '1 holder is ready for a ticket' click 'Send tickets'. Leave 'Answer by' empty and click 'Send the ticket'.
7. Ask the coordinator for the email sent to privacy.desk@seed.example.
8. In Browser D open the link from the email.
9. Click 'Send me a code'. Ask the coordinator for the code sent to privacy.desk@seed.example, type it in 'Six-digit code' and click 'Open the ticket'.
10. Click 'Submit your answer'. Choose 'Did all of it' under '1 · What was done?', type the answer in '2 · What you hold, and what you did', choose seed-return.pdf under '3 · Proof' and click 'Send your answer'.
11. In Browser B reload RR-A.
12. Click 'Accept the answer' on SEED's row.
13. Click 'Accept the answer' in the box. Close the dialog.</t>
        </is>
      </c>
      <c r="L98" s="11" t="inlineStr">
        <is>
          <t>1. The card reads 'Who holds this person's data, what each was asked, and their answers. An answer counts once you accept it.' A row of steps shows '1 Find who holds the data', '2 Choose who answers', '3 Send tickets', '4 Wait for answers', '5 Review answers', the first highlighted. Buttons 'Find who holds the data' and 'Add a holder' are offered, and the text 'No holders yet. Find who holds the data from the records, or add one you know of.'
2. A dialog 'Add a holder' opens: 'Somebody the records did not name. Added as confirmed - you are the source.' with 'A registered processor', 'Who holds it', 'Who answers: name', 'Their email' and 'Add'.
3. The message 'Holder added' appears. A table with the columns 'Holder', 'State', 'Answer by', 'Last activity' and 'Next' shows a row for SEED with the badge 'Not sent' and 'By email · SEED Privacy Desk'. A box below reads '1 holder is ready for a ticket' with a 'Send tickets' button.
4. A dialog titled with the holder's name opens: 'Not sent. Reached by email at privacy.desk@seed.example; an internal colleague gets a console login, anyone else a link, when the ticket is sent.' It shows 'What their ticket will ask', already filled with the standard words, the hint 'The standard words for this kind of request. Change them for this holder if you need to.' and a greyed-out 'Save'.
5. The message 'Saved for this holder' appears; the hint now reads 'Your words for this holder.' and a 'Use the standard words' button appears.
6. Before sending, 'Answer by' has the hint 'Halfway to the response date (&lt;date&gt;) unless you choose a day...'. After the click the message 'Ticket sent' with 'You will see each answer here when it comes.' appears. SEED's row shows 'Waiting', 'Outside · answers by link' and its answer-by date. The header badge reads 'Awaiting holders' and the steps are at 'Wait for answers'.
7. Its subject is 'Rights request &lt;RR-A&gt;: a ticket for &lt;holder&gt;'. It carries a link starting http://localhost:3001/ticket/ and says a one-time code is sent when it is opened. It does NOT contain the instruction, Anjali's name or anything else about the request.
8. A page headed 'A ticket for &lt;holder&gt;' opens with a card 'Rights request &lt;RR-A&gt;', the line 'To answer · answer by &lt;date&gt;', a sentence saying a six-digit code goes to a masked form of the address, and a 'Send me a code' button. Nothing about the request or the person is shown yet.
9. After the first click 'A code is on its way to the address on the ticket.' appears, the button becomes 'Send a new code' and 'Open the ticket' stays greyed out until six digits are typed. The code email's subject is '&lt;code&gt; is your code to open the ticket on rights request &lt;RR-A&gt;'. The ticket opens: the reference, the badge 'To answer', 'For &lt;holder&gt;', 'Answer by &lt;date&gt;', 'What you are asked' with the DPO's words including the added sentence, a 'Submit your answer' button, 'Messages' with 'Write to the Privacy Office', and 'Close the ticket on this device' at the top.
10. 'Send your answer' is greyed out until an option is chosen and text typed. After sending, the badge reads 'Answered - with the Privacy Office' with the note 'Your answer is with the Privacy Office. They accept it, or send it back with what is missing.' and a 'Your answer' box shows the text with 'Did all of it'.
11. SEED's row shows 'Answered - review' and its 'Next' button reads 'Accept the answer'. The steps are at 'Review answers' and the summary's 'Next' reads 'Review an answer'. The header badge still reads 'Awaiting holders'.
12. The ticket opens on a box 'Accept the answer': 'Accepting takes this answer as the holder's. It then counts toward closing the request.' with 'Accept the answer' and 'Cancel'. Below, 'Their answer' shows the text and a link to seed-return.pdf.
13. The message 'Answer accepted' appears. SEED's row reads 'Accepted'. The header badge changes by itself to 'Collating'.</t>
        </is>
      </c>
      <c r="M98" s="11" t="inlineStr">
        <is>
          <t>A holder outside the organisation is emailed only a link; a one-time code to the ticket's address opens the ticket on the portal; their answer waits for review and counts once the DPO accepts it, which moves the request to 'Collating' by itself.</t>
        </is>
      </c>
      <c r="N98" s="16" t="n"/>
      <c r="O98" s="17" t="n"/>
      <c r="P98" s="16" t="inlineStr">
        <is>
          <t>Not run</t>
        </is>
      </c>
      <c r="Q98" s="16" t="n"/>
      <c r="R98" s="16" t="n"/>
    </row>
    <row r="99">
      <c r="A99" s="10" t="inlineStr">
        <is>
          <t>RGT-09</t>
        </is>
      </c>
      <c r="B99" s="11" t="inlineStr">
        <is>
          <t>Rights requests</t>
        </is>
      </c>
      <c r="C99" s="11" t="inlineStr">
        <is>
          <t>DPO releases an access response and the principal downloads it</t>
        </is>
      </c>
      <c r="D99" s="11" t="inlineStr">
        <is>
          <t>Console - '9–10 · Collate, review, release'; Portal - response and download</t>
        </is>
      </c>
      <c r="E99" s="11" t="inlineStr">
        <is>
          <t>DPO on console; data principal on portal</t>
        </is>
      </c>
      <c r="F99" s="11" t="inlineStr">
        <is>
          <t>High</t>
        </is>
      </c>
      <c r="G99" s="11" t="inlineStr">
        <is>
          <t>Positive</t>
        </is>
      </c>
      <c r="H99" s="11" t="inlineStr">
        <is>
          <t>Core</t>
        </is>
      </c>
      <c r="I99"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RGT-08 has been run; RR-A is 'Collating'.</t>
        </is>
      </c>
      <c r="J99" s="11" t="inlineStr">
        <is>
          <t>- Outcome: Complete
- The response: Attached is the summary of your data. SEED returned an extract of the gait video it holds, released with this response.
- Files released with the response: access-extract.pdf (any small PDF)</t>
        </is>
      </c>
      <c r="K99" s="11" t="inlineStr">
        <is>
          <t>1. Open RR-A and find the card '9–10 · Collate, review, release'.
2. Without typing a response, look at 'Release and close'.
3. Type the response in 'The response'. Under 'Files released with the response' choose access-extract.pdf.
4. Click 'Release and close'.
5. Look at 'What happens next'.
6. Ask the coordinator to check the outbox for the response mail to subject@cmp.local.
7. In Browser A reload 'My requests'. RR-A's folded card shows 'Our response is ready' with 'Download the file'; click 'Show details' on it.
8. Click 'Download the file'.
9. Open the downloaded file in a text editor.
10. Click 'Download' next to access-extract.pdf.</t>
        </is>
      </c>
      <c r="L99" s="11" t="inlineStr">
        <is>
          <t>1. It reads 'Third-party data removed. The DPO signs off - nothing releases automatically. An access response is a file the requester downloads from their own account.' There is no yellow warning, and 'Outcome' shows 'Complete'.
2. 'Release and close' is greyed out.
3. The file is listed with its size and a small X to remove it.
4. The message 'Released and closed' with 'The requester has been told; 1 file released with the response.' appears. The header badge reads 'Complete'. A 'Response' card shows 'Complete · &lt;date&gt; · downloadable by the requester until &lt;date&gt;', the response text, a 'Download the file' button and 'Released with the response' listing access-extract.pdf.
5. It reads 'Closed. Disagreement with the outcome is a grievance - a new request linked to this one.'
6. A mail telling her the response to RR-A is ready is in the outbox, with a summary including what SEED returned.
7. The badge reads 'Complete'. A box 'Our response · &lt;date&gt;' shows the text. 'Files released with this response' lists access-extract.pdf with 'Download'. Buttons 'Download the file' (with 'until &lt;date&gt;') and 'Dispute this response' are shown, with the note about the Data Protection Board.
8. The message 'Downloaded' with 'Keep it somewhere safe - the link is time-limited.' appears and a file named RR-A's reference with .json is saved.
9. It contains her 'consents', 'disclosures', 'holders' (SEED with ticket_status 'returned' and its return summary), an empty 'gaps' list, 'files' listing access-extract.pdf, and 'your_rights' with the grievance and Board routes.
10. The same PDF the DPO released downloads.</t>
        </is>
      </c>
      <c r="M99" s="11" t="inlineStr">
        <is>
          <t>The DPO signs off and releases the response with a file; the principal sees 'Complete', can download the record and the file, and the record names each holder's return.</t>
        </is>
      </c>
      <c r="N99" s="16" t="n"/>
      <c r="O99" s="17" t="n"/>
      <c r="P99" s="16" t="inlineStr">
        <is>
          <t>Not run</t>
        </is>
      </c>
      <c r="Q99" s="16" t="n"/>
      <c r="R99" s="16" t="n"/>
    </row>
    <row r="100">
      <c r="A100" s="10" t="inlineStr">
        <is>
          <t>RGT-10</t>
        </is>
      </c>
      <c r="B100" s="11" t="inlineStr">
        <is>
          <t>Rights requests</t>
        </is>
      </c>
      <c r="C100" s="11" t="inlineStr">
        <is>
          <t>DPO confirms the principal means erasure (not withdrawal) before work starts</t>
        </is>
      </c>
      <c r="D100" s="11" t="inlineStr">
        <is>
          <t>Console - '4 · Withdrawal, or erasure?'</t>
        </is>
      </c>
      <c r="E100" s="11" t="inlineStr">
        <is>
          <t>DPO on console; data principal on portal</t>
        </is>
      </c>
      <c r="F100" s="11" t="inlineStr">
        <is>
          <t>High</t>
        </is>
      </c>
      <c r="G100" s="11" t="inlineStr">
        <is>
          <t>Positive</t>
        </is>
      </c>
      <c r="H100" s="11" t="inlineStr">
        <is>
          <t>Core</t>
        </is>
      </c>
      <c r="I100" s="11" t="inlineStr">
        <is>
          <t>- The portal is running at http://localhost:3001 and Anjali Verma (subject@cmp.local / +91 90000 00001) can sign in to it.
- The console is running at http://localhost:3000.
- Use two separate browsers or browser profiles: Browser A for the portal (the data principal or nominee) and Browser B for the console (staff). The two sites share one sign-in on this machine, so one browser cannot hold both sessions.
- RGT-03 has been run; RR-E is 'Received'.
- DPO signed in in Browser B; Anjali signed in in Browser A.</t>
        </is>
      </c>
      <c r="J100" s="11" t="inlineStr">
        <is>
          <t>- This is a request for: Erasure (s.12(3))
- Second erasure request text (RR-W): Please stop using my data for the study.</t>
        </is>
      </c>
      <c r="K100" s="11" t="inlineStr">
        <is>
          <t>1. In 'Rights requests' set 'Kind' to 'Erasure' and open RR-E.
2. In '4 · Withdrawal, or erasure?' read the yellow box.
3. Check 'This is a request for' shows 'Erasure (s.12(3))' and click 'Confirm classification'.
4. Look at 'What happens next'.
5. Click 'They mean erasure'.
6. In 'What happens next' click 'In progress'.
7. In Browser A, on 'My requests', make a new request: 'Erasure (s.12(3))' with the RR-W text. Note its reference (RR-W).
8. In Browser B open RR-W and click 'They meant withdrawal'.
9. In Browser A reload 'My requests', click 'Show details' on RR-W, then open 'My consents'.</t>
        </is>
      </c>
      <c r="L100" s="11" t="inlineStr">
        <is>
          <t>1. The line under the heading reads 'Erasure · s.12(3) · Portal'. The cards include '4 · Withdrawal, or erasure?' and, in the group 'Holders and what goes', '7–9 · Holders and tickets' and '5–6 · Scope determined; inside the one-year floor?'.
2. It is headed 'Does the requester mean erasure, or withdrawal?' and explains 'Withdrawal stops future processing, and the requester can do it from their consent record... Confirm which before anything is deleted.' with buttons 'They mean erasure' and 'They meant withdrawal'.
3. 'Classified' appears; the card shows 'Classified as erasure on &lt;date&gt;.'
4. 'Move to in progress' carries the warning 'Whether she means withdrawal or erasure is not yet confirmed' and 'In progress' is greyed out.
5. The message 'Erasure confirmed' appears, the yellow box disappears and the card reads 'Erasure confirmed on &lt;date&gt;.'
6. 'Moved to In progress' appears and the header badge reads 'In progress'.
7. 'Recorded as RR-...' appears.
8. The message 'Handled as withdrawal' appears. The header badge reads 'Handled as withdrawal'. A 'Response' card shows the explanation starting 'Withdrawing consent stops future processing for the purposes withdrawn. It does not delete data already collected...'
9. RR-W shows 'Handled as withdrawal' with 'Our response' giving the same explanation and a 'Dispute this response' button. Her consents are NOT changed - withdrawing stays her own step.</t>
        </is>
      </c>
      <c r="M100" s="11" t="inlineStr">
        <is>
          <t>Work on an erasure cannot start until the DPO confirms intent; 'They mean erasure' unblocks it; 'They meant withdrawal' closes the request as 'Handled as withdrawal' with the explanation, without touching her consents.</t>
        </is>
      </c>
      <c r="N100" s="16" t="n"/>
      <c r="O100" s="17" t="n"/>
      <c r="P100" s="16" t="inlineStr">
        <is>
          <t>Not run</t>
        </is>
      </c>
      <c r="Q100" s="16" t="n"/>
      <c r="R100" s="16" t="n"/>
    </row>
    <row r="101">
      <c r="A101" s="10" t="inlineStr">
        <is>
          <t>RGT-11</t>
        </is>
      </c>
      <c r="B101" s="11" t="inlineStr">
        <is>
          <t>Rights requests</t>
        </is>
      </c>
      <c r="C101" s="11" t="inlineStr">
        <is>
          <t>DPO finds the holders, chooses who answers for the in-house holder, words its ticket and sends it</t>
        </is>
      </c>
      <c r="D101" s="11" t="inlineStr">
        <is>
          <t>Console - '7–9 · Holders and tickets' (in-house holder): find, confirm, instruction, remove, send</t>
        </is>
      </c>
      <c r="E101" s="11" t="inlineStr">
        <is>
          <t>DPO (Priya Menon) on console</t>
        </is>
      </c>
      <c r="F101" s="11" t="inlineStr">
        <is>
          <t>High</t>
        </is>
      </c>
      <c r="G101" s="11" t="inlineStr">
        <is>
          <t>Positive</t>
        </is>
      </c>
      <c r="H101" s="11" t="inlineStr">
        <is>
          <t>Core</t>
        </is>
      </c>
      <c r="I101" s="11" t="inlineStr">
        <is>
          <t>-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RGT-10 has been run; RR-E is 'In progress'.
- The coordinator has imported a manifest naming the principal's consent (see CON cases): she appears in two collected assets at the in-house source SRC-SRIB-SE (processor SRIB) - asset A containing only her, and asset B containing her and one other person. Write down both asset references.
- Meera Iyer (rco@cmp.local) is registered on the Processors page as a respondent for SRIB (see REG-12; REG-12 removes her at its end, so the coordinator adds her back).</t>
        </is>
      </c>
      <c r="J101" s="11" t="inlineStr">
        <is>
          <t>- Who answers: Meera Iyer · rco@cmp.local · in the console
- Words added to the ticket, then taken back: Please also check the backup share.</t>
        </is>
      </c>
      <c r="K101" s="11" t="inlineStr">
        <is>
          <t>1. Open RR-E and find '7–9 · Holders and tickets' in the group 'Holders and what goes'.
2. Click 'Find who holds the data'.
3. If a row for any holder other than SRIB was found (for example SEED, from the export in CON-14), open it, click 'More', choose 'Remove' and click 'Remove' in the box.
4. Click 'Confirm who answers' on the SRIB row.
5. Choose 'Meera Iyer · rco@cmp.local · in the console' and click 'Confirm'.
6. Add the test sentence to the end of 'What their ticket will ask' and click 'Save'.
7. Click 'Use the standard words'.
8. In the box '1 holder is ready for a ticket' click 'Send tickets', leave 'Answer by' empty and click 'Send the ticket'.
9. Look at 'What happens next' and for a respond card.
10. Ask the coordinator to check the outbox for mail to rco@cmp.local.</t>
        </is>
      </c>
      <c r="L101" s="11" t="inlineStr">
        <is>
          <t>1. It reads 'No holders yet. Find who holds the data from the records, or add one you know of.' with 'Find who holds the data' and 'Add a holder'.
2. The message 'Holders found' with 'Confirm who answers for each, then send the tickets.' appears. A row for SRIB shows the badge 'Not confirmed' and a 'Next' button 'Confirm who answers'. The steps are at 'Choose who answers' with '1 to confirm' (or more if other holders were found). The summary's 'Next' reads 'Confirm who answers' (or 'Confirm who answers for &lt;n&gt; holders').
3. The box reads 'Remove this holder from the request. Nothing has been sent to them, so nothing is lost.' After the click 'Holder removed' appears and the row is gone. Only SRIB remains.
4. The ticket opens on a box 'Confirm who answers' with 'Who answers' (hint 'Somebody with a console login answers there; anybody else is emailed.'), listing 'Somebody else - type them below' and 'Meera Iyer · rco@cmp.local · in the console', and buttons 'Cancel' and 'Confirm'.
5. The message 'Confirmed' with 'Send the tickets when every holder is confirmed.' appears. The ticket now shows 'What their ticket will ask' with the standard words. In the table SRIB reads 'Not sent' with 'In the console · Meera Iyer'.
6. 'Saved for this holder' appears; the hint reads 'Your words for this holder.' and 'Use the standard words' is offered.
7. The message 'Back to the standard words' appears, the text is the standard words again, the hint reads 'The standard words for this kind of request. Change them for this holder if you need to.' and 'Use the standard words' is gone. Close the dialog.
8. 'Ticket sent' appears. SRIB reads 'Waiting' with 'In the console · Meera Iyer' and its answer-by date. The header badge reads 'Awaiting holders'.
9. Only 'Move to collating' is offered, with the warning 'A holder has not answered - wait, or send them a final reminder once it is overdue, then respond partial', greyed out. There is no 'Response and outcome' group yet.
10. An email to Meera Iyer with the subject 'Action required by &lt;date&gt;: rights request &lt;RR-E&gt;' is in the outbox.</t>
        </is>
      </c>
      <c r="M101" s="11" t="inlineStr">
        <is>
          <t>The holders are found from the records; a holder found in error is removed before anything is sent; the in-house holder is confirmed with its registered respondent, its words can be changed and put back, and its ticket is sent to her console; the request waits for the answer.</t>
        </is>
      </c>
      <c r="N101" s="16" t="n"/>
      <c r="O101" s="17" t="n"/>
      <c r="P101" s="16" t="inlineStr">
        <is>
          <t>Not run</t>
        </is>
      </c>
      <c r="Q101" s="16" t="n"/>
      <c r="R101" s="16" t="n"/>
    </row>
    <row r="102">
      <c r="A102" s="10" t="inlineStr">
        <is>
          <t>RGT-12</t>
        </is>
      </c>
      <c r="B102" s="11" t="inlineStr">
        <is>
          <t>Rights requests</t>
        </is>
      </c>
      <c r="C102" s="11" t="inlineStr">
        <is>
          <t>DPO derives the erasure scope and records a decision with its basis (retention floor respected)</t>
        </is>
      </c>
      <c r="D102" s="11" t="inlineStr">
        <is>
          <t>Console - '5–6 · Scope determined; inside the one-year floor?'</t>
        </is>
      </c>
      <c r="E102" s="11" t="inlineStr">
        <is>
          <t>DPO (Priya Menon) on console</t>
        </is>
      </c>
      <c r="F102" s="11" t="inlineStr">
        <is>
          <t>High</t>
        </is>
      </c>
      <c r="G102" s="11" t="inlineStr">
        <is>
          <t>Positive</t>
        </is>
      </c>
      <c r="H102" s="11" t="inlineStr">
        <is>
          <t>Core</t>
        </is>
      </c>
      <c r="I102" s="11" t="inlineStr">
        <is>
          <t>- The console is running at http://localhost:3000.
- Use two separate browsers or browser profiles: Browser A for the portal (the data principal or nominee) and Browser B for the console (staff). The two sites share one sign-in on this machine, so one browser cannot hold both sessions.
- RGT-11 has been run; RR-E is 'Awaiting holders'.
- The coordinator has imported a manifest naming the principal's consent (see CON cases) (assets A and B as in RGT-11).</t>
        </is>
      </c>
      <c r="J102" s="11" t="inlineStr">
        <is>
          <t>- Retain basis: Rule 8(3) retention obligation
- Until (past): yesterday's date
- Until (future): the same date next year
- Erase basis: Section 12(3) request; no legal obligation requires keeping this recording.</t>
        </is>
      </c>
      <c r="K102" s="11" t="inlineStr">
        <is>
          <t>1. Open RR-E and find '5–6 · Scope determined; inside the one-year floor?'.
2. Click 'Find what is held'.
3. On asset A look at 'Decision', 'Basis' and 'Record the decision'.
4. Change 'Decision' to 'Retain - a floor binds, erased when it passes'. Set 'Until' to yesterday, type the retain basis and click 'Record the decision'.
5. Set 'Until' to the date next year and click 'Record the decision'.
6. Click 'Apply'.
7. Change 'Decision' to 'Erase - the asset holds only the requester', replace the basis with the erase basis and click 'Record the decision'.
8. Open 'Decision' on asset A once more without changing it.</t>
        </is>
      </c>
      <c r="L102" s="11" t="inlineStr">
        <is>
          <t>1. A blue note reads 'Consent artefacts are never erased. They are the evidence that past processing was lawful...' and the card says 'No scope yet. Derive it from the records the requester appears in.' with a button 'Find what is held'.
2. 'Found' with '2 appearances of the requester in collected assets.' appears. Two rows show: asset A with its type badge and 'only the requester', and asset B with a warning badge 'holds 1 other person'. Each row names the project, source (SRC-SRIB-SE), 'held by SRIB' and the collection date.
3. 'Decision' shows 'Erase - the asset holds only the requester'. 'Basis' is empty and 'Record the decision' is greyed out.
4. An 'Until' field appeared when Retain was chosen. The message 'Not recorded' with 'A retention floor in the past is not a floor' appears.
5. 'Decision recorded' appears. The row shows 'decided: retain', 'Retained until &lt;date&gt;', the basis in quotes, and an 'Apply' button.
6. The message 'Not applied' with 'Retained until &lt;date&gt;. The floor binds even against her request; it is applied when it passes.' appears. The row still shows 'decided: retain' and nothing is quarantined.
7. The 'Until' field disappears. 'Decision recorded' appears and the row shows 'decided: erase' with the new basis. Do not click 'Apply' yet (RGT-14).
8. The four options are 'Erase - the asset holds only the requester', 'Redact - remove the requester, keep the others', 'Retain - a floor binds, erased when it passes' and 'Quarantine - removal cannot be assured; the DPO decides'.</t>
        </is>
      </c>
      <c r="M102" s="11" t="inlineStr">
        <is>
          <t>The scope lists each appearance of her with how many others share the asset; every decision needs a basis; a retention floor in the past is refused and one in the future cannot be applied early.</t>
        </is>
      </c>
      <c r="N102" s="16" t="n"/>
      <c r="O102" s="17" t="n"/>
      <c r="P102" s="16" t="inlineStr">
        <is>
          <t>Not run</t>
        </is>
      </c>
      <c r="Q102" s="16" t="n"/>
      <c r="R102" s="16" t="n"/>
    </row>
    <row r="103">
      <c r="A103" s="10" t="inlineStr">
        <is>
          <t>RGT-13</t>
        </is>
      </c>
      <c r="B103" s="11" t="inlineStr">
        <is>
          <t>Rights requests</t>
        </is>
      </c>
      <c r="C103" s="11" t="inlineStr">
        <is>
          <t>Erase is not offered for an asset that also holds other people; it is redacted instead</t>
        </is>
      </c>
      <c r="D103" s="11" t="inlineStr">
        <is>
          <t>Console - erasure scope - asset holding others</t>
        </is>
      </c>
      <c r="E103" s="11" t="inlineStr">
        <is>
          <t>DPO (Priya Menon) on console</t>
        </is>
      </c>
      <c r="F103" s="11" t="inlineStr">
        <is>
          <t>High</t>
        </is>
      </c>
      <c r="G103" s="11" t="inlineStr">
        <is>
          <t>Negative</t>
        </is>
      </c>
      <c r="H103" s="11" t="inlineStr">
        <is>
          <t>S2-03</t>
        </is>
      </c>
      <c r="I103" s="11" t="inlineStr">
        <is>
          <t>- The console is running at http://localhost:3000.
- Use two separate browsers or browser profiles: Browser A for the portal (the data principal or nominee) and Browser B for the console (staff). The two sites share one sign-in on this machine, so one browser cannot hold both sessions.
- RGT-12 has been run; asset B is in RR-E's scope, undecided.</t>
        </is>
      </c>
      <c r="J103" s="11" t="inlineStr">
        <is>
          <t>- Redact basis: Section 12(3); the recording also holds another participant's consented data.</t>
        </is>
      </c>
      <c r="K103" s="11" t="inlineStr">
        <is>
          <t>1. On the asset B row look at the badges, the 'Decision' field and the text beside 'Record the decision'.
2. Open 'Decision' and try to choose 'Erase - the asset holds only the requester'.
3. Keep 'Redact - remove the requester, keep the others', type the redact basis and click 'Record the decision'.
4. Click 'Apply'.
5. Read the list of stores under the row.
6. Look at the buttons on the row.</t>
        </is>
      </c>
      <c r="L103" s="11" t="inlineStr">
        <is>
          <t>1. The row carries the warning badge 'holds 1 other person'. 'Decision' is preset to 'Redact - remove the requester, keep the others'. Beside the button: 'Erase is not offered: deleting this asset would erase the other people's validly given consent.'
2. The Erase option is greyed out and cannot be chosen.
3. 'Decision recorded' appears; the row shows 'decided: redact' and an 'Apply' button.
4. The message 'Quarantined' with 'It is out of use now; it is erased when every store holding it is confirmed.' appears. The row now shows the badge 'quarantined - being redacted'; the decision fields are gone.
5. Exactly one line: 'The holder's copy: waiting for the holder's ticket to come back'. There is NO line for 'The platform's pointer to it' - a redaction keeps the asset for the other person.
6. 'Try again now' and 'Place a legal hold' are offered; 'Apply' is gone.</t>
        </is>
      </c>
      <c r="M103" s="11" t="inlineStr">
        <is>
          <t>The screen will not let the DPO erase an asset that holds other people, says why, and a redaction quarantines her part and waits only for the holder's copy.</t>
        </is>
      </c>
      <c r="N103" s="16" t="n"/>
      <c r="O103" s="17" t="n"/>
      <c r="P103" s="16" t="inlineStr">
        <is>
          <t>Not run</t>
        </is>
      </c>
      <c r="Q103" s="16" t="n"/>
      <c r="R103" s="16" t="n"/>
    </row>
    <row r="104">
      <c r="A104" s="10" t="inlineStr">
        <is>
          <t>RGT-14</t>
        </is>
      </c>
      <c r="B104" s="11" t="inlineStr">
        <is>
          <t>Rights requests</t>
        </is>
      </c>
      <c r="C104" s="11" t="inlineStr">
        <is>
          <t>Applying an erasure quarantines the item and shows each store's status; 'Try again now'</t>
        </is>
      </c>
      <c r="D104" s="11" t="inlineStr">
        <is>
          <t>Console - erasure scope - Apply, store status, Try again now</t>
        </is>
      </c>
      <c r="E104" s="11" t="inlineStr">
        <is>
          <t>DPO (Priya Menon) on console</t>
        </is>
      </c>
      <c r="F104" s="11" t="inlineStr">
        <is>
          <t>High</t>
        </is>
      </c>
      <c r="G104" s="11" t="inlineStr">
        <is>
          <t>Positive</t>
        </is>
      </c>
      <c r="H104" s="11" t="inlineStr">
        <is>
          <t>S2-03</t>
        </is>
      </c>
      <c r="I104" s="11" t="inlineStr">
        <is>
          <t>- The console is running at http://localhost:3000.
- The portal is running at http://localhost:3001 and Anjali Verma (subject@cmp.local / +91 90000 00001) can sign in to it.
- Use two separate browsers or browser profiles: Browser A for the portal (the data principal or nominee) and Browser B for the console (staff). The two sites share one sign-in on this machine, so one browser cannot hold both sessions.
- RGT-12 has been run: asset A in RR-E is 'decided: erase' and not applied.
- SRIB's ticket on RR-E is still 'Waiting' (not answered).</t>
        </is>
      </c>
      <c r="J104" s="11" t="inlineStr">
        <is>
          <t>- Request: RR-E, asset A</t>
        </is>
      </c>
      <c r="K104" s="11" t="inlineStr">
        <is>
          <t>1. On asset A click 'Apply'.
2. Look at asset A's badges.
3. Read the list of stores under asset A.
4. Click 'Try again now'.
5. Check whether the decision can still be changed.
6. Look at 'What happens next' and the header.
7. In Browser A (Anjali) reload 'My requests' and look at RR-E.</t>
        </is>
      </c>
      <c r="L104" s="11" t="inlineStr">
        <is>
          <t>1. The message 'Quarantined' with 'It is out of use now; it is erased when every store holding it is confirmed.' appears.
2. The row shows the yellow badge 'quarantined - being erased'. It does NOT show 'erased'.
3. Two lines: 'The holder's copy: waiting for the holder's ticket to come back' and 'The platform's pointer to it: cleared' (in green).
4. The message 'Tried again' with 'Something is still outstanding; it is shown below.' appears. The lines and the 'quarantined - being erased' badge are unchanged.
5. The 'Decision' and 'Basis' fields are gone for asset A; the decision stands.
6. The request is still 'Awaiting holders'; 'Move to collating' is still blocked by 'A holder has not answered - wait, or send them a final reminder once it is overdue, then respond partial'.
7. RR-E shows 'Waiting for responses'. Nothing on her card says her data has been erased.</t>
        </is>
      </c>
      <c r="M104" s="11" t="inlineStr">
        <is>
          <t>Apply quarantines at once and shows each store as it stands - the holder's copy waiting for its ticket, the pointer cleared - and nothing claims 'erased' while a store is outstanding; 'Try again now' re-checks without changing the truth.</t>
        </is>
      </c>
      <c r="N104" s="16" t="n"/>
      <c r="O104" s="17" t="n"/>
      <c r="P104" s="16" t="inlineStr">
        <is>
          <t>Not run</t>
        </is>
      </c>
      <c r="Q104" s="16" t="n"/>
      <c r="R104" s="16" t="n"/>
    </row>
    <row r="105">
      <c r="A105" s="10" t="inlineStr">
        <is>
          <t>RGT-15</t>
        </is>
      </c>
      <c r="B105" s="11" t="inlineStr">
        <is>
          <t>Rights requests</t>
        </is>
      </c>
      <c r="C105" s="11" t="inlineStr">
        <is>
          <t>In-house respondent answers the ticket in My tasks; the DPO sends it back once, then accepts it</t>
        </is>
      </c>
      <c r="D105" s="11" t="inlineStr">
        <is>
          <t>Console - My tasks (To do / Waiting on the Privacy Office / Done); request detail - review, Send back, Accept the answer</t>
        </is>
      </c>
      <c r="E105" s="11" t="inlineStr">
        <is>
          <t>Respondent (Meera Iyer, rco@cmp.local); DPO</t>
        </is>
      </c>
      <c r="F105" s="11" t="inlineStr">
        <is>
          <t>High</t>
        </is>
      </c>
      <c r="G105" s="11" t="inlineStr">
        <is>
          <t>Positive</t>
        </is>
      </c>
      <c r="H105" s="11" t="inlineStr">
        <is>
          <t>Core</t>
        </is>
      </c>
      <c r="I105" s="11" t="inlineStr">
        <is>
          <t>- The console is running at http://localhost:3000.
- The test coordinator can read the test outbox (backend/api/var/outbox.log) and relays codes, links and emails on request.
- RGT-14 has been run; RR-E's SRIB ticket is 'Waiting' on Meera Iyer, asset A is decided for erasure and applied, asset B decided for redaction and applied.
- Browser B holds the DPO session; use a third browser or profile (Browser C) for Meera Iyer.</t>
        </is>
      </c>
      <c r="J105" s="11" t="inlineStr">
        <is>
          <t>- Question: We hold two recordings of this person at SRC-SRIB-SE. Please confirm both are in scope.
- Attach a file: srib-inventory.csv (any small CSV)
- DPO reply: Yes - erase her own recording and remove her from the shared one.
- First answer: Did only part of it - her solo recording is deleted; the shared one is not yet cut.
- Send back reason: Please cut her segment from the shared recording too, and attach the deletion log.
- Second answer: Did all of it - solo recording deleted from the SE lab store; her segment cut from the shared recording. Deletion log attached.
- Proof: srib-deletion-log.pdf (any small PDF)</t>
        </is>
      </c>
      <c r="K105" s="11" t="inlineStr">
        <is>
          <t>1. In Browser C sign in to http://localhost:3000 as rco@cmp.local with password SeedPassw0rd!2026 (enter the relayed code if 'Verify it is you' appears).
2. Type http://localhost:3000/requests in the address bar.
3. Click 'My tasks'.
4. Click 'Answer'.
5. Type the question, choose srib-inventory.csv under 'Attach a file' and click 'Send'.
6. In Browser B (DPO) open RR-E, click SRIB in the holders table, type the DPO reply in the box under 'Messages' and click 'Send'. Close the dialog.
7. In Browser C close the dialog, reload 'My tasks' and click 'Answer' again.
8. Click 'Submit your answer'. Choose 'Did only part of it', type the first answer and click 'Send your answer'.
9. In Browser B reload RR-E. Click SRIB, then 'More', then 'Send back'. Type the reason in 'What is missing or wrong', leave 'Answer again by' empty and click 'Send it back'.
10. In Browser C reload 'My tasks'.
11. Click 'Answer', then 'Submit your answer'. Choose 'Did all of it', type the second answer, choose srib-deletion-log.pdf under '3 · Proof' and click 'Send your answer'.
12. In Browser B reload RR-E and click 'Accept the answer' on SRIB's row, then 'Accept the answer' in the box.
13. In Browser C reload 'My tasks'.</t>
        </is>
      </c>
      <c r="L105" s="11" t="inlineStr">
        <is>
          <t>1. Meera Iyer's dashboard opens. Under 'Your work' the sidebar shows 'My tasks'; there is no 'Rights requests' link.
2. A box 'Not part of your account' says 'This section belongs to a different role, so there is nothing here for you...' with a 'Back to your dashboard' button. No requests are shown.
3. The page 'My tasks' reads 'What the Privacy Office has asked of you: tickets on rights requests and on personal data breaches...'. Tiles show 'To do', 'Overdue', 'Due within 7 days' and 'Unread from the Privacy Office', and a group 'To do · 1'. The card shows RR-E, 'Erasure · s.12(3)', the badge 'To answer', 'For SRIB · about Anjali Verma · sent &lt;date and time&gt;', the due date, 'What you are asked' with the instruction, and an 'Answer' button.
4. A dialog '&lt;RR-E&gt; · SRIB' opens with 'What the platform already knows', a table 'What to do with each item' listing asset A with 'Erase it' and asset B with 'Remove the person from it; keep the other person', the messages so far, a 'Submit your answer' button, and a message box ('Write to the Privacy Office: a question, or what you have found so far.') with 'Attach a file' and 'Send'.
5. The message 'Message sent' with 'The Privacy Office can see it.' appears. The question shows in the thread with 'File: srib-inventory.csv'. The window stays open.
6. Before replying, SRIB's row carries an unread-message badge and the dialog's 'Messages' shows Meera's question with a link to the file. The box's placeholder reads 'Write to them - they read it in the console.' The reply appears in the thread.
7. 'Unread from the Privacy Office' showed 1 before the dialog was opened; the DPO's reply is in the thread.
8. The message 'Answer sent' with 'The Privacy Office will review it.' appears and the dialog closes. The card moves to 'Waiting on the Privacy Office · 1' with the badge 'Answered - with the Privacy Office' and the note 'Your answer is with the Privacy Office. They accept it, or send it back with what is missing.'
9. Before: SRIB reads 'Answered - review · did only part of it' and the summary's 'Next' reads 'Review an answer'; the form says 'The ticket opens again with your reason and a date; what they sent stays on the record.' After: the message 'Sent back' appears and SRIB reads 'Sent back'.
10. The card is back under 'To do' with the badge 'Sent back to you' and a yellow box 'Sent back to you &lt;date and time&gt;' quoting the reason and 'Answer again by &lt;date&gt;.'
11. 'Answer sent' appears; the card is under 'Waiting on the Privacy Office' again.
12. 'Answer accepted' appears. SRIB reads 'Accepted'; the header badge changes by itself to 'Collating'. In the scope card asset A shows the badge 'erased' with 'The holder's copy: confirmed gone by the holder' and 'The platform's pointer to it: cleared'; asset B shows 'redacted' with 'The holder's copy: confirmed gone by the holder'. No 'Try again now' buttons remain.
13. The card is under 'Done · 1' with the badge 'Accepted' and the note 'The Privacy Office accepted your answer on &lt;date&gt;. Nothing further is needed.' Its button reads 'Open'.</t>
        </is>
      </c>
      <c r="M105" s="11" t="inlineStr">
        <is>
          <t>The in-house respondent sees only her ticket and the items it covers, writes to the office without closing the window, and gives her answer on its own form; the answer waits for review, can be sent back with a reason and answered again, and only the accepted answer moves the request to 'Collating' and completes the erasure and redaction.</t>
        </is>
      </c>
      <c r="N105" s="16" t="n"/>
      <c r="O105" s="17" t="n"/>
      <c r="P105" s="16" t="inlineStr">
        <is>
          <t>Not run</t>
        </is>
      </c>
      <c r="Q105" s="16" t="n"/>
      <c r="R105" s="16" t="n"/>
    </row>
    <row r="106">
      <c r="A106" s="10" t="inlineStr">
        <is>
          <t>RGT-16</t>
        </is>
      </c>
      <c r="B106" s="11" t="inlineStr">
        <is>
          <t>Rights requests</t>
        </is>
      </c>
      <c r="C106" s="11" t="inlineStr">
        <is>
          <t>A fully carried-out erasure closes Complete and the principal downloads a record of what was done</t>
        </is>
      </c>
      <c r="D106" s="11" t="inlineStr">
        <is>
          <t>Console - '10 · Respond and close'; Portal - erasure record</t>
        </is>
      </c>
      <c r="E106" s="11" t="inlineStr">
        <is>
          <t>DPO on console; data principal on portal</t>
        </is>
      </c>
      <c r="F106" s="11" t="inlineStr">
        <is>
          <t>High</t>
        </is>
      </c>
      <c r="G106" s="11" t="inlineStr">
        <is>
          <t>Positive</t>
        </is>
      </c>
      <c r="H106" s="11" t="inlineStr">
        <is>
          <t>S2-02</t>
        </is>
      </c>
      <c r="I106" s="11" t="inlineStr">
        <is>
          <t>- The console is running at http://localhost:3000.
-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RGT-15 has been run: RR-E is 'Collating', asset A 'erased' and asset B 'redacted'.</t>
        </is>
      </c>
      <c r="J106" s="11" t="inlineStr">
        <is>
          <t>- Outcome: Complete
- The response: Your solo recording has been erased at the lab and on our platform. The shared recording has been redacted to remove you; it is kept for the other participant.</t>
        </is>
      </c>
      <c r="K106" s="11" t="inlineStr">
        <is>
          <t>1. Open RR-E and find '10 · Respond and close'.
2. Read the hint under 'The response'.
3. Type the response and click 'Release and close'.
4. Look at the scope card.
5. Ask the coordinator to show the response mail to subject@cmp.local.
6. In Browser A reload 'My requests' and click 'Show details' on RR-E.
7. Click 'Download the file' and open the saved .json file.
8. In the same file look at 'consents'.</t>
        </is>
      </c>
      <c r="L106" s="11" t="inlineStr">
        <is>
          <t>1. No yellow warning is shown. 'Outcome' shows 'Complete', which can be chosen.
2. It reads 'What was decided for each item, what has been carried out, and why. Say only what was done: the record lists each item as it stands.'
3. 'Released and closed' with 'The requester has been told the response is ready.' appears. The header badge reads 'Complete' and a 'Response' card shows 'Complete · &lt;date&gt; ...'.
4. Asset A still shows 'erased' and asset B 'redacted'. No 'Apply', 'Try again now', 'Place a legal hold' or 'Find what is held' buttons are offered.
5. It has a section 'WHAT WAS DONE WITH EACH ITEM' with '- &lt;asset A&gt;: Erased.' and '- &lt;asset B&gt;: Redacted: your part removed; the material holds other people and was kept.', followed by 'Kept, because they are the record of what happened and are never rewritten: your consent records, the audit trail, the files of data sent to processors before your request, and earlier responses given to you.' There is no 'NOT YET DONE' section.
6. RR-E shows 'Complete', 'Our response' with the text, 'Download the file' and 'Dispute this response'.
7. 'Downloaded' appears. In the file, 'execution' has 'items' with two entries (asset A: decision 'erase', done true, outcome 'Erased.'; asset B: decision 'redact', done true, outcome 'Redacted: ...'), 'not_done' is empty, 'kept_as_evidence' holds the 'Kept, because...' sentence and 'holders_confirmed' lists SRIB.
8. Her consent records are still listed - consent artefacts are evidence and are not erased.</t>
        </is>
      </c>
      <c r="M106" s="11" t="inlineStr">
        <is>
          <t>Only when every item is carried out can the erasure close 'Complete'; the record she downloads states what was done to each item and what is kept as evidence and why.</t>
        </is>
      </c>
      <c r="N106" s="16" t="n"/>
      <c r="O106" s="17" t="n"/>
      <c r="P106" s="16" t="inlineStr">
        <is>
          <t>Not run</t>
        </is>
      </c>
      <c r="Q106" s="16" t="n"/>
      <c r="R106" s="16" t="n"/>
    </row>
    <row r="107">
      <c r="A107" s="10" t="inlineStr">
        <is>
          <t>RGT-17</t>
        </is>
      </c>
      <c r="B107" s="11" t="inlineStr">
        <is>
          <t>Rights requests</t>
        </is>
      </c>
      <c r="C107" s="11" t="inlineStr">
        <is>
          <t>A legal hold stops an erasure; releasing it lets the erasure finish</t>
        </is>
      </c>
      <c r="D107" s="11" t="inlineStr">
        <is>
          <t>Console - erasure scope - 'Place a legal hold' / 'Release hold'; ticket items</t>
        </is>
      </c>
      <c r="E107" s="11" t="inlineStr">
        <is>
          <t>DPO; respondent (Meera Iyer); data principal</t>
        </is>
      </c>
      <c r="F107" s="11" t="inlineStr">
        <is>
          <t>High</t>
        </is>
      </c>
      <c r="G107" s="11" t="inlineStr">
        <is>
          <t>Positive</t>
        </is>
      </c>
      <c r="H107" s="11" t="inlineStr">
        <is>
          <t>S2-03</t>
        </is>
      </c>
      <c r="I107" s="11" t="inlineStr">
        <is>
          <t>- The console is running at http://localhost:3000.
-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RR-E is closed (RGT-16). The coordinator has imported a manifest naming the principal's consent (see CON cases): a fresh manifest puts her in exactly one new asset, asset H, at SRC-SRIB-SE, containing only her. Write down its reference.
- Meera Iyer is still SRIB's respondent; Browser C is available for her.</t>
        </is>
      </c>
      <c r="J107" s="11" t="inlineStr">
        <is>
          <t>- Erasure request text: Please erase the new recording of me.
- Erase basis: Section 12(3) request.
- Hold reason: Evidence in a live legal matter - Legal ref LM-2026-17.
- Answer: Did all of it - recording H deleted from the SE lab store.
- Note the new reference (RR-H).</t>
        </is>
      </c>
      <c r="K107" s="11" t="inlineStr">
        <is>
          <t>1. In Browser A make an erasure request ('Erasure (s.12(3))') with the test text. Note RR-H.
2. In Browser B open RR-H: click 'Confirm classification', then 'They mean erasure', then 'In progress' in 'What happens next'.
3. In the holders card click 'Find who holds the data'. Remove any holder other than SRIB as in RGT-11. On SRIB click 'Confirm who answers', choose 'Meera Iyer · rco@cmp.local · in the console' and click 'Confirm'. Close the dialog.
4. In the scope card click 'Find what is held'. On asset H keep 'Erase - the asset holds only the requester', type the erase basis and click 'Record the decision'.
5. Click SRIB in the holders table.
6. Click 'Send tickets', then 'Send the ticket'.
7. On asset H click 'Place a legal hold', type the hold reason and click 'Place the hold'.
8. Click 'Apply' on asset H.
9. In Browser C (Meera) open 'My tasks', click 'Answer' on RR-H, then 'Submit your answer'. Choose 'Did all of it', type the answer and click 'Send your answer'.
10. In Browser B reload RR-H and accept the answer ('Accept the answer' on SRIB's row, then 'Accept the answer' in the box).
11. Look at '10 · Respond and close'.
12. On asset H click 'Release hold'.
13. Look at '10 · Respond and close', then choose 'Complete', type a response and click 'Release and close'.</t>
        </is>
      </c>
      <c r="L107" s="11" t="inlineStr">
        <is>
          <t>1. 'Recorded as RR-...' appears.
2. 'Classified', 'Erasure confirmed' and 'Moved to In progress' appear in turn.
3. SRIB reads 'Not sent' with 'In the console · Meera Iyer'.
4. 'Found' with '1 appearance of the requester in collected assets.' appears; asset H shows 'only the requester', then 'decided: erase'.
5. Under 'What their ticket will ask' a table 'Items their ticket will list · 1' shows asset H with its collection date and 'Erase it' under 'What to do'. Close the dialog.
6. 'Ticket sent' appears; SRIB reads 'Waiting' and the request is 'Awaiting holders'.
7. A field 'Why this asset must not be erased' appeared with the hint 'Sealed, and shown only to the Privacy Office.' and 'Place the hold' (greyed out until at least 3 characters are typed) and 'Cancel'. After the click 'Legal hold placed' with 'Nothing covered by it is erased until it is released.' appears.
8. 'Quarantined' appears. The row shows a red badge 'legal hold' with a lock and the line 'Legal hold: stopped until the hold is released'. There is no 'Try again now' and no 'erased' badge; a 'Release hold' button is offered.
9. The dialog's 'What to do with each item' lists asset H with 'Erase it'. After sending, 'Answer sent' appears and the ticket moves to 'Waiting on the Privacy Office'.
10. 'Answer accepted' appears; SRIB reads 'Accepted' and the request is 'Collating', but asset H is still NOT erased: it still shows 'legal hold' and 'Legal hold: stopped until the hold is released'. The hold wins over the accepted answer.
11. A yellow warning reads 'Not carried out yet: &lt;asset H&gt;. The response can go out on time, but it is partial and says what remains.' and 'Complete' is greyed out in 'Outcome'.
12. The message 'Hold released' with 'What it was stopping carries on.' appears. Asset H shows the badge 'erased' with 'The holder's copy: confirmed gone by the holder' and 'The platform's pointer to it: cleared'; the 'legal hold' badge and 'Release hold' are gone.
13. The warning has gone and 'Complete' can be chosen. 'Released and closed' appears and the request shows 'Complete'.</t>
        </is>
      </c>
      <c r="M107" s="11" t="inlineStr">
        <is>
          <t>The ticket lists the item its holder must erase; a legal hold stops erasure of the asset even after the holder's answer is accepted, keeps the response from claiming Complete, and releasing the hold carries the erasure out at once.</t>
        </is>
      </c>
      <c r="N107" s="16" t="n"/>
      <c r="O107" s="17" t="n"/>
      <c r="P107" s="16" t="inlineStr">
        <is>
          <t>Not run</t>
        </is>
      </c>
      <c r="Q107" s="16" t="n"/>
      <c r="R107" s="16" t="n"/>
    </row>
    <row r="108">
      <c r="A108" s="10" t="inlineStr">
        <is>
          <t>RGT-18</t>
        </is>
      </c>
      <c r="B108" s="11" t="inlineStr">
        <is>
          <t>Rights requests</t>
        </is>
      </c>
      <c r="C108" s="11" t="inlineStr">
        <is>
          <t>Complete is held back while an erasure item is not carried out; the response goes out Partial naming what remains</t>
        </is>
      </c>
      <c r="D108" s="11" t="inlineStr">
        <is>
          <t>Console - '10 · Respond and close' guard; Portal - partial record</t>
        </is>
      </c>
      <c r="E108" s="11" t="inlineStr">
        <is>
          <t>DPO on console; data principal on portal</t>
        </is>
      </c>
      <c r="F108" s="11" t="inlineStr">
        <is>
          <t>High</t>
        </is>
      </c>
      <c r="G108" s="11" t="inlineStr">
        <is>
          <t>Negative</t>
        </is>
      </c>
      <c r="H108" s="11" t="inlineStr">
        <is>
          <t>S2-02</t>
        </is>
      </c>
      <c r="I108" s="11" t="inlineStr">
        <is>
          <t>- The console is running at http://localhost:3000.
-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RR-H is closed (RGT-17). The coordinator has imported a manifest naming the principal's consent (see CON cases): a fresh manifest puts her in exactly one new asset, asset P, at SRC-SRIB-SE, containing only her. Write down its reference.</t>
        </is>
      </c>
      <c r="J108" s="11" t="inlineStr">
        <is>
          <t>- Erasure request text: Please erase my latest recording.
- Erase basis: Section 12(3) request.
- The response: Your recording is out of all use and our pointer to it is removed. The lab has not yet confirmed deleting its copy; this is named below and will be completed.
- Note the new reference (RR-P).</t>
        </is>
      </c>
      <c r="K108" s="11" t="inlineStr">
        <is>
          <t>1. In Browser A make an erasure request with the test text. Note RR-P.
2. In Browser B open RR-P, click 'Confirm classification', 'They mean erasure' and then 'In progress'. Do NOT find or add holders.
3. In the scope card click 'Find what is held'.
4. In 'What happens next' look at both rows, then click 'Collating'.
5. Look at '10 · Respond and close'. Type any text in 'The response'.
6. On asset P type the erase basis, click 'Record the decision', then 'Apply'.
7. Look at '10 · Respond and close' again.
8. Open 'Outcome'.
9. Keep 'Partial - a gap is named', type the response and click 'Release and close'.
10. Ask the coordinator to show the response mail to subject@cmp.local.
11. In Browser A reload 'My requests', check RR-P, click 'Download the file' and open it.</t>
        </is>
      </c>
      <c r="L108" s="11" t="inlineStr">
        <is>
          <t>1. 'Recorded as RR-...' appears.
2. The request is 'In progress'; the holders card reads 'No holders yet. Find who holds the data from the records, or add one you know of.'
3. 'Found' appears; one row, asset P, 'only the requester', undecided.
4. 'Move to awaiting holders' is blocked by 'No tickets have been issued yet'; 'Move to collating' is allowed. After the click 'Moved to Collating' appears.
5. A warning reads 'Every item in the erasure scope needs a decision and the basis for it'. 'Release and close' stays greyed out.
6. 'Quarantined' appears. Asset P shows 'quarantined - being erased' with 'The holder's copy: no holder has been asked for this asset's copy - confirm the source's holder and issue its ticket' and 'The platform's pointer to it: cleared'.
7. The warning now reads 'Not carried out yet: &lt;asset P&gt;. The response can go out on time, but it is partial and says what remains.' 'Outcome' shows 'Partial - a gap is named'.
8. 'Complete' is greyed out and cannot be chosen; 'Partial - a gap is named' and 'No records held anywhere' can.
9. 'Released and closed' appears; the header badge reads 'Partial'; the 'Response' card shows 'Partial · &lt;date&gt;'.
10. 'WHAT WAS DONE WITH EACH ITEM' shows '- &lt;asset P&gt;: Decided for erasure and kept out of use; not yet carried out.' and a line 'NOT YET DONE: &lt;asset P&gt;. This response is partial; what remains is named rather than claimed.' The word 'Erased.' does not appear for asset P.
11. RR-P shows 'Partial' with the response. In the file, 'execution' lists asset P with done false and the 'Decided for erasure...' outcome, 'not_done' names asset P, and 'kept_as_evidence' is present.</t>
        </is>
      </c>
      <c r="M108" s="11" t="inlineStr">
        <is>
          <t>The DPO cannot respond while an item is undecided, cannot choose Complete while an item is not carried out (the server's reason is shown), and the response goes out Partial, naming what remains, without claiming erasure.</t>
        </is>
      </c>
      <c r="N108" s="16" t="n"/>
      <c r="O108" s="17" t="n"/>
      <c r="P108" s="16" t="inlineStr">
        <is>
          <t>Not run</t>
        </is>
      </c>
      <c r="Q108" s="16" t="n"/>
      <c r="R108" s="16" t="n"/>
    </row>
    <row r="109">
      <c r="A109" s="10" t="inlineStr">
        <is>
          <t>RGT-20</t>
        </is>
      </c>
      <c r="B109" s="11" t="inlineStr">
        <is>
          <t>Rights requests</t>
        </is>
      </c>
      <c r="C109" s="11" t="inlineStr">
        <is>
          <t>Principal disputes a response; the grievance is linked and the DPO decides it</t>
        </is>
      </c>
      <c r="D109" s="11" t="inlineStr">
        <is>
          <t>Portal - 'Dispute this response'; Console - grievance '6 · Is it upheld?'</t>
        </is>
      </c>
      <c r="E109" s="11" t="inlineStr">
        <is>
          <t>Data principal on portal; DPO on console</t>
        </is>
      </c>
      <c r="F109" s="11" t="inlineStr">
        <is>
          <t>High</t>
        </is>
      </c>
      <c r="G109" s="11" t="inlineStr">
        <is>
          <t>Positive</t>
        </is>
      </c>
      <c r="H109" s="11" t="inlineStr">
        <is>
          <t>Core</t>
        </is>
      </c>
      <c r="I109" s="11" t="inlineStr">
        <is>
          <t>- The portal is running at http://localhost:3001 and Anjali Verma (subject@cmp.local / +91 90000 00001) can sign in to it.
- The console is running at http://localhost:3000.
- Use two separate browsers or browser profiles: Browser A for the portal (the data principal or nominee) and Browser B for the console (staff). The two sites share one sign-in on this machine, so one browser cannot hold both sessions.
- RGT-09 has been run; RR-A is closed 'Complete'.</t>
        </is>
      </c>
      <c r="J109" s="11" t="inlineStr">
        <is>
          <t>- Too-short text: short
- What was wrong: The response did not list the CIT campus recording, which I know was made.
- Decision: Not upheld
- What was found, and why: The CIT recording is in SEED's return, which was released as the attached extract.
- Note the grievance reference (RR-G).</t>
        </is>
      </c>
      <c r="K109" s="11" t="inlineStr">
        <is>
          <t>1. In Browser A on 'My requests' click 'Show details' on RR-A, then 'Dispute this response'.
2. Type 'short' in 'What was wrong' and click 'Raise the grievance'.
3. Type the full text, leave the checkbox unticked and click 'Raise the grievance'.
4. Click 'Show details' on the RR-G card.
5. Click 'See RR-A in full'.
6. In Browser B open RR-G from 'Rights requests'.
7. Look at '4 · Linked, and about whom?'.
8. Click 'Confirm classification' (Complaint (grievance) (s.13)) and then 'In progress'.
9. Change 'Decision' to 'Not upheld', type the finding and click 'Decide and close'.
10. In Browser A reload 'My requests' and click 'Show details' on RR-G.</t>
        </is>
      </c>
      <c r="L109" s="11" t="inlineStr">
        <is>
          <t>1. A dialog 'Dispute RR-A' opens: 'A grievance under section 13. Say what was wrong with the handling - late, incomplete, sent the wrong way, or the outcome itself.' with 'What was wrong', the checkbox 'This is about the Data Protection Officer's own decisions.', 'Cancel' and 'Raise the grievance'.
2. The error 'Say what you are asking for, in a sentence or two.' appears; nothing is recorded.
3. 'Grievance recorded as RR-...' with 'It is linked to the original request.' appears. Note RR-G.
4. RR-G shows 'Complaint (grievance) · s.13', 'Received' and a box 'What you disputed' naming RR-A with 'Complete: &lt;start of the answer&gt;' and 'See RR-A in full'.
5. The page scrolls to RR-A, opens it and briefly highlights it. RR-A shows 'You disputed this in RR-G' with 'See it'.
6. The line under the heading reads 'Complaint (grievance) · s.13 · Portal'. 'About' shows RR-A with 'the request under dispute, shown below', and a card 'The request under dispute' shows RR-A's dates, what was asked and its answer.
7. It contains 'Is the complaint about the DPO?' with the text '...Recuse if this concerns your handling.' and a button 'This is about me - escalate' (do not click it).
8. The request is 'In progress' and a card '6 · Is it upheld?' appears with 'Decision' ('Upheld'), 'What was found, and why', 'Remedy' and a ticked checkbox 'Re-run RR-A as a new request linked to this decision.' 'Decide and close' is greyed out.
9. 'Remedy' and the re-run checkbox disappear. After the click, 'Not upheld' appears and the header badge reads 'Not upheld'.
10. RR-G shows 'Not upheld', 'Our response' with the finding and the Data Protection Board note. There is no 'Dispute this response' button on a grievance.</t>
        </is>
      </c>
      <c r="M109" s="11" t="inlineStr">
        <is>
          <t>A dispute creates a grievance linked both ways to the original, the DPO sees the disputed request alongside it and records a reasoned decision the principal can read.</t>
        </is>
      </c>
      <c r="N109" s="16" t="n"/>
      <c r="O109" s="17" t="n"/>
      <c r="P109" s="16" t="inlineStr">
        <is>
          <t>Not run</t>
        </is>
      </c>
      <c r="Q109" s="16" t="n"/>
      <c r="R109" s="16" t="n"/>
    </row>
    <row r="110">
      <c r="A110" s="10" t="inlineStr">
        <is>
          <t>RGT-21</t>
        </is>
      </c>
      <c r="B110" s="11" t="inlineStr">
        <is>
          <t>Rights requests</t>
        </is>
      </c>
      <c r="C110" s="11" t="inlineStr">
        <is>
          <t>A grievance about the DPO goes to the administrator, who reviews and decides it</t>
        </is>
      </c>
      <c r="D110" s="11" t="inlineStr">
        <is>
          <t>Portal - grievance about the DPO; Console - 'Grievances about the DPO'</t>
        </is>
      </c>
      <c r="E110" s="11" t="inlineStr">
        <is>
          <t>Data principal; DPO; Administrator (admin@cmp.local)</t>
        </is>
      </c>
      <c r="F110" s="11" t="inlineStr">
        <is>
          <t>High</t>
        </is>
      </c>
      <c r="G110" s="11" t="inlineStr">
        <is>
          <t>Positive</t>
        </is>
      </c>
      <c r="H110" s="11" t="inlineStr">
        <is>
          <t>Core</t>
        </is>
      </c>
      <c r="I110"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Browser C is available for the administrator.
- RGT-09 has been run (the URL of RR-A is known from the DPO's browser).</t>
        </is>
      </c>
      <c r="J110" s="11" t="inlineStr">
        <is>
          <t>- What are you asking for: Complaint (grievance) (s.13)
- Your request: The DPO refused my request without explaining why. I want somebody else to review it.
- Tick: This complaint is about the Data Protection Officer's own decisions.
- Reviewer: System Admin · admin@cmp.local
- Remedy: The refusal is withdrawn and the request will be answered in full.
- Note the reference (RR-D).</t>
        </is>
      </c>
      <c r="K110" s="11" t="inlineStr">
        <is>
          <t>1. In Browser A click 'Make a request', choose 'Complaint (grievance) (s.13)', type the text, tick 'This complaint is about the Data Protection Officer's own decisions.' and click 'Send the request'.
2. In Browser B (DPO) open 'Rights requests'.
3. Open RR-D and read 'Reviewer' and '4 · Linked, and about whom?'.
4. Click 'Confirm classification', then look at 'What happens next'.
5. In Browser C open http://localhost:3000. Type admin@cmp.local in 'Email or username' and SeedPassw0rd!2026 in 'Password' and click 'Sign in'. If the 'Verify it is you' page appears, ask the coordinator for the code, type it in '6-digit code' and click 'Verify and continue'.
6. Click 'Grievances about the DPO'.
7. Paste the URL of RR-A into Browser C.
8. Open RR-D. In the classification card choose 'System Admin · admin@cmp.local' in 'Reviewer' and click 'Assign'.
9. In 'What happens next' click 'In progress'.
10. In Browser B (DPO) reload RR-D, choose 'Not upheld', type a finding and click 'Decide and close'.
11. In Browser C keep 'Upheld', type a finding in 'What was found, and why' and the remedy in 'Remedy', and click 'Decide and close'.
12. In Browser A reload 'My requests' and click 'Show details' on RR-D.</t>
        </is>
      </c>
      <c r="L110" s="11" t="inlineStr">
        <is>
          <t>1. There is no 'About' field for a grievance. 'Recorded as RR-...' appears. Note RR-D.
2. RR-D is listed with the small label 'about the DPO' under the reference.
3. 'Reviewer' reads 'Not yet assigned - an administrator names one'. The card says 'Yes - escalated to an independent reviewer... No reviewer assigned yet.' There is no 'This is about me - escalate' button.
4. 'Classified' appears. 'Move to in progress' is blocked by 'The complaint concerns the DPO - a reviewer independent of the DPO must be assigned'.
5. The Dashboard opens, signed in as System Admin. The sidebar shows 'Grievances about the DPO' instead of 'Rights requests'.
6. The page 'Grievances about the DPO' reads 'Grievances about the DPO, escalated to you as the independent reviewer. Accountability cannot review itself.' There is no 'Log a request received by email' button. RR-D is listed; RR-A, RR-E and RR-G are not.
7. The page shows 'Could not load this request' - the administrator cannot open requests that are not escalated to them.
8. 'Reviewer assigned' appears; the card reads '... Reviewer: System Admin.' and the 'Reviewer' detail shows System Admin.
9. 'Moved to In progress' appears; a card '6 · Is it upheld?' appears.
10. The message 'Not decided' with 'A complaint about the DPO is decided by the independent reviewer' appears. RR-D stays 'In progress'.
11. 'Upheld' appears and the header badge reads 'Upheld'.
12. RR-D shows 'Upheld', 'Our response' with the finding and a line 'Remedy: &lt;remedy&gt;'.</t>
        </is>
      </c>
      <c r="M110" s="11" t="inlineStr">
        <is>
          <t>A grievance marked as about the DPO cannot start until the administrator names an independent reviewer; only that reviewer can decide it, and the administrator sees only such grievances.</t>
        </is>
      </c>
      <c r="N110" s="16" t="n"/>
      <c r="O110" s="17" t="n"/>
      <c r="P110" s="16" t="inlineStr">
        <is>
          <t>Not run</t>
        </is>
      </c>
      <c r="Q110" s="16" t="n"/>
      <c r="R110" s="16" t="n"/>
    </row>
    <row r="111">
      <c r="A111" s="10" t="inlineStr">
        <is>
          <t>RGT-22</t>
        </is>
      </c>
      <c r="B111" s="11" t="inlineStr">
        <is>
          <t>Rights requests</t>
        </is>
      </c>
      <c r="C111" s="11" t="inlineStr">
        <is>
          <t>Principal names a nominee, who accepts with a code</t>
        </is>
      </c>
      <c r="D111" s="11" t="inlineStr">
        <is>
          <t>Portal - My nominations - 'Somebody to act for you'; nomination acceptance link</t>
        </is>
      </c>
      <c r="E111" s="11" t="inlineStr">
        <is>
          <t>Data principal; nominee</t>
        </is>
      </c>
      <c r="F111" s="11" t="inlineStr">
        <is>
          <t>High</t>
        </is>
      </c>
      <c r="G111" s="11" t="inlineStr">
        <is>
          <t>Positive</t>
        </is>
      </c>
      <c r="H111" s="11" t="inlineStr">
        <is>
          <t>Core</t>
        </is>
      </c>
      <c r="I111" s="11" t="inlineStr">
        <is>
          <t>-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Anjali has no nomination in place (the card shows the nomination form).
- A separate browser or private window (Browser D) is available for the nominee.</t>
        </is>
      </c>
      <c r="J111" s="11" t="inlineStr">
        <is>
          <t>- Their name: Rahul Verma
- Their mobile: +91 90000 00077
- Their email: rahul.nominee@example.org
- Rights: keep 'Access (s.11)' and 'Erasure (s.12(3))' ticked; untick 'Complaint (grievance) (s.13)'
- Wrong code: 000000</t>
        </is>
      </c>
      <c r="K111" s="11" t="inlineStr">
        <is>
          <t>1. In Browser A click 'My nominations' in the sidebar and find the card 'Somebody to act for you'.
2. Fill in the test data, untick 'Complaint (grievance) (s.13)', and click 'Nominate'.
3. Look at the card.
4. Ask the coordinator for the acceptance link sent to Rahul Verma and open it in Browser D (not signed in).
5. Choose 'Mobile' and click 'Send me a code'.
6. Type 000000 and click 'Accept the nomination'.
7. Ask the coordinator for the code sent to +91 90000 00077, type it and click 'Accept the nomination'.
8. Click 'Copy'.
9. In Browser A reload 'My nominations'.
10. In Browser D open the acceptance link again.</t>
        </is>
      </c>
      <c r="L111" s="11" t="inlineStr">
        <is>
          <t>1. The card explains 'Section 14. A person you name, while you are well, to exercise these rights if you die or cannot act. Nothing is in effect until they accept...' and shows 'Their name', 'Their mobile', 'Their email', 'Which of your rights they may exercise' (three boxes - 'Access (s.11)', 'Erasure (s.12(3))', 'Complaint (grievance) (s.13)' - all ticked) and 'Nominate'.
2. 'Nomination recorded' with 'We have asked Rahul Verma to accept. It is not usable until they do.' appears.
3. It shows Rahul Verma with his mobile and email, the badge 'Waiting for the nominee to accept', 'May ask for: access, erasure.', a warning 'Not yet usable. We have sent Rahul Verma a link to accept - it expires on &lt;date&gt;. A nomination they have not accepted cannot be acted on.' and 'Revoke this nomination'.
4. The page 'A nomination for you' opens with a card 'Anjali Verma has nominated you' listing only 'Access (s.11)' and 'Erasure (s.12(3))', a note that nothing happens now, 'This link expires on &lt;date&gt;.', a section 'First, prove it is you' with radio buttons 'Mobile' and 'Email' (masked), 'Send me a code', and greyed-out 'Accept the nomination' and 'Decline'.
5. A line confirms a code was sent and a 'Six-digit code' box appears.
6. An error appears under the code box; the page stays on the nomination and nothing is accepted.
7. A box 'Accepted' reads 'You are now Anjali Verma's nominee. Nothing happens until the event she named - death or incapacity... Your nomination reference is &lt;reference&gt;...'. A card 'Keep your nomination reference' shows the reference, 'Copy', a 'Sign in' link and 'Act on their behalf'.
8. The button briefly reads 'Copied'. Keep the reference for RGT-23.
9. The card shows the badge 'In place' and 'In place. If the time comes, Rahul Verma will identify themselves with the contact you recorded, evidence the event, and the request will run as normal.' with 'Their nomination reference: &lt;same reference&gt;'.
10. The page shows 'This link is not valid' - 'It may have expired, been used already, or been revoked. Nothing has been recorded.'</t>
        </is>
      </c>
      <c r="M111" s="11" t="inlineStr">
        <is>
          <t>The nomination is pending until the nominee proves a recorded contact with a code and accepts; the principal then sees it 'In place' with the chosen rights; the link works once only.</t>
        </is>
      </c>
      <c r="N111" s="16" t="n"/>
      <c r="O111" s="17" t="n"/>
      <c r="P111" s="16" t="inlineStr">
        <is>
          <t>Not run</t>
        </is>
      </c>
      <c r="Q111" s="16" t="n"/>
      <c r="R111" s="16" t="n"/>
    </row>
    <row r="112">
      <c r="A112" s="10" t="inlineStr">
        <is>
          <t>RGT-23</t>
        </is>
      </c>
      <c r="B112" s="11" t="inlineStr">
        <is>
          <t>Rights requests</t>
        </is>
      </c>
      <c r="C112" s="11" t="inlineStr">
        <is>
          <t>Nominee acts on the principal's incapacity; the DPO evidences the event before the request runs</t>
        </is>
      </c>
      <c r="D112" s="11" t="inlineStr">
        <is>
          <t>Portal - /rights/nominee; Console - 'Is the triggering event evidenced?'</t>
        </is>
      </c>
      <c r="E112" s="11" t="inlineStr">
        <is>
          <t>Nominee; DPO; data principal</t>
        </is>
      </c>
      <c r="F112" s="11" t="inlineStr">
        <is>
          <t>High</t>
        </is>
      </c>
      <c r="G112" s="11" t="inlineStr">
        <is>
          <t>Positive</t>
        </is>
      </c>
      <c r="H112" s="11" t="inlineStr">
        <is>
          <t>Core</t>
        </is>
      </c>
      <c r="I112"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RGT-22 has been run; the nomination is 'In place' and its reference is known.
- Choose 'They are unable to act' only. Do NOT choose 'They have died' - that closes Anjali's account and breaks later testing.</t>
        </is>
      </c>
      <c r="J112" s="11" t="inlineStr">
        <is>
          <t>- Your email or mobile: +91 90000 00077
- What you are asking for on their behalf: Access (s.11)
- The request: Everything you hold about her, please.
- What has happened: They are unable to act
- Evidence: medical-letter.pdf (any small PDF)
- Note the reference (RR-N).</t>
        </is>
      </c>
      <c r="K112" s="11" t="inlineStr">
        <is>
          <t>1. In Browser D click 'Act on their behalf' (or open http://localhost:3001/rights/nominee?nomination=&lt;reference&gt;).
2. Type +91 90000 00077 in 'Your email or mobile' and click 'Send me a code'.
3. Enter the code the coordinator relays in 'The code we sent'. Fill in the request as per the test data and choose the evidence file under 'Evidence'.
4. Click 'Record the request'.
5. In Browser B (DPO) open RR-N from 'Rights requests'.
6. Click the 'evidence' link.
7. Click 'Confirm classification', then look at 'What happens next' and the classification card.
8. Click 'Evidenced to our standard'.
9. Click 'In progress'.
10. In Browser A (Anjali) open 'My nominations'.
11. In Browser D sign in at http://localhost:3001/sign-in with 'Mobile' and +91 90000 00077 (code from the coordinator), then open 'My nominations'.
12. Click 'Show the request'.</t>
        </is>
      </c>
      <c r="L112" s="11" t="inlineStr">
        <is>
          <t>1. The page 'Acting for someone who nominated you' opens with '1. Who you are'; 'The nomination reference' is already filled in.
2. A blue note reads 'If that nomination is in place and the contact matches the one recorded, a verification code has been sent to it.' The fields lock and a card '2. The request' appears.
3. 'What has happened' offers 'They have died' and 'They are unable to act'; the evidence hint reads 'A certificate or a medical letter. PDF or image, up to 25 MB.' 'Record the request' becomes available once the code and at least 10 characters are entered.
4. A green box 'Recorded as RR-...' reads '... The Privacy Office will first decide whether the event is evidenced, then handle the request as normal and respond to you.' Note RR-N.
5. The line under the heading reads 'Access · s.11 · Nominee'. A 'Nominee' detail shows 'Rahul Verma (&lt;contact&gt;) · reports the principal cannot act' with an 'evidence' link.
6. The medical letter downloads.
7. 'Move to in progress' is blocked by 'The triggering event is not evidenced'. The card shows 'Is the triggering event evidenced?' with 'Rahul Verma says the principal cannot act...' and buttons 'Evidenced to our standard' and 'Not evidenced - refuse'.
8. 'Event evidenced' appears; the card reads 'Event evidenced on &lt;date&gt;.'; the Nominee detail adds 'Evidenced &lt;date&gt; · the principal keeps their account and can follow this request'.
9. 'Moved to In progress' appears.
10. The nomination card shows 'Rahul Verma acted for you on &lt;date&gt;' with 'They reported that you cannot act for yourself. You keep this account and can follow the request they made. Their request is RR-N, under My requests. The Privacy Office found the event evidenced on &lt;date&gt;.'
11. A card 'Somebody has named you to act for them' shows Anjali Verma, 'In place' and 'You acted on &lt;date&gt;', with a 'Show the request' button.
12. RR-N is shown with its status 'In progress', clock and path. There is no 'Dispute this response' button for the nominee.</t>
        </is>
      </c>
      <c r="M112" s="11" t="inlineStr">
        <is>
          <t>The nominee is verified against the recorded contact, the request cannot start until the DPO evidences the event, and both the principal (incapacity) and the nominee can follow it.</t>
        </is>
      </c>
      <c r="N112" s="16" t="n"/>
      <c r="O112" s="17" t="n"/>
      <c r="P112" s="16" t="inlineStr">
        <is>
          <t>Not run</t>
        </is>
      </c>
      <c r="Q112" s="16" t="n"/>
      <c r="R112" s="16" t="n"/>
    </row>
    <row r="113">
      <c r="A113" s="10" t="inlineStr">
        <is>
          <t>RGT-24</t>
        </is>
      </c>
      <c r="B113" s="11" t="inlineStr">
        <is>
          <t>Rights requests</t>
        </is>
      </c>
      <c r="C113" s="11" t="inlineStr">
        <is>
          <t>Nomination refuses unknown references, wrong codes, rights not granted, self-nomination and a revoked nominee</t>
        </is>
      </c>
      <c r="D113" s="11" t="inlineStr">
        <is>
          <t>Portal - nominee page and nomination card - negative cases</t>
        </is>
      </c>
      <c r="E113" s="11" t="inlineStr">
        <is>
          <t>Nominee; data principal</t>
        </is>
      </c>
      <c r="F113" s="11" t="inlineStr">
        <is>
          <t>Medium</t>
        </is>
      </c>
      <c r="G113" s="11" t="inlineStr">
        <is>
          <t>Negative</t>
        </is>
      </c>
      <c r="H113" s="11" t="inlineStr">
        <is>
          <t>Core</t>
        </is>
      </c>
      <c r="I113" s="11" t="inlineStr">
        <is>
          <t>-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RGT-23 has been run; the nomination is 'In place' and its reference is known.</t>
        </is>
      </c>
      <c r="J113" s="11" t="inlineStr">
        <is>
          <t>- Made-up reference: 3f2b8c1e-0000-4000-8000-000000000000
- Nominee contact: +91 90000 00077
- Wrong code: 000000
- Right not granted: Complaint (grievance) (s.13)
- Self-nomination: name Anjali Verma, mobile +91 90000 00001</t>
        </is>
      </c>
      <c r="K113" s="11" t="inlineStr">
        <is>
          <t>1. In Browser D (signed out) open http://localhost:3001/rights/nominee, type the made-up reference and +91 90000 00077 and click 'Send me a code'.
2. Open http://localhost:3001/rights/nominee?nomination=&lt;real reference&gt;, type +91 90000 00077 and click 'Send me a code'. Type 000000 in 'The code we sent', choose 'Access (s.11)', type a request of 10+ characters, choose 'They are unable to act' and click 'Record the request'.
3. Reload the page, send a new code, enter the correct relayed code, choose 'Complaint (grievance) (s.13)' and click 'Record the request'.
4. In Browser A on 'My nominations' click 'Revoke this nomination'.
5. In the form type Anjali Verma in 'Their name' and +91 90000 00001 in 'Their mobile', leave the rights ticked and click 'Nominate'.
6. In Browser D open the nominee page with the revoked reference, type +91 90000 00077 and click 'Send me a code'.
7. In Browser D (signed in as the nominee) reload 'My nominations'.</t>
        </is>
      </c>
      <c r="L113" s="11" t="inlineStr">
        <is>
          <t>1. The same neutral note as for a real nomination: 'If that nomination is in place and the contact matches the one recorded, a verification code has been sent to it.' The coordinator finds no new code in the outbox.
2. A red box reads 'Invalid or expired code'. No reference is shown.
3. A red box reads 'That right was not included in the nomination'. Nothing is recorded.
4. 'Nomination revoked' with 'Rahul Verma can no longer act for you.' appears. The nomination form is shown again, and 'Earlier nominations' lists Rahul Verma as 'Revoked'.
5. The error 'A nominee has to be somebody other than you' appears; no nomination is recorded.
6. The neutral note appears, but the coordinator finds no code sent - the nomination is no longer in place.
7. The 'Somebody has named you to act for them' card warns 'This nomination is no longer in effect, so you cannot make another request under it. The one you already made stays here until it is answered.' The badge does not say 'In place'. RR-N can still be opened with 'Show the request'.</t>
        </is>
      </c>
      <c r="M113" s="11" t="inlineStr">
        <is>
          <t>Unknown references get a neutral answer with no code; wrong codes, rights not granted and self-nomination are refused; after revocation the nominee cannot act again but can still follow the request already made.</t>
        </is>
      </c>
      <c r="N113" s="16" t="n"/>
      <c r="O113" s="17" t="n"/>
      <c r="P113" s="16" t="inlineStr">
        <is>
          <t>Not run</t>
        </is>
      </c>
      <c r="Q113" s="16" t="n"/>
      <c r="R113" s="16" t="n"/>
    </row>
    <row r="114">
      <c r="A114" s="10" t="inlineStr">
        <is>
          <t>RGT-25</t>
        </is>
      </c>
      <c r="B114" s="11" t="inlineStr">
        <is>
          <t>Rights requests</t>
        </is>
      </c>
      <c r="C114" s="11" t="inlineStr">
        <is>
          <t>With several requests, the portal narrows them by Open / Closed and by search</t>
        </is>
      </c>
      <c r="D114" s="11" t="inlineStr">
        <is>
          <t>Portal - My requests - All / Open / Closed and search</t>
        </is>
      </c>
      <c r="E114" s="11" t="inlineStr">
        <is>
          <t>Data principal (Anjali Verma) on portal</t>
        </is>
      </c>
      <c r="F114" s="11" t="inlineStr">
        <is>
          <t>Low</t>
        </is>
      </c>
      <c r="G114" s="11" t="inlineStr">
        <is>
          <t>Positive</t>
        </is>
      </c>
      <c r="H114" s="11" t="inlineStr">
        <is>
          <t>Core</t>
        </is>
      </c>
      <c r="I114" s="11" t="inlineStr">
        <is>
          <t>- RGT-01 to RGT-24 have been run (RGT-19 is retired), so Anjali Verma has at least six requests, some closed (for example RR-A, answered in RGT-09) and some open.
- The test coordinator can read the test outbox (backend/api/var/outbox.log) and relays codes, links and emails on request.</t>
        </is>
      </c>
      <c r="J114" s="11" t="inlineStr">
        <is>
          <t>- Account: subject@cmp.local (Anjali Verma)
- Reference to find: RR-A (from RGT-01)</t>
        </is>
      </c>
      <c r="K114" s="11" t="inlineStr">
        <is>
          <t>1. In Browser A open http://localhost:3001/sign-in. Under 'Sign in with' choose 'Email', type subject@cmp.local in 'Email address' and click 'Send me a code'. Ask the coordinator for the code, type it in 'Six-digit code' and click 'Verify'.
2. In the sidebar click 'My requests'.
3. Click 'Closed'.
4. Click 'Open'.
5. Click 'All', then type the number part of RR-A's reference (for example 000123) in the search box.
6. Click 'Show all requests'. Type 'grievance' in the search box, so that only grievances remain. On RR-G (RGT-20) click 'Show details', then 'See RR-A in full'.</t>
        </is>
      </c>
      <c r="L114" s="11" t="inlineStr">
        <is>
          <t>1. A 'Check your messages' box appears after the first click. After 'Verify' you are signed in and the 'My consents' page opens; the sidebar shows 'My consents' and 'My requests'.
2. Above the list are three choices, 'All', 'Open' and 'Closed', each with a count (All = Open + Closed), and a search box 'Reference, kind or words'. 'All' is selected.
3. Only answered or closed requests remain, for example RR-A with the badge 'Complete'. No 'Received' or 'In progress' request is listed.
4. Only requests still being worked on remain. The count beside 'Open' equals the number of cards shown.
5. Only RR-A remains. Typing 'grievance' instead shows only grievances; typing 'zzz' shows 'No requests match' with a 'Show all requests' button.
6. RR-A was hidden by the search, so the search is cleared and 'All' selected; the page scrolls to RR-A, opens it and briefly highlights it.</t>
        </is>
      </c>
      <c r="M114" s="11" t="inlineStr">
        <is>
          <t>A principal with several requests can show only open or only closed ones and find one by reference, kind or words; nothing is lost - 'Show all requests' and links between requests always bring the right card into view.</t>
        </is>
      </c>
      <c r="N114" s="16" t="n"/>
      <c r="O114" s="17" t="n"/>
      <c r="P114" s="16" t="inlineStr">
        <is>
          <t>Not run</t>
        </is>
      </c>
      <c r="Q114" s="16" t="n"/>
      <c r="R114" s="16" t="n"/>
    </row>
    <row r="115">
      <c r="A115" s="10" t="inlineStr">
        <is>
          <t>RGT-26</t>
        </is>
      </c>
      <c r="B115" s="11" t="inlineStr">
        <is>
          <t>Rights requests</t>
        </is>
      </c>
      <c r="C115" s="11" t="inlineStr">
        <is>
          <t>A colleague with no console login is given a temporary login, answers in My tasks, and keeps it read only once the request closes</t>
        </is>
      </c>
      <c r="D115" s="11" t="inlineStr">
        <is>
          <t>Console - holders card (internal address, temporary login); My tasks; Users - 'End temporary access'</t>
        </is>
      </c>
      <c r="E115" s="11" t="inlineStr">
        <is>
          <t>DPO; colleague on a temporary login; Administrator</t>
        </is>
      </c>
      <c r="F115" s="11" t="inlineStr">
        <is>
          <t>High</t>
        </is>
      </c>
      <c r="G115" s="11" t="inlineStr">
        <is>
          <t>Positive</t>
        </is>
      </c>
      <c r="H115" s="11" t="inlineStr">
        <is>
          <t>Core</t>
        </is>
      </c>
      <c r="I115" s="11" t="inlineStr">
        <is>
          <t>- The console is running at http://localhost:3000.
-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The address uat.holder01@cmp.local belongs to nobody yet (check 'Users' as the Administrator). Addresses on cmp.local count as the organisation's own (BREACH_TICKET_EMAIL_DOMAINS, default cmp.local).
- Browser C is a fresh private window for the colleague.</t>
        </is>
      </c>
      <c r="J115" s="11" t="inlineStr">
        <is>
          <t>- Access request text (RR-T): Please tell me what the archive team holds about me.
- Add a holder - Who holds it: UAT Archive Team 01; Who answers: name: UAT Holder 01; Their email: uat.holder01@cmp.local
- Colleague's password: UatPassw0rd!2026
- Answer: Did all of it - the archive holds her signed consent form scan only.
- Response text: We hold your consent records and one scanned consent form in our archive.</t>
        </is>
      </c>
      <c r="K115" s="11" t="inlineStr">
        <is>
          <t>1. In Browser A make an access request ('Access (s.11)') with the test text. Note RR-T. In Browser B open RR-T, click 'Confirm classification', then 'In progress'.
2. In the holders card click 'Add a holder'. Leave 'A registered processor' on 'Not in the registry', fill 'Who holds it', 'Who answers: name' and 'Their email' from the test data and click 'Add'.
3. Click 'Send tickets', then 'Send the ticket'.
4. Ask the coordinator for the emails sent to uat.holder01@cmp.local.
5. In Browser C open the link from that email. Type the code in 'Code' and UatPassw0rd!2026 in 'New password' and 'Confirm new password', and click 'Set the new password'.
6. Sign in as uat.holder01@cmp.local with the new password and the relayed code ('Verify and continue').
7. Click 'My tasks', then 'Answer' on RR-T, then 'Submit your answer'. Choose 'Did all of it', type the answer and click 'Send your answer'.
8. In Browser B reload RR-T.
9. Click 'Accept the answer' on the row and confirm with 'Accept the answer'. In 'Response and outcome' keep 'Complete', type the response text and click 'Release and close'.
10. In Browser C reload 'My tasks' and click 'Open' on RR-T.
11. In Browser B sign out and sign in as admin@cmp.local. Open 'Users' and find uat.holder01@cmp.local.
12. Click 'End temporary access'.</t>
        </is>
      </c>
      <c r="L115" s="11" t="inlineStr">
        <is>
          <t>1. 'Recorded as RR-...', then 'Classified' and 'Moved to In progress' appear.
2. 'Holder added' appears. The row 'UAT Archive Team 01' reads 'Not sent' with 'By email · UAT Holder 01'.
3. 'Ticket sent' appears. The row reads 'Waiting' and 'In the console · temporary login · not yet signed in · UAT Holder 01'.
4. One has the subject 'The COMPASS Privacy Office has asked for your help' (COMPASS is ORGANISATION_NAME, its default), a link to set a password, a code, and the line 'What the ticket is about is in the console only.' It names no request and no person.
5. The page 'Set your password' reads 'Enter the code sent to uat.holder01@cmp.local and choose a password.' After the click 'Password changed' appears and the 'Sign in' page opens.
6. The console opens with the role badge 'Temporary ticket holder'. The sidebar offers only 'My tasks'.
7. The card for RR-T is under 'To do' with the badge 'To answer' and 'For UAT Archive Team 01'. After sending, 'Answer sent' appears and it moves to 'Waiting on the Privacy Office'.
8. The row reads 'Answered - review' and 'In the console · temporary login · UAT Holder 01' (no longer 'not yet signed in').
9. 'Answer accepted' appears and the request moves to 'Collating'; then 'Released and closed' appears and the header badge reads 'Complete'. The row now reads 'In the console · temporary login · read only · UAT Holder 01'.
10. The card is under 'Done' with the badge 'Accepted'. The dialog shows the ticket and its messages; in place of the message box it reads 'The request is closed; nothing more can be written.'
11. The row shows the role 'Temporary ticket holder' and a button 'End temporary access' (its tooltip says it ends their console login, including reading their tickets).
12. The message 'Temporary access ended' appears. In Browser C, the next click or reload returns to the 'Sign in' page, and signing in with UatPassw0rd!2026 no longer works.</t>
        </is>
      </c>
      <c r="M115" s="11" t="inlineStr">
        <is>
          <t>A ticket to an address on the organisation's own domain with no console login creates a temporary login whose email names nothing of the request; the colleague answers in My tasks; once the request closes the login is read only; only the administrator's 'End temporary access' removes it.</t>
        </is>
      </c>
      <c r="N115" s="16" t="n"/>
      <c r="O115" s="17" t="n"/>
      <c r="P115" s="16" t="inlineStr">
        <is>
          <t>Not run</t>
        </is>
      </c>
      <c r="Q115" s="16" t="n"/>
      <c r="R115" s="16" t="n"/>
    </row>
    <row r="116">
      <c r="A116" s="10" t="inlineStr">
        <is>
          <t>RGT-27</t>
        </is>
      </c>
      <c r="B116" s="11" t="inlineStr">
        <is>
          <t>Rights requests</t>
        </is>
      </c>
      <c r="C116" s="11" t="inlineStr">
        <is>
          <t>Ticket moves: a final reminder only once overdue, sent to someone else (the old link stops working), withdrawn and reopened</t>
        </is>
      </c>
      <c r="D116" s="11" t="inlineStr">
        <is>
          <t>Console - ticket dialog: 'Send final reminder', 'More' (Send to someone else, Withdraw, Reopen); Portal - an old ticket link</t>
        </is>
      </c>
      <c r="E116" s="11" t="inlineStr">
        <is>
          <t>DPO on console; outside holder on the portal</t>
        </is>
      </c>
      <c r="F116" s="11" t="inlineStr">
        <is>
          <t>Medium</t>
        </is>
      </c>
      <c r="G116" s="11" t="inlineStr">
        <is>
          <t>Positive</t>
        </is>
      </c>
      <c r="H116" s="11" t="inlineStr">
        <is>
          <t>Core</t>
        </is>
      </c>
      <c r="I116" s="11" t="inlineStr">
        <is>
          <t>- The console is running at http://localhost:3000.
- The portal is running at http://localhost:3001 and Anjali Verma (subject@cmp.local / +91 90000 00001) can sign in to it.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Browser D is a private window for the outside holder.</t>
        </is>
      </c>
      <c r="J116" s="11" t="inlineStr">
        <is>
          <t>- Access request text (RR-M): Please tell me who you have shared my data with.
- Add a holder - A registered processor: SEED; Who answers: name: UAT Desk 01; Their email: uat.desk01@example.org
- Answer by (at sending): yesterday's date - the quickest way to make a ticket overdue for this test
- Send to someone else: Their name: UAT Desk 02; Their email: uat.desk02@example.org
- Withdraw - Why: Sent in error; SEED holds nothing for this request.
- Reopen - Answer by: first yesterday's date, then a date next week</t>
        </is>
      </c>
      <c r="K116" s="11" t="inlineStr">
        <is>
          <t>1. In Browser A make an access request with the test text and note RR-M. In Browser B open RR-M, click 'Confirm classification', then 'In progress'. Add the holder from the test data with 'Add a holder'.
2. Click 'Send tickets'. Set 'Answer by' to yesterday's date and click 'Send the ticket'.
3. Ask the coordinator for the link email sent to uat.desk01@example.org and keep the link (called L1).
4. Click 'Send final reminder' on the row.
5. Click 'Send final reminder' in the box.
6. In the ticket click 'More'.
7. Choose 'Send to someone else'. If 'Who answers instead' is shown, keep 'Somebody else - type them below'. Fill 'Their name' and 'Their email' from the test data and click 'Send to them'.
8. Ask the coordinator for the newest emails to uat.desk01@example.org and uat.desk02@example.org.
9. In Browser D open L1, then L2.
10. In Browser B open the ticket, click 'More', choose 'Withdraw', type the reason in 'Why' and click 'Withdraw the ticket'.
11. Open the ticket, click 'More', choose 'Reopen', set 'Answer by' to yesterday's date and click 'Reopen'.
12. Set 'Answer by' to a date next week and click 'Reopen'.</t>
        </is>
      </c>
      <c r="L116" s="11" t="inlineStr">
        <is>
          <t>1. RR-M is 'In progress' and the SEED row reads 'Not sent'.
2. 'Ticket sent' appears. The row is tinted red: 'Overdue', with the answer-by date in red beside a warning sign. Its 'Next' button reads 'Send final reminder'. The summary's 'Next' reads 'Chase an overdue holder'.
3. The email's subject is 'Rights request &lt;RR-M&gt;: a ticket for &lt;holder&gt;' and it carries a /ticket/ link.
4. The ticket opens on a box 'Send final reminder': 'Send UAT Desk 01 a final reminder that the date has passed. It is sent once, and lets the response go out without their answer, saying it is missing.' with 'Send final reminder' and 'Cancel'.
5. 'Final reminder sent' appears; the row reads 'Final reminder sent'. The coordinator finds a second email to uat.desk01@example.org carrying the same link and nothing of the request.
6. The menu lists 'Record their answer for them', 'Send a reminder', 'Note a call or email', 'Send to someone else' and 'Withdraw'. 'Send final reminder' is not offered again.
7. The form reads 'The ticket and what it asks go to them; whoever had it is told it has moved.' and 'Send to them' is greyed out until both fields are filled. After the click 'Sent to someone else' with 'They have the ticket; whoever had it has been told.' appears and the row names UAT Desk 02.
8. uat.desk01@example.org was told the ticket has moved; uat.desk02@example.org received a new link (L2), different from L1.
9. L1 shows 'This link is not valid' with 'It may have been replaced by a newer one, or never existed. Ask the Privacy Office for a new link.' L2 opens the page 'A ticket for &lt;holder&gt;' with 'Send me a code'.
10. The form reads 'For a ticket sent in error, or a holder that turns out to hold nothing. Not an answer, and not a gap in the response.' After the click 'Ticket withdrawn' appears with '&lt;holder&gt; has been told. You can reopen it if needed.' The row reads 'Withdrawn' and, with nothing outstanding, the header badge changes by itself to 'Collating'.
11. The error 'The new date cannot be in the past' is shown and the ticket stays withdrawn.
12. 'Ticket reopened' appears. The row reads 'Waiting' with the new date, and the header badge reads 'Awaiting holders' again. The coordinator finds an email to uat.desk02@example.org saying the ticket is open again.</t>
        </is>
      </c>
      <c r="M116" s="11" t="inlineStr">
        <is>
          <t>A final reminder is offered only once a ticket is overdue and is sent once; sending a ticket to someone else gives them a new link and the old one stops working; a withdrawn ticket settles the request and can be reopened only with a date that is not in the past.</t>
        </is>
      </c>
      <c r="N116" s="16" t="n"/>
      <c r="O116" s="17" t="n"/>
      <c r="P116" s="16" t="inlineStr">
        <is>
          <t>Not run</t>
        </is>
      </c>
      <c r="Q116" s="16" t="n"/>
      <c r="R116" s="16" t="n"/>
    </row>
    <row r="117">
      <c r="A117" s="10" t="inlineStr">
        <is>
          <t>RGT-28</t>
        </is>
      </c>
      <c r="B117" s="11" t="inlineStr">
        <is>
          <t>Rights requests</t>
        </is>
      </c>
      <c r="C117" s="11" t="inlineStr">
        <is>
          <t>The DPO reads the documents a requester sent, then refuses the request at step 4 with a written reason</t>
        </is>
      </c>
      <c r="D117" s="11" t="inlineStr">
        <is>
          <t>Portal - Make a request with documents; Console - 'Documents from the requester', 'Refuse this request'</t>
        </is>
      </c>
      <c r="E117" s="11" t="inlineStr">
        <is>
          <t>Data principal on portal; DPO on console</t>
        </is>
      </c>
      <c r="F117" s="11" t="inlineStr">
        <is>
          <t>High</t>
        </is>
      </c>
      <c r="G117" s="11" t="inlineStr">
        <is>
          <t>Positive</t>
        </is>
      </c>
      <c r="H117" s="11" t="inlineStr">
        <is>
          <t>Core</t>
        </is>
      </c>
      <c r="I117"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A small PDF (letter.pdf) is on the tester's computer.</t>
        </is>
      </c>
      <c r="J117" s="11" t="inlineStr">
        <is>
          <t>- What are you asking for: Access (s.11)
- Your request: Please send me the marketing list you bought my number from.
- Document: letter.pdf
- Reason, in writing: We have bought no marketing list and hold no such data; this is not a request about data we process.
- Note the reference (RR-R).</t>
        </is>
      </c>
      <c r="K117" s="11" t="inlineStr">
        <is>
          <t>1. In Browser A click 'Make a request', choose 'Access (s.11)', type the request, click 'Add documents', choose letter.pdf and click 'Send the request'.
2. In Browser B open RR-R.
3. Click 'Download' beside letter.pdf and open the file.
4. Under 'History', on 'What was recorded' click 'Show'.
5. In '4 · A valid access request?' click 'Refuse this request'.
6. Click 'Keep the request'.
7. Click 'Refuse this request', type the reason and click 'Refuse and close'.
8. In Browser A reload 'My requests' and click 'Show details' on RR-R.
9. Ask the coordinator for the email sent to subject@cmp.local about RR-R.</t>
        </is>
      </c>
      <c r="L117" s="11" t="inlineStr">
        <is>
          <t>1. letter.pdf is listed. After sending, 'Recorded as RR-...' appears with '... 1 document sent with it.' Note RR-R. Its card lists letter.pdf under 'Documents you sent'.
2. Under the request text 'Documents from the requester · 1' lists letter.pdf with its size, the date it was added and a 'Download' button.
3. The same letter.pdf downloads and opens.
4. The entries include 'Rights attachment added' and 'Rights attachment read' (the download just made). Neither shows the file's name.
5. A red box opens with 'Reason, in writing' (hint 'Sent to the requester with the grievance route. A refusal is still a response.') and a greyed-out 'Refuse and close'. The button now reads 'Keep the request'.
6. The red box closes and nothing is recorded; the button reads 'Refuse this request' again.
7. The message 'Refused, with reasons' appears. The header badge reads 'Refused'. The 'Next step' card reads 'Closed. Disagreement with the outcome is a grievance - a new request linked to this one.'
8. RR-R shows the badge 'Refused', 'Our response · &lt;date&gt;' with the reason, and a 'Dispute this response' button. 'Documents you sent' still lists letter.pdf.
9. An email with the subject 'About your request &lt;RR-R&gt;' gives the reason and the grievance route.</t>
        </is>
      </c>
      <c r="M117" s="11" t="inlineStr">
        <is>
          <t>A document sent with a request reaches the DPO, every read of it is recorded without the file's name; the refuse button at step 4 asks for a written reason, can be backed out of, and closes the request as 'Refused' with the reason sent to the requester.</t>
        </is>
      </c>
      <c r="N117" s="16" t="n"/>
      <c r="O117" s="17" t="n"/>
      <c r="P117" s="16" t="inlineStr">
        <is>
          <t>Not run</t>
        </is>
      </c>
      <c r="Q117" s="16" t="n"/>
      <c r="R117" s="16" t="n"/>
    </row>
    <row r="118">
      <c r="A118" s="10" t="inlineStr">
        <is>
          <t>BRE-01</t>
        </is>
      </c>
      <c r="B118" s="11" t="inlineStr">
        <is>
          <t>Breach and incidents</t>
        </is>
      </c>
      <c r="C118" s="11" t="inlineStr">
        <is>
          <t>DPO logs an incident with what is known so far and a file kept as evidence</t>
        </is>
      </c>
      <c r="D118" s="11" t="inlineStr">
        <is>
          <t>Console - Breaches - Log an incident; 'What is known so far'; Attachments</t>
        </is>
      </c>
      <c r="E118" s="11" t="inlineStr">
        <is>
          <t>DPO (Priya Menon) on console</t>
        </is>
      </c>
      <c r="F118" s="11" t="inlineStr">
        <is>
          <t>High</t>
        </is>
      </c>
      <c r="G118" s="11" t="inlineStr">
        <is>
          <t>Positive</t>
        </is>
      </c>
      <c r="H118" s="11" t="inlineStr">
        <is>
          <t>S3-06</t>
        </is>
      </c>
      <c r="I118" s="11" t="inlineStr">
        <is>
          <t>- The console is running at http://localhost:3000.
- The test coordinator can read the test outbox (backend/api/var/outbox.log) and relays codes, links and emails on request.
- Times are typed in the browser's own date-and-time boxes, in local time. 'First noticed' and every other time must not be in the future.
- The tester has two small files to hand: uat-incident-01-email.pdf (any small PDF) and uat-incident-01-photo.png (any small image), each under 25 MB.</t>
        </is>
      </c>
      <c r="J118" s="11" t="inlineStr">
        <is>
          <t>- Title: UAT Incident 01 - field laptop lost
- First noticed: today, 10 minutes before now
- Began: today, 2 hours before now
- Where it occurred: Elsewhere; Where, in words: Field laptop LT-UAT-01 used at the Pune collection site
- Is it a cyber attack?: Not known yet
- Where it started: Pune collection site, field team 01
- How it was found: Tester01 reported it by phone to the Privacy Office
- Systems affected: Laptop LT-UAT-01 with a local copy of a participant contact sheet
- What happened: The laptop was left in a taxi; its disk may not be encrypted.
- How much is affected: About 40 participant rows (estimate)
- Countries involved: India
- Kinds of personal data: Names, mobile numbers, email addresses
- Whose data: Study participants
- Our entities involved or affected: Pune research office
- Third parties involved: None known
- File 1: uat-incident-01-email.pdf as Email. Later file: uat-incident-01-photo.png as Proof, note: Photo of the taxi receipt
- Note the reference shown (called INC-A in later cases).</t>
        </is>
      </c>
      <c r="K118" s="11" t="inlineStr">
        <is>
          <t>1. In Browser B open http://localhost:3000. Type dpo@cmp.local in 'Email or username' and SeedPassw0rd!2026 in 'Password' and click 'Sign in'. If the 'Verify it is you' page appears, ask the coordinator for the code, type it in '6-digit code' and click 'Verify and continue'.
2. In the sidebar under 'Your work' click 'Breaches'.
3. Click 'Log an incident'.
4. Type the title, 'First noticed' and 'Began' from the test data. In 'Where it occurred' choose 'Elsewhere'.
5. Read the box 'What is known so far'.
6. Choose 'Not known yet' and fill in all ten boxes from the test data.
7. Under 'Attachments' click 'Attach a file'. Choose uat-incident-01-email.pdf with the file picker and leave 'What it is' as it is.
8. Click 'Log the incident'.
9. Look above the tabs.
10. Read the 'Details' card (beside the 'Close' card; below the tabs on a narrow screen).
11. Look at the 'Duties' tab (open by default).
12. Click the 'Attachments' tab.
13. Click 'Attach a file'. Choose uat-incident-01-photo.png under 'File', set 'What it is' to 'Proof', type the note from the test data in 'Note' and click 'Attach'.
14. Click 'Download' on the email PDF.</t>
        </is>
      </c>
      <c r="L118" s="11" t="inlineStr">
        <is>
          <t>1. The Dashboard opens, signed in as Priya Menon (DPO).
2. The page 'Incidents and personal data breaches' opens with a 'Log an incident' button at the top right. Above the list are 'Search' (hint 'INC-, BR-, title or place'), 'Show' (set to 'Open'), 'Validation', 'Duties', 'Recent activity', 'Tickets' and 'Sort'.
3. A dialog 'Log an incident' opens with the line 'As it was noticed. Every time is entered, not filled in: the clocks run from what you type.' It has 'Title', 'First noticed' (hint 'When it was detected. Starts the CERT-In clock'), 'Began', 'Where it occurred' (set to 'The platform's own database'), 'Where, in words', a box 'What is known so far' and 'Attachments'. 'Log the incident' is greyed out.
4. The hint under 'Where, in words' changes to 'Which store or system' and the field becomes required; 'Log the incident' stays greyed out until it is filled. Type the words from the test data.
5. It says 'All optional - answer what you can now. These are kept as logged; what is learned later goes in the assessment.' It asks 'Is it a cyber attack?' with 'Yes - reportable to CERT-In', 'No' and 'Not known yet', and the line 'Yes starts the CERT-In duty: six hours from when it was first noticed.' Below are ten boxes: 'Where it started', 'How it was found', 'Systems affected', 'What happened', 'How much is affected', 'Countries involved', 'Kinds of personal data', 'Whose data', 'Our entities involved or affected' and 'Third parties involved'.
6. A 'Clear' link appears beside the three choices. Each box takes the text.
7. The file's name and size are shown. 'What it is' is set to 'Email' and offers 'Email', 'Proof', 'Chat' and 'Other'. The button now reads 'Attach another file'.
8. The message '&lt;reference&gt; logged' appears with "With 1 attached file. Validate it next: is it a personal data breach?". The incident's page opens: eyebrow 'Incident, being validated', the reference INC-YYYY-NNNN as heading, the title under it, the badges 'Still validating' and 'Open', and the buttons 'Brief for the organisation's board', 'Documents for the Board' and 'Audit trail'. Write down the reference (INC-A).
9. A card 'Close' shows a 'Not yet' box listing 'Record whether this is a personal data breach before closing it'; 'Close the breach' is greyed out. An information box 'Not validated yet' reads 'Is it a personal data breach under s.2(u)? A yes records it and starts the DPDP duties.' with a 'Record the validation' link.
10. It shows 'Recorded as a breach': 'Not yet: a validation of yes records it'; 'First noticed' and 'Began' as typed; 'Became aware': 'Set with a validation of yes'; 'Where': 'Elsewhere' with the words typed; 'Cyber attack': 'Not known yet'; then each of the ten answers under its own label; and 'Logged' with the time and "by Priya Menon".
11. One row: 'Organisation's board' with 'Internal policy: within 30 minutes of first noticed' under it, the badge 'Outstanding', a due time 30 minutes after 'First noticed', a clock such as '&lt;time&gt; left' and a 'Record the report' button. There is no 'Report to CERT-In' row; instead a box asks whether it is a reportable cyber incident, with a 'Mark reportable to CERT-In' button.
12. The tab count is 1. The card 'Attachments' says 'The email that reported it, proofs, chats, logs - kept as evidence. A file is never replaced or removed; every download is recorded on the audit trail.' The file is listed with the badge 'Email', its size, "added &lt;date&gt; by Priya Menon", the start of its fingerprint and a 'Download' button. There is no delete or replace control.
13. The message 'File attached' with 'Kept with the incident as evidence.' appears. A second row shows 'Proof', the file name and the note. The tab count is 2.
14. The same PDF that was attached downloads and opens.</t>
        </is>
      </c>
      <c r="M118" s="11" t="inlineStr">
        <is>
          <t>The incident is logged with an INC- reference from the typed times, every answer under 'What is known so far' is kept and shown under 'Details', the organisation's board duty starts with a 30-minute clock, and files are kept with it as evidence that cannot be removed.</t>
        </is>
      </c>
      <c r="N118" s="16" t="n"/>
      <c r="O118" s="17" t="n"/>
      <c r="P118" s="16" t="inlineStr">
        <is>
          <t>Not run</t>
        </is>
      </c>
      <c r="Q118" s="16" t="n"/>
      <c r="R118" s="16" t="n"/>
    </row>
    <row r="119">
      <c r="A119" s="10" t="inlineStr">
        <is>
          <t>BRE-02</t>
        </is>
      </c>
      <c r="B119" s="11" t="inlineStr">
        <is>
          <t>Breach and incidents</t>
        </is>
      </c>
      <c r="C119" s="11" t="inlineStr">
        <is>
          <t>An incident logged with nothing optional; 'Yes' to cyber attack starts the CERT-In duty, and its filing is recorded</t>
        </is>
      </c>
      <c r="D119" s="11" t="inlineStr">
        <is>
          <t>Console - Log an incident (minimal) - 'Is it a cyber attack?'; Duties - Report to CERT-In</t>
        </is>
      </c>
      <c r="E119" s="11" t="inlineStr">
        <is>
          <t>DPO (Priya Menon) on console</t>
        </is>
      </c>
      <c r="F119" s="11" t="inlineStr">
        <is>
          <t>High</t>
        </is>
      </c>
      <c r="G119" s="11" t="inlineStr">
        <is>
          <t>Positive</t>
        </is>
      </c>
      <c r="H119" s="11" t="inlineStr">
        <is>
          <t>S3-06</t>
        </is>
      </c>
      <c r="I119" s="11" t="inlineStr">
        <is>
          <t>- The console is running at http://localhost:3000.
- Priya Menon (DPO, dpo@cmp.local) is signed in to the console in Browser B (BRE-01 step 1).
- Times are typed in the browser's own date-and-time boxes, in local time. 'First noticed' and every other time must not be in the future.</t>
        </is>
      </c>
      <c r="J119" s="11" t="inlineStr">
        <is>
          <t>- Title: UAT Incident 02 - phishing on the capture rig
- First noticed: today, 20 minutes before now
- Where it occurred: A processor - Pune Motion Lab Pvt Ltd
- Is it a cyber attack?: Yes - reportable to CERT-In
- Everything else left empty; no file
- CERT-In filing: Submitted at: today, 5 minutes before now; Reference returned: CERTIN-UAT-01
- Note the reference shown (called INC-B in later cases).</t>
        </is>
      </c>
      <c r="K119" s="11" t="inlineStr">
        <is>
          <t>1. Click 'Breaches', then 'Log an incident'. Type the title and 'First noticed'. In 'Where it occurred' choose 'A processor'.
2. Type Pune in the search box, then choose Pune Motion Lab Pvt Ltd in 'Processor'.
3. Under 'Is it a cyber attack?' choose 'Yes - reportable to CERT-In'. Leave 'Began', the ten boxes and 'Attachments' empty. Click 'Log the incident'.
4. Read the 'Details' card.
5. Look at the 'Duties' tab.
6. On 'Report to CERT-In' click 'Record submission'.
7. Type a 'Submitted at' time but leave 'Reference returned' empty.
8. Type CERTIN-UAT-01 in 'Reference returned', change 'Submitted at' to tomorrow and click 'Record'.
9. Change 'Submitted at' to one hour before 'First noticed' and click 'Record'.
10. Change 'Submitted at' to today, 5 minutes before now, and click 'Record'.
11. Read the 'Close' card.</t>
        </is>
      </c>
      <c r="L119" s="11" t="inlineStr">
        <is>
          <t>1. Two fields appear: a search box (hint 'Name or code') and 'Processor', set to 'Choose…'. 'Log the incident' is greyed out until a processor is chosen.
2. The list narrows to the processors matching the words, A to Z. Pune Motion Lab Pvt Ltd is chosen.
3. The message '&lt;reference&gt; logged' appears with 'Validate it next: is it a personal data breach?'. The incident's page opens. Write down the reference (INC-B).
4. 'Began' reads 'Not known'; 'Where' reads 'Processor: &lt;name&gt;' (Pune Motion Lab Pvt Ltd); 'Cyber attack' reads 'Yes - reportable to CERT-In'. None of the ten 'What is known so far' labels appears - only what was said is shown.
5. Two rows: 'Organisation's board' (30 minutes) and 'Report to CERT-In' with 'CERT-In Directions 2022 (IT Act s.70B): within 6 hours of noticing' under it, due 6 hours after 'First noticed', with a clock such as "5 h 40 min left" and a 'Record submission' button. There is no 'Mark reportable to CERT-In' box - the duty already exists.
6. A dialog opens, titled with 'Record the submission' and the duty, with 'The platform never submits to a regulator. Record what was submitted through the regulator's own channel, when, and the reference it returned.' It has 'Submitted at' (hint 'When it was made, not when you are recording it'), 'Reference returned' (hint 'Acknowledgement or filing number') and 'Note'. 'Record' is greyed out.
7. 'Record' stays greyed out: the reference is required.
8. The message 'Not recorded' with 'This time is in the future' appears. The duty is still 'Outstanding'.
9. The message 'Not recorded' with 'A submission cannot come before its clock started' appears.
10. A message ending ': recorded' appears with 'The submission and its reference are on the record.' The row shows the badge 'Done' with the time and CERTIN-UAT-01; its clock and button are gone.
11. The 'Not yet' box lists 'Record whether this is a personal data breach before closing it' and the organisation's board duty, with a line ending 'is outstanding'. CERT-In is no longer listed.</t>
        </is>
      </c>
      <c r="M119" s="11" t="inlineStr">
        <is>
          <t>An incident is logged with only the three required facts; 'Yes' to a cyber attack creates the CERT-In duty at once with a six-hour clock; the filing is refused without a reference, in the future or before the clock started, and recorded otherwise.</t>
        </is>
      </c>
      <c r="N119" s="16" t="n"/>
      <c r="O119" s="17" t="n"/>
      <c r="P119" s="16" t="inlineStr">
        <is>
          <t>Not run</t>
        </is>
      </c>
      <c r="Q119" s="16" t="n"/>
      <c r="R119" s="16" t="n"/>
    </row>
    <row r="120">
      <c r="A120" s="10" t="inlineStr">
        <is>
          <t>BRE-03</t>
        </is>
      </c>
      <c r="B120" s="11" t="inlineStr">
        <is>
          <t>Breach and incidents</t>
        </is>
      </c>
      <c r="C120" s="11" t="inlineStr">
        <is>
          <t>Log an incident refuses a missing title or time, a future time, a start after noticing, and an unnamed place</t>
        </is>
      </c>
      <c r="D120" s="11" t="inlineStr">
        <is>
          <t>Console - Log an incident - validation</t>
        </is>
      </c>
      <c r="E120" s="11" t="inlineStr">
        <is>
          <t>DPO (Priya Menon) on console</t>
        </is>
      </c>
      <c r="F120" s="11" t="inlineStr">
        <is>
          <t>Medium</t>
        </is>
      </c>
      <c r="G120" s="11" t="inlineStr">
        <is>
          <t>Negative</t>
        </is>
      </c>
      <c r="H120" s="11" t="inlineStr">
        <is>
          <t>S3-06</t>
        </is>
      </c>
      <c r="I120" s="11" t="inlineStr">
        <is>
          <t>- The console is running at http://localhost:3000.
- Priya Menon (DPO, dpo@cmp.local) is signed in to the console in Browser B (BRE-01 step 1).
- Times are typed in the browser's own date-and-time boxes, in local time. 'First noticed' and every other time must not be in the future.</t>
        </is>
      </c>
      <c r="J120" s="11" t="inlineStr">
        <is>
          <t>- Title: UAT Incident 99 - refused input
- Future time: tomorrow, 10:00
- First noticed: today, 1 hour before now; Began: today, 30 minutes before now</t>
        </is>
      </c>
      <c r="K120" s="11" t="inlineStr">
        <is>
          <t>1. Click 'Breaches', then 'Log an incident'. Leave 'Title' empty and type a 'First noticed' time.
2. Type tomorrow, 10:00 in 'First noticed' and click 'Log the incident'.
3. Change 'First noticed' to 1 hour before now and type 30 minutes before now in 'Began'. Click 'Log the incident'.
4. Clear 'Began'. In 'Where it occurred' choose 'A data source'.
5. Choose 'Elsewhere' and leave 'Where, in words' empty.
6. Under 'Is it a cyber attack?' choose 'Yes - reportable to CERT-In', then click 'Clear'.
7. Click 'Cancel'. In 'Search' type Incident 99 and press Enter.</t>
        </is>
      </c>
      <c r="L120" s="11" t="inlineStr">
        <is>
          <t>1. 'Log the incident' is greyed out. Type the title: it becomes available. Clear 'First noticed': it is greyed out again.
2. The message 'Not logged' with 'This time is in the future' appears. The dialog stays open.
3. The message 'Not logged' with 'It cannot have begun after it was first noticed' appears.
4. A field 'Data source' set to 'Choose…' appears; 'Log the incident' is greyed out until one is chosen.
5. 'Log the incident' is greyed out; the hint under 'Where, in words' reads 'Which store or system'.
6. None of the three choices stays selected and the 'Clear' link disappears: the question can be left unanswered.
7. The dialog closes. The register shows 'Nothing matches' with 'No incident in this register matches the search and filters.' - nothing was logged by the refused attempts. Click 'Clear filters'.</t>
        </is>
      </c>
      <c r="M120" s="11" t="inlineStr">
        <is>
          <t>The form cannot be sent without a title and a first-noticed time or a named place, and the server refuses a future time and a start after noticing, logging nothing.</t>
        </is>
      </c>
      <c r="N120" s="16" t="n"/>
      <c r="O120" s="17" t="n"/>
      <c r="P120" s="16" t="inlineStr">
        <is>
          <t>Not run</t>
        </is>
      </c>
      <c r="Q120" s="16" t="n"/>
      <c r="R120" s="16" t="n"/>
    </row>
    <row r="121">
      <c r="A121" s="10" t="inlineStr">
        <is>
          <t>BRE-04</t>
        </is>
      </c>
      <c r="B121" s="11" t="inlineStr">
        <is>
          <t>Breach and incidents</t>
        </is>
      </c>
      <c r="C121" s="11" t="inlineStr">
        <is>
          <t>The organisation's board within 30 minutes: brief, print, record the report; a late-logged incident starts overdue</t>
        </is>
      </c>
      <c r="D121" s="11" t="inlineStr">
        <is>
          <t>Console - Brief for the organisation's board; Duties - Organisation's board; Dashboard; duty alert email</t>
        </is>
      </c>
      <c r="E121" s="11" t="inlineStr">
        <is>
          <t>DPO (Priya Menon) on console</t>
        </is>
      </c>
      <c r="F121" s="11" t="inlineStr">
        <is>
          <t>High</t>
        </is>
      </c>
      <c r="G121" s="11" t="inlineStr">
        <is>
          <t>Positive</t>
        </is>
      </c>
      <c r="H121" s="11" t="inlineStr">
        <is>
          <t>S3-07</t>
        </is>
      </c>
      <c r="I121" s="11" t="inlineStr">
        <is>
          <t>- The console is running at http://localhost:3000.
- The test coordinator can read the test outbox (backend/api/var/outbox.log) and relays codes, links and emails on request.
- The API, the worker and the one beat scheduler are running (the worker sends every email and SMS; the beat checks breach duties every 5 minutes).
- Priya Menon (DPO, dpo@cmp.local) is signed in to the console in Browser B (BRE-01 step 1).
- Times are typed in the browser's own date-and-time boxes, in local time. 'First noticed' and every other time must not be in the future.
- BRE-01 has been run; the 'Organisation's board' duty on INC-A is still 'Outstanding'.</t>
        </is>
      </c>
      <c r="J121" s="11" t="inlineStr">
        <is>
          <t>- INC-A: Reported at: today, 2 minutes before now; Reported to: The chair of the board, by phone (Tester01)
- New incident: Title: UAT Incident 03 - email sent to the wrong list; First noticed: today, 45 minutes before now; Where it occurred: The platform's own database; Is it a cyber attack?: No
- Note the new reference (called INC-C in later cases).</t>
        </is>
      </c>
      <c r="K121" s="11" t="inlineStr">
        <is>
          <t>1. In the sidebar under 'Your work' click 'Breaches', then click the reference INC-A in the 'Reference' column.
2. Click 'Brief for the organisation's board'.
3. Read the brief.
4. Click 'Print', look at the preview, then cancel the print.
5. Click 'Back to the incident'. On 'Organisation's board' click 'Record the report'.
6. Type 'Reported at' only.
7. Type 'Reported to' from the test data and click 'Record'.
8. Click 'Breaches', then 'Log an incident', and log the new incident from the test data (45 minutes ago, 'The platform's own database', 'No').
9. Look at the 'Duties' tab.
10. Click 'Dashboard' in the sidebar.
11. Wait up to 10 minutes, then ask the coordinator to check the outbox for mail to dpo@cmp.local about INC-C.</t>
        </is>
      </c>
      <c r="L121" s="11" t="inlineStr">
        <is>
          <t>1. The page for INC-A opens, with an 'Incidents and breaches' back link above the heading.
2. A page opens headed 'Brief for the organisation's board' with INC-A, the eyebrow 'Incident', a 'Back to the incident' link and a 'Print' button. Its line reads 'Drafted from the register as it stands. The platform does not report to the board: tell it through the organisation's own channel, then record when and to whom on the incident's duties.'
3. The card is headed 'Internal policy: within 30 minutes of first noticed' with 'Drafted &lt;date and time&gt; from the register.' A box 'Not yet in the register' lists 'Whether it is a personal data breach - validation is still pending', 'The nature and extent of what happened' and 'Who it touched - no list has been confirmed'. It shows 'Reference', 'What', 'First noticed', 'Began', 'Where it occurred', 'Validation' ('Still validating'), 'Reportable to CERT-In' ('Not marked'), 'Who it touched' ('No list confirmed yet') and 'Duties and their clocks'. No person's name appears - not even who logged it.
4. The browser's print preview shows the brief without the sidebar, the 'Print' button or the back link.
5. A dialog 'Record the report - Organisation's board' opens with 'The platform never reports to the organisation's board. Record when a person reported to it, and to whom.' It has 'Reported at', 'Reported to' (hint 'Who was told, and how - for example the chair, by phone') and 'Note' - no 'Reference returned'. 'Record' is greyed out.
6. 'Record' stays greyed out: whom it was reported to is required.
7. A message ending ': recorded' appears with 'The report and whom it was made to are on the record.' The row shows 'Done' with the time and "to The chair of the board, by phone (Tester01)". The 'Close' card no longer lists the organisation's board.
8. The new incident's page opens. Write down its reference (INC-C).
9. The 'Organisation's board' row is tinted red with a red 'Outstanding' badge and a clock such as 'Overdue by &lt;time&gt;' (about 15 min). The tab shows '&lt;n&gt; late' beside 'Duties'. There is no 'Report to CERT-In' row; the 'Mark reportable to CERT-In' box is offered (answering 'No' creates nothing).
10. 'Needs attention' lists 'Breach duties overdue'. A card 'Open breaches' lists INC-A, INC-B and INC-C with each duty's badge and clock; INC-C's organisation's board reads 'Overdue by ...' in red.
11. One email whose subject starts with INC-C and says the organisation's board duty is overdue since &lt;time&gt;, with a link to the incident. Asked again 10 minutes later, the coordinator finds no repeat of it. (Similar emails may arrive for INC-B, whose board report is never recorded, and for any duty that falls due while testing.)</t>
        </is>
      </c>
      <c r="M121" s="11" t="inlineStr">
        <is>
          <t>The brief is drafted from the register with counts and no names and prints cleanly; the report to the board is recorded with when and to whom; an incident logged after 30 minutes starts overdue, shows on the dashboard and the DPOs are emailed once.</t>
        </is>
      </c>
      <c r="N121" s="16" t="n"/>
      <c r="O121" s="17" t="n"/>
      <c r="P121" s="16" t="inlineStr">
        <is>
          <t>Not run</t>
        </is>
      </c>
      <c r="Q121" s="16" t="n"/>
      <c r="R121" s="16" t="n"/>
    </row>
    <row r="122">
      <c r="A122" s="10" t="inlineStr">
        <is>
          <t>BRE-05</t>
        </is>
      </c>
      <c r="B122" s="11" t="inlineStr">
        <is>
          <t>Breach and incidents</t>
        </is>
      </c>
      <c r="C122" s="11" t="inlineStr">
        <is>
          <t>Validation 'No': the incident stays an incident, nothing reaches anyone, and it closes once the board is told</t>
        </is>
      </c>
      <c r="D122" s="11" t="inlineStr">
        <is>
          <t>Console - Validation tab ('Not a personal data breach'); Close</t>
        </is>
      </c>
      <c r="E122" s="11" t="inlineStr">
        <is>
          <t>DPO (Priya Menon) on console</t>
        </is>
      </c>
      <c r="F122" s="11" t="inlineStr">
        <is>
          <t>High</t>
        </is>
      </c>
      <c r="G122" s="11" t="inlineStr">
        <is>
          <t>Positive</t>
        </is>
      </c>
      <c r="H122" s="11" t="inlineStr">
        <is>
          <t>S3-06</t>
        </is>
      </c>
      <c r="I122" s="11" t="inlineStr">
        <is>
          <t>- The console is running at http://localhost:3000.
- Priya Menon (DPO, dpo@cmp.local) is signed in to the console in Browser B (BRE-01 step 1).
- BRE-04 has been run; INC-C is open, still validating, with its organisation's board duty overdue.</t>
        </is>
      </c>
      <c r="J122" s="11" t="inlineStr">
        <is>
          <t>- Validation: Not a personal data breach
- Reasoning: The email reached five internal staff only; all confirmed deletion. No personal data left the organisation. Tester01.
- Organisation's board: Reported at: today, 1 minute before now; Reported to: Head of Security, by email (Tester01)</t>
        </is>
      </c>
      <c r="K122" s="11" t="inlineStr">
        <is>
          <t>1. In the sidebar under 'Your work' click 'Breaches', then click the reference INC-C in the 'Reference' column.
2. In the 'Not validated yet' box click 'Record the validation'.
3. In 'Validation' choose 'Not a personal data breach'.
4. Type the reasoning and click 'Record the validation'.
5. Look at the header and the 'Details' card.
6. Click the 'Duties' tab.
7. Click the 'People &amp; notices' tab, then the 'Tickets' tab.
8. Read the 'Close' card.
9. On the 'Duties' tab click 'Record the report' and record it with the test data.
10. Click 'Close the breach'.
11. Click the 'Activity' tab.
12. Click 'Breaches'. Change 'Show' from 'Open' to 'Closed'.</t>
        </is>
      </c>
      <c r="L122" s="11" t="inlineStr">
        <is>
          <t>1. The page for INC-C opens, with an 'Incidents and breaches' back link above the heading.
2. The 'Validation' tab opens with the card 'Validation - is it a personal data breach under s.2(u)?' and 'Still validating. The clocks already running keep running.' It has 'Validation' (set to 'Yes, record it as a personal data breach'), 'Became aware at' (hint 'Starts every DPDP clock'), 'Reasoning' and a greyed-out 'Record the validation' button.
3. 'Became aware at' disappears. 'Record the validation' stays greyed out while 'Reasoning' is empty.
4. The message 'Validation recorded' with 'Not a personal data breach' appears. The card lists 'Not a personal data breach' with the time, Priya Menon and the reasoning.
5. The heading is still INC-C (no BR- reference was issued) and the eyebrow still 'Incident, being validated'. The green badge reads 'Not a personal data breach'. 'Recorded as a breach' still reads 'Not yet: a validation of yes records it'. The 'Not validated yet' box is gone.
6. Only 'Organisation's board' is listed. There is no 'Board - initial intimation', 'Board - detailed report' or 'Principals notified'.
7. Under 'Telling the people it touched' a box 'Not sent before the breach is recorded' reads "Record the breach before anyone is notified: validate it as a personal data breach first". On 'Tickets' a box 'Tickets wait for the breach to be recorded' is shown and there is no 'Assign a ticket' button.
8. The 'Not yet' box lists only the organisation's board duty, ending 'is outstanding'. 'Close the breach' is greyed out.
9. The row shows 'Done'. The 'Close' card has no 'Not yet' box and 'Close the breach' is available.
10. The message 'Breach closed' appears. The badge reads 'Closed'. The card is now 'Reopen' with 'Why it is being reopened' and a greyed-out 'Reopen the breach'. The 'Validation' tab no longer has a form and the 'Duties' tab no longer offers 'Mark reportable to CERT-In'.
11. 'History' lists, newest first, 'Open' → 'Closed' and 'Logged as' 'Open', each with Priya Menon and the time.
12. With 'Open', INC-C is not listed. With 'Closed', INC-C is listed with the 'Closed' badge and 'Not a personal data breach' under 'Validation', and 'None' under 'Outstanding duties'.</t>
        </is>
      </c>
      <c r="M122" s="11" t="inlineStr">
        <is>
          <t>'No' keeps the INC- reference and its reasoning, creates no DPDP duty, blocks notices and tickets, and the incident closes once the organisation's board has been told.</t>
        </is>
      </c>
      <c r="N122" s="16" t="n"/>
      <c r="O122" s="17" t="n"/>
      <c r="P122" s="16" t="inlineStr">
        <is>
          <t>Not run</t>
        </is>
      </c>
      <c r="Q122" s="16" t="n"/>
      <c r="R122" s="16" t="n"/>
    </row>
    <row r="123">
      <c r="A123" s="10" t="inlineStr">
        <is>
          <t>BRE-06</t>
        </is>
      </c>
      <c r="B123" s="11" t="inlineStr">
        <is>
          <t>Breach and incidents</t>
        </is>
      </c>
      <c r="C123" s="11" t="inlineStr">
        <is>
          <t>Validation 'Yes' records the incident as a BR- breach and starts the DPDP duties</t>
        </is>
      </c>
      <c r="D123" s="11" t="inlineStr">
        <is>
          <t>Console - Validation tab ('Yes, record it as a personal data breach'); Duties; Close</t>
        </is>
      </c>
      <c r="E123" s="11" t="inlineStr">
        <is>
          <t>DPO (Priya Menon) on console</t>
        </is>
      </c>
      <c r="F123" s="11" t="inlineStr">
        <is>
          <t>High</t>
        </is>
      </c>
      <c r="G123" s="11" t="inlineStr">
        <is>
          <t>Positive</t>
        </is>
      </c>
      <c r="H123" s="11" t="inlineStr">
        <is>
          <t>S3-06</t>
        </is>
      </c>
      <c r="I123" s="11" t="inlineStr">
        <is>
          <t>- The console is running at http://localhost:3000.
- Priya Menon (DPO, dpo@cmp.local) is signed in to the console in Browser B (BRE-01 step 1).
- Times are typed in the browser's own date-and-time boxes, in local time. 'First noticed' and every other time must not be in the future.
- BRE-04 has been run; INC-A's organisation's board duty is 'Done'.</t>
        </is>
      </c>
      <c r="J123" s="11" t="inlineStr">
        <is>
          <t>- Validation: Yes, record it as a personal data breach
- Reasoning: Contact details of about 40 participants on an unencrypted laptop were lost: a loss of control under s.2(u). Tester01.
- Became aware at (refused): yesterday, 09:00; (refused): tomorrow, 09:00; (accepted): today, 5 minutes before now
- Note the breach reference shown (called BR-A in later cases).</t>
        </is>
      </c>
      <c r="K123" s="11" t="inlineStr">
        <is>
          <t>1. In the sidebar under 'Your work' click 'Breaches', then click the reference INC-A in the 'Reference' column. Click the 'Validation' tab.
2. Leave 'Validation' on 'Yes, record it as a personal data breach', type the reasoning, type yesterday 09:00 in 'Became aware at' and click 'Record the validation'.
3. Change 'Became aware at' to tomorrow 09:00 and click 'Record the validation'.
4. Change 'Became aware at' to 5 minutes before now and click 'Record the validation'.
5. Look at the header and the 'Details' card.
6. Click the 'Duties' tab.
7. Read the 'Close' card.
8. Click the 'Validation' tab and open the 'Validation' list.
9. Click the 'Tickets' tab.
10. Click 'Breaches'. Find the row and then type the INC-A reference in 'Search' and press Enter.</t>
        </is>
      </c>
      <c r="L123" s="11" t="inlineStr">
        <is>
          <t>1. The page for INC-A opens, with an 'Incidents and breaches' back link above the heading. The 'Validation' tab is shown.
2. The message 'Not recorded' with 'Awareness cannot come before the event was first noticed' appears. Nothing is listed on the card.
3. The message 'Not recorded' with 'This time is in the future' appears.
4. The message 'Recorded as &lt;BR reference&gt;' with 'The DPDP duties have started.' appears. Write down the BR-YYYY-NNNN reference (BR-A).
5. The eyebrow reads 'Personal data breach' and the heading is now BR-A. The red badge reads 'A personal data breach'. 'Details' shows 'Logged as' INC-A, 'Recorded as a breach' with the time and "by Priya Menon", and 'Became aware' with the time typed.
6. Besides 'Organisation's board' ('Done'), three rows: 'Board - initial intimation' ('Rule 7(2)(a): without delay', due 'Without delay', clock '&lt;time&gt; since awareness' followed by '(no internal target set)', 'Record submission'); 'Board - detailed report' ('Rule 7(2)(b): within 72 hours of becoming aware, or as the Board allows', due 72 hours after 'Became aware', clock about "2 d 23 h left", 'Record submission' and 'Extension'); 'Principals notified' ('Rule 7(1): without delay, to each affected Data Principal', no button, the line 'Completes when every notice is delivered').
7. The 'Not yet' box lists one line for each of the three new duties, each ending 'is outstanding'. 'Close the breach' is greyed out.
8. The yes is listed with 'aware &lt;time&gt;'. The list now offers 'A personal data breach', 'Not a personal data breach' and 'Still validating' - a later yes would issue no second BR number.
9. There is an 'Assign a ticket' button and the line 'No ticket yet.'; the 'Tickets wait for the breach to be recorded' box is gone.
10. The row shows BR-A with 'logged as &lt;INC reference&gt;' (INC-A) under it, the title, 'A personal data breach' under 'Validation', and the three DPDP duties under 'Outstanding duties' with their clocks. Searching by INC-A still finds BR-A.</t>
        </is>
      </c>
      <c r="M123" s="11" t="inlineStr">
        <is>
          <t>Awareness before noticing or in the future is refused; the first yes issues a BR- reference, keeps the INC- one beside it, and creates the initial intimation, detailed report and principals duties with clocks from awareness.</t>
        </is>
      </c>
      <c r="N123" s="16" t="n"/>
      <c r="O123" s="17" t="n"/>
      <c r="P123" s="16" t="inlineStr">
        <is>
          <t>Not run</t>
        </is>
      </c>
      <c r="Q123" s="16" t="n"/>
      <c r="R123" s="16" t="n"/>
    </row>
    <row r="124">
      <c r="A124" s="10" t="inlineStr">
        <is>
          <t>BRE-07</t>
        </is>
      </c>
      <c r="B124" s="11" t="inlineStr">
        <is>
          <t>Breach and incidents</t>
        </is>
      </c>
      <c r="C124" s="11" t="inlineStr">
        <is>
          <t>The register is searched and filtered; the dashboard is a way in</t>
        </is>
      </c>
      <c r="D124" s="11" t="inlineStr">
        <is>
          <t>Console - Incidents and personal data breaches - Search, Show, Validation, Duties, Recent activity, Tickets, Sort; Dashboard</t>
        </is>
      </c>
      <c r="E124" s="11" t="inlineStr">
        <is>
          <t>DPO (Priya Menon) on console</t>
        </is>
      </c>
      <c r="F124" s="11" t="inlineStr">
        <is>
          <t>Medium</t>
        </is>
      </c>
      <c r="G124" s="11" t="inlineStr">
        <is>
          <t>Positive</t>
        </is>
      </c>
      <c r="H124" s="11" t="inlineStr">
        <is>
          <t>Core</t>
        </is>
      </c>
      <c r="I124" s="11" t="inlineStr">
        <is>
          <t>- The console is running at http://localhost:3000.
- Priya Menon (DPO, dpo@cmp.local) is signed in to the console in Browser B (BRE-01 step 1).
- BRE-01 to BRE-06 have been run: BR-A (a breach, open), INC-B (still validating, open, its organisation's board never recorded) and INC-C (not a breach, closed). No ticket has been assigned yet.</t>
        </is>
      </c>
      <c r="J124" s="11" t="inlineStr">
        <is>
          <t>- Search words: laptop; Pune Motion; zzz
- References: INC-B</t>
        </is>
      </c>
      <c r="K124" s="11" t="inlineStr">
        <is>
          <t>1. Click 'Breaches' and look at the list with no filter.
2. Type laptop in 'Search' and press Enter.
3. Replace the search with Pune Motion, then with the INC-B reference.
4. Click 'Clear filters'. In 'Validation' choose 'Still validating', then 'A personal data breach'.
5. Set 'Show' to 'All' and 'Validation' to 'Not a personal data breach'.
6. Click 'Clear filters' and set 'Show' back to 'Open'. In 'Duties' choose 'Overdue', then 'Due within 24 hours'.
7. Set 'Duties' to 'Any'. In 'Tickets' choose 'With an open ticket'.
8. Set 'Tickets' to 'Any', 'Recent activity' to 'In the last 24 hours' and 'Sort' to 'Due soonest, late first'. Copy the address bar and open it in a new tab.
9. Click 'Dashboard'. Click 'Log an incident' in the page header.
10. Read the dashboard and click BR-A in the 'Open breaches' card.</t>
        </is>
      </c>
      <c r="L124" s="11" t="inlineStr">
        <is>
          <t>1. 'Show' is 'Open'. BR-A and INC-B are listed; INC-C is not. The columns are 'Reference', 'Where', 'Validation', 'Outstanding duties', 'Tickets', 'Last activity' and 'First noticed'. 'Tickets' reads 'None open' for both.
2. Only BR-A remains. A line '&lt;n&gt; of &lt;m&gt; shown' (here 1 of 2) appears and a 'Clear filters' button is shown.
3. Each time only INC-B remains (its 'Where' reads 'Processor: &lt;name&gt;', here Pune Motion Lab Pvt Ltd).
4. 'Still validating' shows INC-B only; 'A personal data breach' shows BR-A only.
5. Only INC-C is listed, with the 'Closed' badge.
6. 'Overdue' shows INC-B, tinted red, its organisation's board reading 'Overdue by ...'. 'Due within 24 hours' shows only incidents with a duty falling due within a day and none that is late.
7. 'Nothing matches' with 'No incident in this register matches the search and filters.' and a 'Clear filters' button - no ticket exists yet.
8. BR-A and INC-B are listed, INC-B (late) first. The new tab shows the same list with the same filters already set: the filters live in the address.
9. The same 'Log an incident' dialog opens as on 'Breaches'. Click 'Cancel'.
10. 'Needs attention' lists 'Breach duties overdue' and 'Breach duties outstanding'. 'Open breaches' lists BR-A and INC-B, each duty with its badge and clock. Clicking BR-A opens its page.</t>
        </is>
      </c>
      <c r="M124" s="11" t="inlineStr">
        <is>
          <t>The register finds an incident by either reference, title words or place, each filter narrows it as named, an empty result offers 'Clear filters', the filters survive in the address, and the dashboard leads to the register and to logging.</t>
        </is>
      </c>
      <c r="N124" s="16" t="n"/>
      <c r="O124" s="17" t="n"/>
      <c r="P124" s="16" t="inlineStr">
        <is>
          <t>Not run</t>
        </is>
      </c>
      <c r="Q124" s="16" t="n"/>
      <c r="R124" s="16" t="n"/>
    </row>
    <row r="125">
      <c r="A125" s="10" t="inlineStr">
        <is>
          <t>BRE-08</t>
        </is>
      </c>
      <c r="B125" s="11" t="inlineStr">
        <is>
          <t>Breach and incidents</t>
        </is>
      </c>
      <c r="C125" s="11" t="inlineStr">
        <is>
          <t>The assessment is recorded and revised; the Board's documents are drafted and the intimation and an extension recorded</t>
        </is>
      </c>
      <c r="D125" s="11" t="inlineStr">
        <is>
          <t>Console - Assessment tab; Documents for the Board; Duties - Record submission, Extension</t>
        </is>
      </c>
      <c r="E125" s="11" t="inlineStr">
        <is>
          <t>DPO (Priya Menon) on console</t>
        </is>
      </c>
      <c r="F125" s="11" t="inlineStr">
        <is>
          <t>Medium</t>
        </is>
      </c>
      <c r="G125" s="11" t="inlineStr">
        <is>
          <t>Positive</t>
        </is>
      </c>
      <c r="H125" s="11" t="inlineStr">
        <is>
          <t>Core</t>
        </is>
      </c>
      <c r="I125" s="11" t="inlineStr">
        <is>
          <t>- The console is running at http://localhost:3000.
- Priya Menon (DPO, dpo@cmp.local) is signed in to the console in Browser B (BRE-01 step 1).
- Times are typed in the browser's own date-and-time boxes, in local time. 'First noticed' and every other time must not be in the future.
- BRE-06 has been run; BR-A is open.</t>
        </is>
      </c>
      <c r="J125" s="11" t="inlineStr">
        <is>
          <t>- Nature and extent: A field laptop holding a contact sheet of about 40 study participants was lost in a taxi.
- Likely impact: Low to moderate: unwanted calls or messages. Revision 2: Moderate: possible phishing using the study's name.
- Consequences likely for the people affected: Calls or messages from strangers who know of the study.
- Events, circumstances and reasons: The laptop was taken off site against the field guide.
- Mitigation implemented, under way or proposed: Laptop locked remotely; taxi company asked to search.
- What people can do to protect themselves: Ignore unexpected calls about the study; never share a code.
- Findings on who caused it: Field team member 01 did not follow the guide.
- Remedial measures against recurrence: Full-disk encryption on every field laptop.
- Who answers people's questions: The Privacy Office, privacy@cmp.local
- Categories: Names and mobile numbers (not sealed); Email addresses (Sealed ticked, Key exposed not ticked)
- Initial intimation: Submitted at: today, 2 minutes before now; Reference returned: DPB-UAT-INT-01
- Extension (refused): Asked for at: now; Allowed until: tomorrow. Extension (accepted): Allowed until: 6 days from today; The Board's reference: DPB-UAT-EXT-01</t>
        </is>
      </c>
      <c r="K125" s="11" t="inlineStr">
        <is>
          <t>1. In the sidebar under 'Your work' click 'Breaches', then click the reference BR-A in the 'Reference' column. Click the 'Assessment' tab.
2. Read the card, then click 'Start the assessment'.
3. Click 'Record this revision' with every box empty.
4. Fill the nine boxes (revision 1 words). Click 'Add a category' twice; type the two categories. On the second tick 'Sealed', then look at 'Key exposed' on both.
5. Click 'Record this revision'.
6. Click 'Revise the assessment', change 'Likely impact' to the revision 2 words and click 'Record this revision'.
7. Click 'Documents for the Board' in the header.
8. Read the initial intimation.
9. Read the detailed report.
10. Click 'Print', look at the preview, then cancel.
11. Click 'The breach'. On 'Board - initial intimation' click 'Record submission', enter the test data and click 'Record'.
12. On 'Board - detailed report' click 'Extension'. Enter the refused extension and click 'Record the extension'.
13. Change 'Allowed until' to 6 days from today, type the Board's reference and click 'Record the extension'.</t>
        </is>
      </c>
      <c r="L125" s="11" t="inlineStr">
        <is>
          <t>1. The page for BR-A opens, with an 'Incidents and breaches' back link above the heading. The 'Assessment' tab is shown.
2. Before the click: 'Assessment' with 'Nothing assessed yet.'. After: 'Began' (hint 'If now known. Leave empty to keep what is recorded'), nine boxes each labelled with its fact and rule - 'Nature and extent', 'Likely impact', 'Consequences likely for the people affected', 'Events, circumstances and reasons', 'Mitigation implemented, under way or proposed', 'What people can do to protect themselves', 'Findings on who caused it' (hint 'Sealed; it may name an employee'), 'Remedial measures against recurrence', 'Who answers people's questions' - then 'Data categories exposed' with 'Add a category', and 'Record this revision'.
3. The message 'Not recorded' with 'An assessment records at least one fact' appears.
4. 'Key exposed' is greyed out on the first category (not sealed) and clickable on the second once 'Sealed' is ticked. Leave it unticked.
5. The message 'Revision &lt;n&gt; recorded' (revision 1) with 'The previous revision is kept as it was.' appears. The card shows each fact with its rule, and 'Data categories' with Names and mobile numbers - 'not sealed' and Email addresses - 'sealed, key safe'. The line under the title ends "Revision 1 of 1, &lt;date&gt; by Priya Menon."
6. The form opened with the previous words filled in. After saving, the line reads "Revision 2 of 2, ..." and 'Likely impact' shows the new words. The tab count is 2.
7. A page opens headed 'Documents for the Board' with BR-A, the eyebrow 'Personal data breach', a back link 'The breach' and a 'Print' button. Two cards: 'Initial intimation - &lt;rule&gt;' (Rule 7(2)(a)) and 'Detailed report - &lt;rule&gt;' (Rule 7(2)(b)), each with 'Drafted &lt;date and time&gt; from the register.'
8. No 'Not yet in the register' box. It shows 'Reference' (BR-A), 'Validation' ('A personal data breach'), 'First noticed', 'Became aware', 'Began', 'Where it occurred', and 'Nature and extent' and 'Likely impact' from revision 2, then a line naming the 'Board - initial intimation' duty and its clock.
9. 'Assessment' reads "Revision 2 of 2, &lt;date&gt;"; 'Determinations' lists the yes with its reasoning; sections follow for 'The events, circumstances and reasons leading to the breach', 'Measures implemented or proposed to mitigate the risk', 'Findings on the person who caused the breach' and 'Remedial measures taken to prevent recurrence', each with the assessment's words; '(vi) The account of notices to the Data Principals affected' reads "No notice has yet been sent to the Data Principals affected. Nobody is yet listed as affected."
10. The preview shows both documents without the sidebar, the 'Print' button or the back link.
11. A message ending ': recorded' with 'The submission and its reference are on the record.' appears; the row shows 'Done' with the time and DPB-UAT-INT-01.
12. The dialog 'The Board allowed longer' (with 'Asked for at', 'Allowed until' and 'The Board's reference') shows the message 'Not recorded' with 'The date allowed must be later than the report's current due time'.
13. The message 'Extension recorded' with 'The detailed report is now due on the date the Board allowed.' appears. The 'Due' cell shows the new date with 'extended by the Board'; the clock now shows about 6 days left. 'Board - initial intimation' is unchanged ('Done').</t>
        </is>
      </c>
      <c r="M125" s="11" t="inlineStr">
        <is>
          <t>Each assessment revision is kept and the latest is current, with categories sealed or not; the Board's documents draw on the register as it stands and print; the intimation's submission and the Board's extension are recorded, the extension moving only the detailed report.</t>
        </is>
      </c>
      <c r="N125" s="16" t="n"/>
      <c r="O125" s="17" t="n"/>
      <c r="P125" s="16" t="inlineStr">
        <is>
          <t>Not run</t>
        </is>
      </c>
      <c r="Q125" s="16" t="n"/>
      <c r="R125" s="16" t="n"/>
    </row>
    <row r="126">
      <c r="A126" s="10" t="inlineStr">
        <is>
          <t>BRE-09</t>
        </is>
      </c>
      <c r="B126" s="11" t="inlineStr">
        <is>
          <t>Breach and incidents</t>
        </is>
      </c>
      <c r="C126" s="11" t="inlineStr">
        <is>
          <t>Who it touched: a principal added by hand, and people the records cannot show taken from an uploaded list</t>
        </is>
      </c>
      <c r="D126" s="11" t="inlineStr">
        <is>
          <t>Console - People &amp; notices - Who it touched; Add people from a list (template, Check the file, Add to the list)</t>
        </is>
      </c>
      <c r="E126" s="11" t="inlineStr">
        <is>
          <t>DPO (Priya Menon) on console</t>
        </is>
      </c>
      <c r="F126" s="11" t="inlineStr">
        <is>
          <t>High</t>
        </is>
      </c>
      <c r="G126" s="11" t="inlineStr">
        <is>
          <t>Positive</t>
        </is>
      </c>
      <c r="H126" s="11" t="inlineStr">
        <is>
          <t>Core</t>
        </is>
      </c>
      <c r="I126" s="11" t="inlineStr">
        <is>
          <t>- The console is running at http://localhost:3000.
- Priya Menon (DPO, dpo@cmp.local) is signed in to the console in Browser B (BRE-01 step 1).
- BRE-06 has been run; BR-A is open and nobody is listed yet.
- A spreadsheet program or text editor is available to fill in a CSV file.</t>
        </is>
      </c>
      <c r="J126" s="11" t="inlineStr">
        <is>
          <t>- Add by hand: subject@cmp.local (Anjali Verma); Note: Her mobile was on the lost contact sheet.
- List file uat-bre-people-01.csv, saved as CSV UTF-8, exactly these lines (header first, no # lines, no example row):
- name,email,mobile
- UAT Contact 01,tester01.contact1@example.org,+91 90000 01101
- UAT Contact 02,tester01.contact2@example.org,
- UAT No Contact 03,,
- Anjali Verma,subject@cmp.local,</t>
        </is>
      </c>
      <c r="K126" s="11" t="inlineStr">
        <is>
          <t>1. In the sidebar under 'Your work' click 'Breaches', then click the reference BR-A in the 'Reference' column. Click the 'People &amp; notices' tab.
2. Read the two cards.
3. Click 'Derive who it touched'.
4. Click the bin icon beside 'Look in' ('Remove this place'). In 'Add someone the records cannot show' type subject@cmp.local and click 'Find'.
5. Click 'Add', type the note in 'Note' and click 'Confirm the list'.
6. Read 'Who it touched'.
7. Click 'Add people from a list'.
8. Click 'Download the template' and open the file.
9. Click 'Choose the filled-in file', choose uat-bre-people-01.csv, then click 'Check the file'.
10. Click 'Add &lt;n&gt; to the list' (Add 2 to the list).
11. Read 'Who it touched' again and open 'Lists taken (&lt;n&gt;)'.
12. Click 'Add people from a list' again, choose the same file and click 'Check the file'.
13. Read 'Telling the people it touched'.</t>
        </is>
      </c>
      <c r="L126" s="11" t="inlineStr">
        <is>
          <t>1. The page for BR-A opens, with an 'Incidents and breaches' back link above the heading. The 'People &amp; notices' tab is shown.
2. 'Who it touched' says 'Nobody on the platform confirmed yet.' with 'Derive who it touched' and 'Add people from a list'. 'Telling the people it touched' says 'Nobody is listed as touched yet.' and shows a box 'Confirm who it touched first'.
3. An editor opens with 'Look in' set to 'The platform's own tables', 'Affected tables' with nothing ticked, 'Rows written from' and 'Rows written until', 'Another place to look' and a greyed-out 'Show what the records say'.
4. The place to look disappears. Anjali Verma is offered with an 'Add' button.
5. A chip 'Anjali Verma' appeared after 'Add'. After confirming, the message 'Revision &lt;n&gt; confirmed' (revision 1) with '&lt;n&gt; newly listed; &lt;m&gt; in all.' (1 and 1) appears and the editor closes.
6. It says 1 listed across 1 revision, and "Revision 1, &lt;date&gt; by Priya Menon:" with derived 0, left out 0, added by hand 1, newly listed 1, and the note. The table ('Person', 'How found', 'Reachable by', 'Revision') shows Anjali Verma, 'Added by the DPO', reachable by email, SMS and their account, revision 1.
7. A panel 'Add people from a list' opens: 'What the list holds' with 'People: name, email, mobile' (chosen) and 'Asset IDs', each with a hint; 'Download the template'; 'Choose the filled-in file'; greyed-out 'Check the file' and 'Add to the list'.
8. A CSV downloads. Its first line is name,email,mobile, followed by guidance lines starting with # and an example row for Asha Rao. Make uat-bre-people-01.csv from the test data and save it as CSV UTF-8.
9. The file name is shown and the button reads 'Choose another file'. The check shows 'Rows read', 'On the platform, to be listed' 0, 'Not on the platform, to be listed' 2, 'Already listed or repeated - skipped' 1 and 'Could not be read' 1. 'Rows that could not be read (&lt;n&gt;)' (1) lists row 4 with 'Neither an email nor a mobile'. 'Adding it takes the rows that can be read. Correct the others and send the file again - rows already listed are skipped.' Nothing has been added yet.
10. The message "2 people added to the list" with 'Send the approved notice to reach them: email and SMS, and the account of anyone on the platform.' appears and the panel closes.
11. A second revision line reads from a list of people, newly listed 2. Below: '&lt;n&gt; not on the platform - told by email and SMS.' (2) and a table 'Name', 'Email', 'Mobile', 'From' with UAT Contact 01 and UAT Contact 02 (mobile '—'), each with the badge 'People list'. 'Lists taken' shows the time, uat-bre-people-01.csv, Priya Menon and the counts: 0 on the platform, 2 not, 1 skipped, 1 unreadable.
12. 'Not on the platform, to be listed' is 0 and 'Already listed or repeated - skipped' is 3. A warning reads "Nothing in this file would be added: everybody in it is already listed." 'Add to the list' is greyed out. Click 'Cancel'.
13. It now says 0 of 3 listed people have been notified on every channel, and that 2 of them have no account and are told by email and SMS. The 'Confirm who it touched first' box is gone.</t>
        </is>
      </c>
      <c r="M126" s="11" t="inlineStr">
        <is>
          <t>A principal is listed by hand; a people list is checked before anything is written, unreadable rows are named by row number, the readable new people are taken as contacts of this breach, repeats are skipped, and everyone listed counts toward the notice.</t>
        </is>
      </c>
      <c r="N126" s="16" t="n"/>
      <c r="O126" s="17" t="n"/>
      <c r="P126" s="16" t="inlineStr">
        <is>
          <t>Not run</t>
        </is>
      </c>
      <c r="Q126" s="16" t="n"/>
      <c r="R126" s="16" t="n"/>
    </row>
    <row r="127">
      <c r="A127" s="10" t="inlineStr">
        <is>
          <t>BRE-10</t>
        </is>
      </c>
      <c r="B127" s="11" t="inlineStr">
        <is>
          <t>Breach and incidents</t>
        </is>
      </c>
      <c r="C127" s="11" t="inlineStr">
        <is>
          <t>The notice to the people it touched is drafted, refused while incomplete, approved, sent and accounted for</t>
        </is>
      </c>
      <c r="D127" s="11" t="inlineStr">
        <is>
          <t>Console - Telling the people it touched (draft, approve, send, delivery account); Principals notified; Board report (vi)</t>
        </is>
      </c>
      <c r="E127" s="11" t="inlineStr">
        <is>
          <t>DPO (Priya Menon) on console</t>
        </is>
      </c>
      <c r="F127" s="11" t="inlineStr">
        <is>
          <t>High</t>
        </is>
      </c>
      <c r="G127" s="11" t="inlineStr">
        <is>
          <t>Positive</t>
        </is>
      </c>
      <c r="H127" s="11" t="inlineStr">
        <is>
          <t>Core</t>
        </is>
      </c>
      <c r="I127" s="11" t="inlineStr">
        <is>
          <t>- The console is running at http://localhost:3000.
- The test coordinator can read the test outbox (backend/api/var/outbox.log) and relays codes, links and emails on request.
- The API, the worker and the one beat scheduler are running (the worker sends every email and SMS; the beat checks breach duties every 5 minutes).
- Priya Menon (DPO, dpo@cmp.local) is signed in to the console in Browser B (BRE-01 step 1).
- BRE-08 and BRE-09 have been run; three people are listed on BR-A (Anjali Verma and two contacts).</t>
        </is>
      </c>
      <c r="J127" s="11" t="inlineStr">
        <is>
          <t>- The five contents come pre-filled from the assessment; keep them, except:
- Who to contact (first, left empty to be refused); then: The Privacy Office, privacy@cmp.local, +91 20 0000 0000
- Detailed report: Submitted at: today, 1 minute before now; Reference returned: DPB-UAT-REP-01</t>
        </is>
      </c>
      <c r="K127" s="11" t="inlineStr">
        <is>
          <t>1. In the sidebar under 'Your work' click 'Breaches', then click the reference BR-A in the 'Reference' column. Click the 'People &amp; notices' tab.
2. Under 'Telling the people it touched' click 'Draft the notice'.
3. Empty the box 'Who to contact with questions (Rule 7(1)(e))'.
4. Click 'Approve'.
5. Type the contact from the test data, click 'Save draft', then 'Approve'.
6. Click 'Send version 1'.
7. Wait one minute and read the table and the line above it.
8. Click the 'Duties' tab.
9. Ask the coordinator to check the outbox for the notice.
10. Click 'Send version 1' again.
11. Click 'Documents for the Board' and read item (vi) of the detailed report.
12. Click 'The breach'. On 'Board - detailed report' click 'Record submission', enter the test data and click 'Record'.</t>
        </is>
      </c>
      <c r="L127" s="11" t="inlineStr">
        <is>
          <t>1. The page for BR-A opens, with an 'Incidents and breaches' back link above the heading. The 'People &amp; notices' tab is shown.
2. The message 'Draft started' with 'Complete all five, save, then approve.' appears. 'Version 1' with the badge 'Draft' shows five boxes: 'What happened - its nature, extent and timing (Rule 7(1)(a))', 'The consequences likely for her (Rule 7(1)(b))', 'What has been done, and is being done, to limit them (Rule 7(1)(c))', 'What she can do to protect herself (Rule 7(1)(d))' and 'Who to contact with questions (Rule 7(1)(e))', filled in from the assessment.
3. The line 'Save the draft before approving it.' appears and 'Approve' is greyed out. Click 'Save draft': the message 'Draft saved' appears.
4. The message 'Not done' with "A notice says all five things Rule 7(1) requires. Missing: Who to contact with questions (Rule 7(1)(e))" appears. The version is still 'Draft'.
5. The message 'Notice approved' with 'Send it when you are ready.' appears. 'Version 1' now has the badge 'Approved' with the time and Priya Menon, and shows the five contents as text - nothing can be edited. The buttons 'Start an updated notice' and 'Send version 1' are shown.
6. The message 'Version &lt;n&gt; sent' with 'Each email and SMS is sent by the worker.' appears. A table 'Version', 'Channel', 'Delivered', 'Queued', 'Failed' shows rows for 'Their account', 'Email' and 'SMS'.
7. Nothing is queued any longer. 'Their account' shows 1 delivered (Anjali), 'Email' 3 and 'SMS' 2 (UAT Contact 02 has no mobile); 'Failed' is 0. The line says 3 of 3 listed people have been notified on every channel. (If a delivery failed, 'Failed deliveries' lists it - note it as a finding.)
8. 'Principals notified' shows 'Done' with a time - it completed by delivery; nobody pressed a button for it.
9. An email to subject@cmp.local whose subject ends ': a personal data breach that may affect you', carrying BR-A and all five contents; an SMS to +91 90000 00001 saying a personal data breach may affect her data and pointing to her account; an email and an SMS for UAT Contact 01 and an email only for UAT Contact 02, carrying what happened, what to do and whom to ask. None names any other person.
10. The counts in the table do not change, and the coordinator finds no second copy for anyone: a resend writes only what is missing.
11. '(vi) The account of notices to the Data Principals affected' now says 3 of the 3 Data Principals listed as affected have been notified, and that 2 have no account and were written to by email and SMS, with a table 'Version', 'Approved', 'Channel', 'Delivered', 'Queued', 'Failed'.
12. The row shows 'Done' with DPB-UAT-REP-01. The 'Close' card's 'Not yet' box no longer lists any duty.</t>
        </is>
      </c>
      <c r="M127" s="11" t="inlineStr">
        <is>
          <t>The notice cannot be approved with any of the five missing, an approved notice is frozen, sending reaches each person's account, email and SMS (contacts by email and SMS only), a resend duplicates nothing, 'Principals notified' completes by delivery and the Board's report carries the account.</t>
        </is>
      </c>
      <c r="N127" s="16" t="n"/>
      <c r="O127" s="17" t="n"/>
      <c r="P127" s="16" t="inlineStr">
        <is>
          <t>Not run</t>
        </is>
      </c>
      <c r="Q127" s="16" t="n"/>
      <c r="R127" s="16" t="n"/>
    </row>
    <row r="128">
      <c r="A128" s="10" t="inlineStr">
        <is>
          <t>BRE-11</t>
        </is>
      </c>
      <c r="B128" s="11" t="inlineStr">
        <is>
          <t>Breach and incidents</t>
        </is>
      </c>
      <c r="C128" s="11" t="inlineStr">
        <is>
          <t>The data principal reads the breach notice on the portal, and an update appears above it</t>
        </is>
      </c>
      <c r="D128" s="11" t="inlineStr">
        <is>
          <t>Portal - Updates; Personal data breach notices; Console - Start an updated notice</t>
        </is>
      </c>
      <c r="E128" s="11" t="inlineStr">
        <is>
          <t>Data principal (Anjali Verma) on portal; DPO</t>
        </is>
      </c>
      <c r="F128" s="11" t="inlineStr">
        <is>
          <t>High</t>
        </is>
      </c>
      <c r="G128" s="11" t="inlineStr">
        <is>
          <t>Positive</t>
        </is>
      </c>
      <c r="H128" s="11" t="inlineStr">
        <is>
          <t>Core</t>
        </is>
      </c>
      <c r="I128" s="11" t="inlineStr">
        <is>
          <t>- The portal is running at http://localhost:3001 and Anjali Verma (subject@cmp.local / +91 90000 00001) can sign in to it.
- The console is running at http://localhost:3000.
- The test coordinator can read the test outbox (backend/api/var/outbox.log) and relays codes, links and emails on request.
- Use two separate browsers or browser profiles: Browser A for the portal (the data principal or nominee) and Browser B for the console (staff). The two sites share one sign-in on this machine, so one browser cannot hold both sessions.
- BRE-10 has been run; version 1 of BR-A's notice was delivered to Anjali Verma's account.
- Priya Menon (DPO, dpo@cmp.local) is signed in to the console in Browser B (BRE-01 step 1).</t>
        </is>
      </c>
      <c r="J128" s="11" t="inlineStr">
        <is>
          <t>- Version 2, 'What has been done, and is being done, to limit them': The laptop was recovered by the taxi company on &lt;date&gt; and has been wiped. Tester01.</t>
        </is>
      </c>
      <c r="K128" s="11" t="inlineStr">
        <is>
          <t>1. In Browser A open http://localhost:3001/sign-in. Under 'Sign in with' choose 'Email', type subject@cmp.local in 'Email address' and click 'Send me a code'. Ask the coordinator for the code, type it in 'Six-digit code' and click 'Verify'.
2. In the sidebar click 'Updates'.
3. Open the entry and follow its link, or open http://localhost:3001/breach-notices.
4. Read the card.
5. In Browser B (DPO) open BR-A, tab 'People &amp; notices', click 'Start an updated notice'. Change 'What has been done, and is being done, to limit them (Rule 7(1)(c))' to the test data, click 'Save draft', 'Approve', then 'Send version &lt;n&gt;' (version 2).
6. In Browser A reload 'Personal data breach notices'.
7. Ask the coordinator to check the outbox for mail to subject@cmp.local.</t>
        </is>
      </c>
      <c r="L128" s="11" t="inlineStr">
        <is>
          <t>1. A 'Check your messages' box appears after the first click. After 'Verify' you are signed in and the 'My consents' page opens; the sidebar shows 'My consents' and 'My requests'.
2. The newest entry is about the breach notice, with the line 'We wrote to tell you about a personal data breach that may affect your data: what happened, what it may mean for you, and what you can do.' and a link naming the 'Notice about personal data breach' with BR-A.
3. The page 'Personal data breach notices' opens with 'When a breach may affect your personal data, we tell you here and by your registered email or mobile: what happened, what it may mean for you, what we are doing, what you can do, and whom to ask.' One card is headed BR-A, with 'Written to your account &lt;date and time&gt;'.
4. Five sections in order - 'What happened', 'What it may mean for you', 'What we have done, and are doing', 'What you can do', 'Questions' - with the words approved in BRE-10. No INC- reference, incident title, other person's name or staff name appears.
5. 'Update started' appears and 'Version &lt;n&gt;' (2) 'Draft' opens with version 1's words. After approving, 'Send version &lt;n&gt;' is offered; after sending, the table gains rows for version 2 that move from 'Queued' to 'Delivered'.
6. Two cards: the top one headed BR-A with '- update &lt;n&gt;' (update 1) and the new words under 'What we have done, and are doing'; the original below it, unchanged.
7. A second notice email to subject@cmp.local carries the updated words; UAT Contact 01 and 02 also have a second email.</t>
        </is>
      </c>
      <c r="M128" s="11" t="inlineStr">
        <is>
          <t>The notice the office sent is in her account with the five contents in plain words and her own updates feed points to it; an updated notice is a new version shown above the earlier one, which stays.</t>
        </is>
      </c>
      <c r="N128" s="16" t="n"/>
      <c r="O128" s="17" t="n"/>
      <c r="P128" s="16" t="inlineStr">
        <is>
          <t>Not run</t>
        </is>
      </c>
      <c r="Q128" s="16" t="n"/>
      <c r="R128" s="16" t="n"/>
    </row>
    <row r="129">
      <c r="A129" s="10" t="inlineStr">
        <is>
          <t>BRE-12</t>
        </is>
      </c>
      <c r="B129" s="11" t="inlineStr">
        <is>
          <t>Breach and incidents</t>
        </is>
      </c>
      <c r="C129" s="11" t="inlineStr">
        <is>
          <t>A breach ticket to a member of staff: answered in My tasks, sent back, returned and closed</t>
        </is>
      </c>
      <c r="D129" s="11" t="inlineStr">
        <is>
          <t>Console - Tickets tab (Assign a ticket, Send back, Close the ticket); My tasks - Breach tickets</t>
        </is>
      </c>
      <c r="E129" s="11" t="inlineStr">
        <is>
          <t>DPO; R&amp;D User (Kavya Rao)</t>
        </is>
      </c>
      <c r="F129" s="11" t="inlineStr">
        <is>
          <t>High</t>
        </is>
      </c>
      <c r="G129" s="11" t="inlineStr">
        <is>
          <t>Positive</t>
        </is>
      </c>
      <c r="H129" s="11" t="inlineStr">
        <is>
          <t>S3-08</t>
        </is>
      </c>
      <c r="I129" s="11" t="inlineStr">
        <is>
          <t>- The console is running at http://localhost:3000.
- The test coordinator can read the test outbox (backend/api/var/outbox.log) and relays codes, links and emails on request.
- The API, the worker and the one beat scheduler are running (the worker sends every email and SMS; the beat checks breach duties every 5 minutes).
- BREACH_TICKET_EMAIL_DOMAINS is left at its default (cmp.local): any @cmp.local address counts as internal, any @example.org address does not.
- Priya Menon (DPO, dpo@cmp.local) is signed in to the console in Browser B (BRE-01 step 1).
- Two more browser windows are available: Browser C (a second profile) for Kavya Rao, and Browser D (a private window) for the temporary ticket holder.
- BRE-06 has been run; BR-A is open.
- A small text file sync-log-01.txt to attach.</t>
        </is>
      </c>
      <c r="J129" s="11" t="inlineStr">
        <is>
          <t>- Who: Kavya Rao (rnd@cmp.local)
- What you are asking them to do: Please confirm whether the contact sheet on LT-UAT-01 was synced to the shared drive, and attach the sync log. Tester01.
- Answer by: 3 days from today
- Kavya's message: Checking with IT now.
- First return: Did only part of it - Sync log attached; could not reach IT about the backup. File: sync-log-01.txt
- Send-back reason: Please confirm the backup as well.
- Second return: Did all of it - Backup checked: no copy of the sheet exists.</t>
        </is>
      </c>
      <c r="K129" s="11" t="inlineStr">
        <is>
          <t>1. In the sidebar under 'Your work' click 'Breaches', then click the reference BR-A in the 'Reference' column. Click the 'Tickets' tab.
2. Click 'Assign a ticket'.
3. Type Kavya in 'Find them', choose Kavya Rao · rnd@cmp.local in 'Who', type the instruction, set 'Answer by' and click 'Assign'.
4. Ask the coordinator to check the outbox for mail to rnd@cmp.local.
5. In Browser C open http://localhost:3000. Type rnd@cmp.local in 'Email or username' and SeedPassw0rd!2026 in 'Password' and click 'Sign in'. If the 'Verify it is you' page appears, ask the coordinator for the code, type it in '6-digit code' and click 'Verify and continue'.
6. In Browser C click 'My tasks' in the sidebar.
7. Click 'Respond'. Type Kavya's message and click 'Send'.
8. Click 'Respond' again. Type the first return's words, tick 'This is my return' without choosing what was done, and click 'Return the ticket'.
9. In 'When you return the ticket: what was done?' choose 'Did only part of it', attach sync-log-01.txt and click 'Return the ticket'.
10. In Browser B reload the 'Tickets' tab and click 'Dashboard'. Ask the coordinator for mail to dpo@cmp.local.
11. Open BR-A's 'Tickets' tab, click 'Open' on Kavya's row, then 'Send back'. Type the reason in 'What is missing or wrong? The holder reads this.' and click 'Send back'.
12. Ask the coordinator for mail to rnd@cmp.local. In Browser C reload 'My tasks', click 'Respond', and return the ticket with 'Did all of it' and the second return's words.
13. In Browser B open Kavya's ticket and click 'Close the ticket'.
14. In Browser C reload 'My tasks' and click 'Open' on the card.</t>
        </is>
      </c>
      <c r="L129" s="11" t="inlineStr">
        <is>
          <t>1. The page for BR-A opens, with an 'Incidents and breaches' back link above the heading. The 'Tickets' tab is shown.
2. A dialog 'Assign a ticket' opens with 'To somebody on the organisation's own email domains. They see the breach reference, your instruction and the thread - nothing else from the register.' It offers 'A member of staff' (chosen) and 'Someone without a console login', then 'Find them', 'Who' ('Choose a member of staff'), 'What you are asking them to do', 'Answer by' and a greyed-out 'Assign'.
3. The message 'Ticket assigned' with 'They are emailed that a ticket is waiting; the email names no breach.' appears. The table ('Holder', 'State', 'Answer by', 'Last activity') shows Kavya Rao, 'Waiting on the holder', the date, and an 'Open' button. There is no 'Temporary login' badge.
4. An email 'A ticket from the &lt;organisation&gt; Privacy Office is waiting for you' with a link to the console. It names no breach: no BR-A, no title, no words of the instruction.
5. The Dashboard opens, signed in as Kavya Rao (R&amp;D User). A queue on the dashboard lists BR-A with 'Answer the Privacy Office's breach ticket'.
6. The page 'My tasks' opens. A section 'Breach tickets · &lt;n&gt; open' (1) holds a card: BR-A, the badges 'Personal data breach' and 'Waiting on the holder', 'From the Privacy Office · &lt;date&gt;', 'Answer by &lt;date&gt;', 'What you are asked' with the instruction, and the buttons 'Respond' and 'Add a colleague'. Nothing else about the breach is shown - no title, no people.
7. The dialog '&lt;reference&gt; · breach ticket' showed 'Everything said so far, and your response. Tick the box to make a response your return.', the instruction in the thread, 'When you return the ticket: what was done?', the message box, 'Attach a file' and the box 'This is my return'. After 'Send' the message 'Message sent' with 'The Privacy Office can see it.' appears and the dialog closes.
8. The button read 'Return the ticket' once the box was ticked. An error says 'Choose what was done before returning the ticket.' Nothing is returned.
9. The message 'Ticket returned' appears. The card shows 'Returned' and an 'Open' button in place of 'Respond'.
10. Kavya Rao's row reads 'Returned' with a '&lt;n&gt; new' badge. 'Needs attention' lists 'Breach tickets returned'. An email says Kavya Rao answered their ticket on BR-A.
11. The dialog 'Ticket for &lt;name&gt;' (Kavya Rao) showed the thread - her message, her return marked 'Returned' with the file and a 'download' link - and the buttons 'Send back', 'Close the ticket' and 'Withdraw'. After sending back, 'Sent back' appears, the state is 'Waiting on the holder' and the thread ends with 'Sent back by the Privacy Office' and the reason.
12. A new 'is waiting for you' email to rnd@cmp.local names no breach. The card was 'Waiting on the holder' with the reason in the thread; after returning, 'Ticket returned' appears.
13. No reason is asked. 'Ticket closed' appears; the state is 'Closed'; the message box is replaced by 'This ticket is not open; reopen it to write.' and 'Reopen' is offered.
14. The section reads 'Breach tickets · &lt;n&gt; open' (0); the card shows 'Closed'. The dialog says 'Everything said is kept. Only the Privacy Office closes a ticket.' and, in place of the message box, 'This ticket is closed. Nothing further is needed from you.'</t>
        </is>
      </c>
      <c r="M129" s="11" t="inlineStr">
        <is>
          <t>A member of staff is asked by a ticket that names only the breach reference; they write and return it with an outcome in 'My tasks'; the DPO sends it back with a reason and closes it; emails never name the breach.</t>
        </is>
      </c>
      <c r="N129" s="16" t="n"/>
      <c r="O129" s="17" t="n"/>
      <c r="P129" s="16" t="inlineStr">
        <is>
          <t>Not run</t>
        </is>
      </c>
      <c r="Q129" s="16" t="n"/>
      <c r="R129" s="16" t="n"/>
    </row>
    <row r="130">
      <c r="A130" s="10" t="inlineStr">
        <is>
          <t>BRE-13</t>
        </is>
      </c>
      <c r="B130" s="11" t="inlineStr">
        <is>
          <t>Breach and incidents</t>
        </is>
      </c>
      <c r="C130" s="11" t="inlineStr">
        <is>
          <t>Breach tickets are refused before recording, to outside addresses, without a name, twice to one person and with a past date</t>
        </is>
      </c>
      <c r="D130" s="11" t="inlineStr">
        <is>
          <t>Console - Tickets tab - Assign a ticket - refusals</t>
        </is>
      </c>
      <c r="E130" s="11" t="inlineStr">
        <is>
          <t>DPO (Priya Menon) on console</t>
        </is>
      </c>
      <c r="F130" s="11" t="inlineStr">
        <is>
          <t>Medium</t>
        </is>
      </c>
      <c r="G130" s="11" t="inlineStr">
        <is>
          <t>Negative</t>
        </is>
      </c>
      <c r="H130" s="11" t="inlineStr">
        <is>
          <t>S3-08</t>
        </is>
      </c>
      <c r="I130" s="11" t="inlineStr">
        <is>
          <t>- The console is running at http://localhost:3000.
- The test coordinator can read the test outbox (backend/api/var/outbox.log) and relays codes, links and emails on request.
- BREACH_TICKET_EMAIL_DOMAINS is left at its default (cmp.local): any @cmp.local address counts as internal, any @example.org address does not.
- Priya Menon (DPO, dpo@cmp.local) is signed in to the console in Browser B (BRE-01 step 1).
- BRE-12 has been run: Kavya Rao holds a ticket on BR-A. INC-B is still being validated.</t>
        </is>
      </c>
      <c r="J130" s="11" t="inlineStr">
        <is>
          <t>- Outside address: tester01@example.org, name UAT Outsider 01
- Internal address with no account, no name: tester01.nobody@cmp.local
- Instruction (each time): Please check the access log. Tester01.
- Past date: yesterday; member of staff: Meera Iyer (rco@cmp.local)</t>
        </is>
      </c>
      <c r="K130" s="11" t="inlineStr">
        <is>
          <t>1. In the sidebar under 'Your work' click 'Breaches', then click the reference INC-B in the 'Reference' column. Click the 'Tickets' tab.
2. Read the tab.
3. Open BR-A's 'Tickets' tab, click 'Assign a ticket' and choose 'Someone without a console login'.
4. Enter the outside address and name and the instruction, and click 'Assign'.
5. Clear 'Their name', change the email to tester01.nobody@cmp.local and click 'Assign'.
6. Choose 'A member of staff', pick Kavya Rao in 'Who' and click 'Assign'.
7. Choose 'Someone without a console login', type rnd@cmp.local in 'Their work email' and click 'Assign'.
8. Choose 'A member of staff', pick Meera Iyer, set 'Answer by' to yesterday and click 'Assign'.
9. Look at the table and ask the coordinator to check the outbox.</t>
        </is>
      </c>
      <c r="L130" s="11" t="inlineStr">
        <is>
          <t>1. The page for INC-B opens, with an 'Incidents and breaches' back link above the heading. The 'Tickets' tab is shown.
2. A box 'Tickets wait for the breach to be recorded' reads 'A ticket reaches a person on the breach's account, so it is assigned once validation records this as a personal data breach.' There is no 'Assign a ticket' button.
3. A note explains the login for this breach only, then 'Their name' (hint 'Needed when nobody has an account at this address'), 'Their work email' (hint 'On one of the organisation's own domains') and 'Their mobile' ('Optional'). 'Assign' is greyed out until the email and the instruction are filled.
4. The message 'Not assigned' with 'Breach tickets go to internal staff only: this email address is not on one of the organisation's own domains' appears. The message does not repeat the address.
5. The message 'Not assigned' with 'Give their name: nobody has an account at this address' appears.
6. The message 'Not assigned' with 'This person already holds a ticket on this breach' appears.
7. The same 'This person already holds a ticket on this breach' - an address with a console login is treated as that person.
8. The message 'Not assigned' with 'The answer-by date has already passed' appears. Click 'Cancel'.
9. Only Kavya Rao's ticket is listed. No email went to tester01@example.org, tester01.nobody@cmp.local or rco@cmp.local.</t>
        </is>
      </c>
      <c r="M130" s="11" t="inlineStr">
        <is>
          <t>No ticket can be assigned before the breach is recorded, to an address outside the organisation's domains, to a new address without a name, a second time to the same person, or with an answer-by date in the past; nothing is sent.</t>
        </is>
      </c>
      <c r="N130" s="16" t="n"/>
      <c r="O130" s="17" t="n"/>
      <c r="P130" s="16" t="inlineStr">
        <is>
          <t>Not run</t>
        </is>
      </c>
      <c r="Q130" s="16" t="n"/>
      <c r="R130" s="16" t="n"/>
    </row>
    <row r="131">
      <c r="A131" s="10" t="inlineStr">
        <is>
          <t>BRE-14</t>
        </is>
      </c>
      <c r="B131" s="11" t="inlineStr">
        <is>
          <t>Breach and incidents</t>
        </is>
      </c>
      <c r="C131" s="11" t="inlineStr">
        <is>
          <t>An internal person with no console login is given a temporary login, answers in My tasks and adds a colleague</t>
        </is>
      </c>
      <c r="D131" s="11" t="inlineStr">
        <is>
          <t>Console - Assign a ticket to 'Someone without a console login'; temporary login; Set your password; My tasks; Add a colleague</t>
        </is>
      </c>
      <c r="E131" s="11" t="inlineStr">
        <is>
          <t>DPO; temporary ticket holder</t>
        </is>
      </c>
      <c r="F131" s="11" t="inlineStr">
        <is>
          <t>High</t>
        </is>
      </c>
      <c r="G131" s="11" t="inlineStr">
        <is>
          <t>Positive</t>
        </is>
      </c>
      <c r="H131" s="11" t="inlineStr">
        <is>
          <t>S3-09</t>
        </is>
      </c>
      <c r="I131" s="11" t="inlineStr">
        <is>
          <t>- The console is running at http://localhost:3000.
- The test coordinator can read the test outbox (backend/api/var/outbox.log) and relays codes, links and emails on request.
- The API, the worker and the one beat scheduler are running (the worker sends every email and SMS; the beat checks breach duties every 5 minutes).
- BREACH_TICKET_EMAIL_DOMAINS is left at its default (cmp.local): any @cmp.local address counts as internal, any @example.org address does not.
- Priya Menon (DPO, dpo@cmp.local) is signed in to the console in Browser B (BRE-01 step 1).
- Two more browser windows are available: Browser C (a second profile) for Kavya Rao, and Browser D (a private window) for the temporary ticket holder.
- BRE-12 has been run; BR-A is open.
- tester01.holder@cmp.local and tester01.colleague@cmp.local have no account on the platform (check 'Users' as the Administrator if unsure).</t>
        </is>
      </c>
      <c r="J131" s="11" t="inlineStr">
        <is>
          <t>- Their name: UAT Holder 01; Their work email: tester01.holder@cmp.local; Their mobile: +91 90000 01201
- What you are asking them to do: Please check the taxi company's lost-property log and tell us what you find. Tester01.
- New password: UatHolder01!Pass
- Colleague: UAT Colleague 01, tester01.colleague@cmp.local; note: Please confirm the laptop's encryption status. Tester01.
- Holder's return: Did all of it - The taxi company has no laptop in its lost-property log.</t>
        </is>
      </c>
      <c r="K131" s="11" t="inlineStr">
        <is>
          <t>1. In Browser B open BR-A's 'Tickets' tab, click 'Assign a ticket' and choose 'Someone without a console login'.
2. Enter the holder's name, email, mobile and the instruction, and click 'Assign'.
3. Ask the coordinator for the email to tester01.holder@cmp.local.
4. In Browser D open the link from the email.
5. Type the code and UatHolder01!Pass twice, and click 'Set the new password'.
6. Sign in with tester01.holder@cmp.local and UatHolder01!Pass. On 'Verify it is you' type the code the coordinator relays and click 'Verify and continue'.
7. Read the page.
8. In the address bar type http://localhost:3000/breaches and press Enter.
9. Go back to 'My tasks'. In Browser B reload BR-A's 'Tickets' tab.
10. In Browser D click 'Add a colleague', fill in the colleague from the test data and click 'Add'.
11. In Browser B reload the 'Tickets' tab and ask the coordinator for mail to tester01.colleague@cmp.local.
12. In Browser D click 'Respond', choose 'Did all of it', type the return, tick 'This is my return' and click 'Return the ticket'.</t>
        </is>
      </c>
      <c r="L131" s="11" t="inlineStr">
        <is>
          <t>1. The note reads 'They are given a login for this breach only: they set a password from the email, sign in with a code like all staff, and see only their ticket. It ends when you withdraw their ticket or the breach closes. If the address already has a console login, the ticket goes to it as usual.'
2. The message 'Ticket assigned' with 'They are emailed how to sign in, or that a ticket is waiting if they already can; the email names no breach.' appears. A row UAT Holder 01 shows the badge 'Temporary login · not yet signed in' and 'Waiting on the holder'.
3. An email 'The &lt;organisation&gt; Privacy Office has asked for your help' gives temporary access to the console to answer a ticket, says that when the matter is closed they can still read it but no longer answer it, and carries a set-password link and a code. It names no breach.
4. The page 'Set your password' opens with 'Enter the code sent to &lt;email&gt; and choose a password...' (tester01.holder@cmp.local), and the fields 'Code', 'New password' and 'Confirm new password' with a 'Set the new password' button.
5. A green box 'Password changed' reads 'Every other session has been signed out. Taking you to sign in…' and the sign-in page opens.
6. The page 'My tasks' opens (not a dashboard). The sidebar under 'Your work' shows only 'My tasks'.
7. 'Breach tickets · &lt;n&gt; open' (1) with one card: BR-A, 'Personal data breach', 'Waiting on the holder', 'What you are asked' with the instruction, 'Respond' and 'Add a colleague'. Nothing else about the breach or any other work is shown.
8. The box 'Not part of your account' with 'This section belongs to a different role, so there is nothing here for you.' is shown - no register.
9. UAT Holder 01's badge now reads 'Temporary login'.
10. The dialog 'Add a colleague' asked for 'Their name', 'Their work email', 'Their mobile' and 'What you are asking them to do'. The message 'Colleague added' with 'They have their own ticket on this, opening with your note, and are emailed about it. The Privacy Office can see that you added them.' appears.
11. A row UAT Colleague 01, indented under UAT Holder 01, with 'added by &lt;name&gt;' (UAT Holder 01), 'Temporary login · not yet signed in' and 'Waiting on the holder'. The colleague has the same 'asked for your help' email, naming no breach.
12. The message 'Ticket returned' appears; the card reads 'Returned'. In Browser B the holder's row reads 'Returned'.</t>
        </is>
      </c>
      <c r="M131" s="11" t="inlineStr">
        <is>
          <t>An internal address with no console login gets a breach-only login by email, sets a password, signs in with a code and sees only its ticket in 'My tasks'; the register stays closed to it; it can add a colleague who gets their own ticket; the office sees whose login it is and whether it is in use.</t>
        </is>
      </c>
      <c r="N131" s="16" t="n"/>
      <c r="O131" s="17" t="n"/>
      <c r="P131" s="16" t="inlineStr">
        <is>
          <t>Not run</t>
        </is>
      </c>
      <c r="Q131" s="16" t="n"/>
      <c r="R131" s="16" t="n"/>
    </row>
    <row r="132">
      <c r="A132" s="10" t="inlineStr">
        <is>
          <t>BRE-15</t>
        </is>
      </c>
      <c r="B132" s="11" t="inlineStr">
        <is>
          <t>Breach and incidents</t>
        </is>
      </c>
      <c r="C132" s="11" t="inlineStr">
        <is>
          <t>Withdrawing a temporary holder's ticket leaves a read-only login; reopening it lets them answer again</t>
        </is>
      </c>
      <c r="D132" s="11" t="inlineStr">
        <is>
          <t>Console - ticket Withdraw / Reopen / Close the ticket; temporary login read only</t>
        </is>
      </c>
      <c r="E132" s="11" t="inlineStr">
        <is>
          <t>DPO; temporary ticket holder</t>
        </is>
      </c>
      <c r="F132" s="11" t="inlineStr">
        <is>
          <t>High</t>
        </is>
      </c>
      <c r="G132" s="11" t="inlineStr">
        <is>
          <t>Positive</t>
        </is>
      </c>
      <c r="H132" s="11" t="inlineStr">
        <is>
          <t>S3-09</t>
        </is>
      </c>
      <c r="I132" s="11" t="inlineStr">
        <is>
          <t>- The console is running at http://localhost:3000.
- The test coordinator can read the test outbox (backend/api/var/outbox.log) and relays codes, links and emails on request.
- The API, the worker and the one beat scheduler are running (the worker sends every email and SMS; the beat checks breach duties every 5 minutes).
- Priya Menon (DPO, dpo@cmp.local) is signed in to the console in Browser B (BRE-01 step 1).
- BRE-14 has been run; UAT Holder 01 is signed in to the console in Browser D and their ticket is 'Returned'.</t>
        </is>
      </c>
      <c r="J132" s="11" t="inlineStr">
        <is>
          <t>- Withdraw reason: Found by the taxi company; no further check needed. Tester01.
- Reopen reason: Please also confirm the date the laptop was handed in. Tester01.
- Holder's second return: Did all of it - Handed in on &lt;date&gt;.
- Colleague withdraw reason: Encryption status confirmed by IT directly. Tester01.</t>
        </is>
      </c>
      <c r="K132" s="11" t="inlineStr">
        <is>
          <t>1. In Browser B on BR-A's 'Tickets' tab click 'Open' on UAT Holder 01's row.
2. Click 'Withdraw', type the reason in 'Why is it withdrawn? The holder reads this.' and click 'Withdraw'.
3. In Browser D reload 'My tasks'.
4. Click 'Open' on the card.
5. In Browser D sign out and sign in again with tester01.holder@cmp.local, UatHolder01!Pass and a relayed code.
6. In Browser B open the ticket again, click 'Reopen', type the reason in 'Why is it reopened? The holder reads this.' and click 'Reopen'.
7. Ask the coordinator for mail to tester01.holder@cmp.local.
8. In Browser D reload 'My tasks', click 'Respond' and return the ticket with the second return.
9. In Browser B open the ticket and click 'Close the ticket'.
10. Open UAT Colleague 01's ticket, click 'Withdraw', type the colleague reason and click 'Withdraw'.
11. Look at the 'Tickets' tab and the 'Close' card.</t>
        </is>
      </c>
      <c r="L132" s="11" t="inlineStr">
        <is>
          <t>1. The dialog 'Ticket for &lt;name&gt;' (UAT Holder 01) shows the badges 'Returned' and 'Temporary login', the thread, and 'Send back', 'Close the ticket' and 'Withdraw'.
2. 'Ticket withdrawn' appears. The state is 'Withdrawn', the badge 'Temporary login · read only', the thread ends with 'Withdrawn by the Privacy Office' and the reason, and only 'Reopen' is offered.
3. They are still signed in. The section reads 'Breach tickets · &lt;n&gt; open' (0); the card shows 'Withdrawn' with only an 'Open' button - no 'Respond', no 'Add a colleague'.
4. The thread shows the withdrawal and its reason. In place of the message box: 'This ticket is closed. Nothing further is needed from you.'
5. Sign-in works: the login stays. 'My tasks' opens with the withdrawn ticket, read only.
6. 'Ticket reopened' appears. The state is 'Waiting on the holder' and the badge 'Temporary login'.
7. A new email tells them a ticket is waiting; it names no breach.
8. The card was 'Waiting on the holder' with 'Respond' and 'Add a colleague' back, and the reopen reason in the thread. 'Ticket returned' appears.
9. 'Ticket closed' appears; the state is 'Closed'.
10. 'Ticket withdrawn' appears; the colleague's row reads 'Withdrawn' with 'Temporary login · read only'.
11. No ticket is 'Waiting on the holder' or 'Returned'. The 'Close' card no longer lists an open breach ticket.</t>
        </is>
      </c>
      <c r="M132" s="11" t="inlineStr">
        <is>
          <t>Withdrawing a temporary holder's ticket ends their part: the login stays and reads the ticket but cannot write; reopening restores their part and emails them; only the DPO closes the ticket.</t>
        </is>
      </c>
      <c r="N132" s="16" t="n"/>
      <c r="O132" s="17" t="n"/>
      <c r="P132" s="16" t="inlineStr">
        <is>
          <t>Not run</t>
        </is>
      </c>
      <c r="Q132" s="16" t="n"/>
      <c r="R132" s="16" t="n"/>
    </row>
    <row r="133">
      <c r="A133" s="10" t="inlineStr">
        <is>
          <t>BRE-16</t>
        </is>
      </c>
      <c r="B133" s="11" t="inlineStr">
        <is>
          <t>Breach and incidents</t>
        </is>
      </c>
      <c r="C133" s="11" t="inlineStr">
        <is>
          <t>The breach closes when nothing is outstanding, is read only while closed, and reopens with a reason</t>
        </is>
      </c>
      <c r="D133" s="11" t="inlineStr">
        <is>
          <t>Console - Close the breach / Reopen the breach; Activity - History; read-only tickets after close</t>
        </is>
      </c>
      <c r="E133" s="11" t="inlineStr">
        <is>
          <t>DPO; temporary ticket holder; R&amp;D User</t>
        </is>
      </c>
      <c r="F133" s="11" t="inlineStr">
        <is>
          <t>High</t>
        </is>
      </c>
      <c r="G133" s="11" t="inlineStr">
        <is>
          <t>Positive</t>
        </is>
      </c>
      <c r="H133" s="11" t="inlineStr">
        <is>
          <t>Core</t>
        </is>
      </c>
      <c r="I133" s="11" t="inlineStr">
        <is>
          <t>- The console is running at http://localhost:3000.
- Priya Menon (DPO, dpo@cmp.local) is signed in to the console in Browser B (BRE-01 step 1).
- BRE-01 to BRE-15 have been run: on BR-A every duty is 'Done', Kavya's and UAT Holder 01's tickets are 'Closed' and UAT Colleague 01's is 'Withdrawn'.
- UAT Holder 01 is signed in in Browser D and Kavya Rao in Browser C.</t>
        </is>
      </c>
      <c r="J133" s="11" t="inlineStr">
        <is>
          <t>- Reopen reason: The taxi company found a second device from the same team. Tester01.</t>
        </is>
      </c>
      <c r="K133" s="11" t="inlineStr">
        <is>
          <t>1. In the sidebar under 'Your work' click 'Breaches', then click the reference BR-A in the 'Reference' column.
2. Read the 'Close' card.
3. Click 'Close the breach'.
4. Go through the tabs.
5. On the 'Tickets' tab read the badges.
6. In Browser D reload 'My tasks' and open the ticket. In Browser C (Kavya) do the same.
7. In Browser B click 'Breaches' and set 'Show' to 'Closed'; then open 'Dashboard'.
8. Open BR-A. In 'Why it is being reopened' type the reason and click 'Reopen the breach'.
9. Look at the 'Tickets' tab.
10. Click the 'Activity' tab.
11. Click 'Close the breach' again.</t>
        </is>
      </c>
      <c r="L133" s="11" t="inlineStr">
        <is>
          <t>1. The page for BR-A opens, with an 'Incidents and breaches' back link above the heading.
2. There is no 'Not yet' box and 'Close the breach' is available. (If a 'Not yet' box is shown, write down its lines - they name what is still outstanding - and clear them first.)
3. 'Breach closed' appears. The badge reads 'Closed'. The card becomes 'Reopen' with 'Why it is being reopened' and a greyed-out 'Reopen the breach'.
4. Nothing can be recorded: 'Duties' has no 'Record...' buttons; 'Validation' has no form; 'Assessment' has no 'Revise the assessment'; 'People &amp; notices' has no 'Revise the list', 'Add people from a list' or 'Start an updated notice'; 'Tickets' has no 'Assign a ticket'; 'Attachments' has no 'Attach a file' and says 'The breach is closed: reopen it to attach more.'
5. UAT Holder 01's row now reads 'Temporary login · read only' - closing the breach ended their part. Kavya Rao's row has no badge.
6. Both still see the ticket, 'Closed', with only 'Open' and 'This ticket is closed. Nothing further is needed from you.' The holder is still signed in; Kavya's own menu is unchanged.
7. BR-A is listed as 'Closed'. The dashboard's 'Open breaches' card no longer lists BR-A.
8. 'Reopen the breach' was greyed out until the reason was typed. 'Breach reopened' appears; the badge reads 'Open' and the 'Close' card is back.
9. The tickets keep their states ('Closed', 'Withdrawn') - reopening the breach reopens nobody's ticket - and UAT Holder 01 is still 'Temporary login · read only'.
10. 'History', newest first: 'Closed' → 'Open' with the reopen reason in quotation marks, 'Open' → 'Closed', and 'Logged as' 'Open', each with Priya Menon and the time.
11. 'Breach closed' appears; BR-A is closed again.</t>
        </is>
      </c>
      <c r="M133" s="11" t="inlineStr">
        <is>
          <t>The breach closes only when validated, every duty is done and no ticket is open; while closed nothing can be recorded and ticket holders keep a read-only view; reopening needs a reason, is kept in the history and reopens no ticket.</t>
        </is>
      </c>
      <c r="N133" s="16" t="n"/>
      <c r="O133" s="17" t="n"/>
      <c r="P133" s="16" t="inlineStr">
        <is>
          <t>Not run</t>
        </is>
      </c>
      <c r="Q133" s="16" t="n"/>
      <c r="R133" s="16" t="n"/>
    </row>
    <row r="134">
      <c r="A134" s="10" t="inlineStr">
        <is>
          <t>BRE-17</t>
        </is>
      </c>
      <c r="B134" s="11" t="inlineStr">
        <is>
          <t>Breach and incidents</t>
        </is>
      </c>
      <c r="C134" s="11" t="inlineStr">
        <is>
          <t>The administrator ends a temporary login with 'End temporary access'</t>
        </is>
      </c>
      <c r="D134" s="11" t="inlineStr">
        <is>
          <t>Console - Users - End temporary access</t>
        </is>
      </c>
      <c r="E134" s="11" t="inlineStr">
        <is>
          <t>Administrator; temporary ticket holder</t>
        </is>
      </c>
      <c r="F134" s="11" t="inlineStr">
        <is>
          <t>High</t>
        </is>
      </c>
      <c r="G134" s="11" t="inlineStr">
        <is>
          <t>Positive</t>
        </is>
      </c>
      <c r="H134" s="11" t="inlineStr">
        <is>
          <t>S3-09</t>
        </is>
      </c>
      <c r="I134" s="11" t="inlineStr">
        <is>
          <t>- The console is running at http://localhost:3000.
- The test coordinator can read the test outbox (backend/api/var/outbox.log) and relays codes, links and emails on request.
- BRE-16 has been run; UAT Holder 01 (tester01.holder@cmp.local) still has a read-only login and is signed in in Browser D; UAT Colleague 01 never set a password.</t>
        </is>
      </c>
      <c r="J134" s="11" t="inlineStr">
        <is>
          <t>- Account: tester01.holder@cmp.local (UAT Holder 01)
- Account: tester01.colleague@cmp.local (UAT Colleague 01)</t>
        </is>
      </c>
      <c r="K134" s="11" t="inlineStr">
        <is>
          <t>1. In Browser C open http://localhost:3000. Type admin@cmp.local in 'Email or username' and SeedPassw0rd!2026 in 'Password' and click 'Sign in'. If the 'Verify it is you' page appears, ask the coordinator for the code, type it in '6-digit code' and click 'Verify and continue'.
2. Click 'Users'. Type tester01.holder@cmp.local in the search box and press Enter.
3. Click 'End temporary access'.
4. In Browser D reload the page.
5. Sign in again with tester01.holder@cmp.local and UatHolder01!Pass.
6. In Browser C search for tester01.colleague@cmp.local and click 'End temporary access' on its row.
7. Sign in as the DPO in Browser B (if signed out) and open BR-A's 'Tickets' tab.</t>
        </is>
      </c>
      <c r="L134" s="11" t="inlineStr">
        <is>
          <t>1. The Dashboard opens, signed in as System Admin (Administrator).
2. One row: UAT Holder 01 with the role badge 'Temporary ticket holder' and the status 'Active'. Among its buttons is 'End temporary access'; hovering it shows 'Ends their console login, including reading their tickets. An account made for a ticket is switched off; one that was a data principal's goes back to being one.'
3. The message 'Temporary access ended' appears with the server's words saying the account was deactivated and how many sessions were terminated. The status reads 'Deactivated' and a 'Reactivate' button replaces 'End temporary access'.
4. The holder is signed out and sees the sign-in page.
5. Sign-in is refused; no code is sent and 'My tasks' does not open.
6. Before: the role 'Temporary ticket holder' and the status 'Pending'. After: 'Temporary access ended' and the status 'Deactivated'.
7. Both rows are still listed with their threads and 'Temporary login · read only'; the evidence stays.</t>
        </is>
      </c>
      <c r="M134" s="11" t="inlineStr">
        <is>
          <t>Only the administrator's 'End temporary access' removes a temporary login: the account made for the ticket is switched off, every session ends at once, and the tickets and their threads stay on the breach.</t>
        </is>
      </c>
      <c r="N134" s="16" t="n"/>
      <c r="O134" s="17" t="n"/>
      <c r="P134" s="16" t="inlineStr">
        <is>
          <t>Not run</t>
        </is>
      </c>
      <c r="Q134" s="16" t="n"/>
      <c r="R134" s="16" t="n"/>
    </row>
    <row r="135">
      <c r="A135" s="10" t="inlineStr">
        <is>
          <t>BRE-18</t>
        </is>
      </c>
      <c r="B135" s="11" t="inlineStr">
        <is>
          <t>Breach and incidents</t>
        </is>
      </c>
      <c r="C135" s="11" t="inlineStr">
        <is>
          <t>No other role can see the register; the administrator's trail shows references only; the DPO's trail records every step</t>
        </is>
      </c>
      <c r="D135" s="11" t="inlineStr">
        <is>
          <t>Console - Breaches access; Audit trail (Incidents and breaches, Breach tickets)</t>
        </is>
      </c>
      <c r="E135" s="11" t="inlineStr">
        <is>
          <t>R&amp;D User; DCO; RCO; Administrator; DPO</t>
        </is>
      </c>
      <c r="F135" s="11" t="inlineStr">
        <is>
          <t>High</t>
        </is>
      </c>
      <c r="G135" s="11" t="inlineStr">
        <is>
          <t>Negative</t>
        </is>
      </c>
      <c r="H135" s="11" t="inlineStr">
        <is>
          <t>Core</t>
        </is>
      </c>
      <c r="I135" s="11" t="inlineStr">
        <is>
          <t>- The console is running at http://localhost:3000.
- The test coordinator can read the test outbox (backend/api/var/outbox.log) and relays codes, links and emails on request.
- BRE-01 to BRE-17 have been run.
- The DPO has copied BR-A's page address from Browser B (http://localhost:3000/breaches/&lt;uuid&gt;).</t>
        </is>
      </c>
      <c r="J135" s="11" t="inlineStr">
        <is>
          <t>- Accounts: rnd@cmp.local, dco@cmp.local, rco@cmp.local, admin@cmp.local, dpo@cmp.local
- BR-A page address</t>
        </is>
      </c>
      <c r="K135" s="11" t="inlineStr">
        <is>
          <t>1. In Browser C open http://localhost:3000. Type rnd@cmp.local in 'Email or username' and SeedPassw0rd!2026 in 'Password' and click 'Sign in'. If the 'Verify it is you' page appears, ask the coordinator for the code, type it in '6-digit code' and click 'Verify and continue'.
2. In the address bar type http://localhost:3000/breaches, then paste BR-A's page address.
3. Sign out. Repeat the two checks signed in as dco@cmp.local (Arun Shetty), then as rco@cmp.local (Meera Iyer).
4. Sign out and sign in as admin@cmp.local. Look at the sidebar, then type http://localhost:3000/breaches.
5. Click 'Audit trail'. In 'Area' choose 'Incidents and breaches'.
6. Open one entry, then choose 'Breach tickets' in 'Area'.
7. Sign out and sign in as dpo@cmp.local. Open BR-A and click 'Audit trail' in its header.
8. In 'Area' choose 'Breach tickets' (clear the BR-A chip if it hides them).</t>
        </is>
      </c>
      <c r="L135" s="11" t="inlineStr">
        <is>
          <t>1. The Dashboard opens, signed in as Kavya Rao (R&amp;D User). The sidebar has no 'Breaches'; the dashboard has no 'Open breaches' card and no 'Log an incident' button.
2. Both show only the box 'Not part of your account' with 'This section belongs to a different role, so there is nothing here for you.' and 'Back to your dashboard'. No reference, title or duty of any incident is shown.
3. For each: no 'Breaches' in the sidebar, and both addresses show 'Not part of your account'.
4. There is no 'Breaches' item; the address shows 'Not part of your account'.
5. Rows for the breach events appear (logged, validated, recorded as a breach, assessed, duties completed, people listed, notice drafted, approved and sent, closed, reopened). The 'Record' column names each by reference only - 'Incident' with an INC- reference, or 'Breach' with BR-A and its INC- reference in brackets. No incident title (such as UAT Incident 01) or reasoning appears.
6. The entry's dialog carries the reference and what kind of thing happened, never the office's words. The ticket rows name each record as 'Breach ticket on' with BR-A.
7. The trail opens filtered to BR-A. It lists, among others, the incident being logged, each validation, its recording as a breach, each assessment, the CERT-In marking or duty events, each duty completed or extended, each list revision and upload, the notice drafted, edited, approved and sent, each attachment added and each download, and each close and reopening - each with Priya Menon and the time.
8. Rows for the tickets assigned, messages, returns, the send-back, closes, withdrawals, the reopening, the colleague added and the file downloaded are listed.</t>
        </is>
      </c>
      <c r="M135" s="11" t="inlineStr">
        <is>
          <t>Every role but the DPO is told the register is not part of their account, even with a direct link; the administrator's trail names breaches by reference only; the DPO's trail holds an entry for every step taken on the breach and its tickets.</t>
        </is>
      </c>
      <c r="N135" s="16" t="n"/>
      <c r="O135" s="17" t="n"/>
      <c r="P135" s="16" t="inlineStr">
        <is>
          <t>Not run</t>
        </is>
      </c>
      <c r="Q135" s="16" t="n"/>
      <c r="R135" s="16" t="n"/>
    </row>
    <row r="136">
      <c r="A136" s="10" t="inlineStr">
        <is>
          <t>OVS-01</t>
        </is>
      </c>
      <c r="B136" s="11" t="inlineStr">
        <is>
          <t>Oversight and audit</t>
        </is>
      </c>
      <c r="C136" s="11" t="inlineStr">
        <is>
          <t>DPO dashboard lists only work the DPO can act on</t>
        </is>
      </c>
      <c r="D136" s="11" t="inlineStr">
        <is>
          <t>Dashboard - 'Needs attention', queues, recent activity</t>
        </is>
      </c>
      <c r="E136" s="11" t="inlineStr">
        <is>
          <t>DPO on console</t>
        </is>
      </c>
      <c r="F136" s="11" t="inlineStr">
        <is>
          <t>High</t>
        </is>
      </c>
      <c r="G136" s="11" t="inlineStr">
        <is>
          <t>Positive</t>
        </is>
      </c>
      <c r="H136" s="11" t="inlineStr">
        <is>
          <t>Core</t>
        </is>
      </c>
      <c r="I136"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Seed data is loaded (projects, notices, consents and rights requests exist).</t>
        </is>
      </c>
      <c r="J136" s="11" t="inlineStr">
        <is>
          <t>- Email or username: dpo@cmp.local (Priya Menon)
- Password: SeedPassw0rd!2026</t>
        </is>
      </c>
      <c r="K136" s="11" t="inlineStr">
        <is>
          <t>1. Open http://localhost:3000. Type dpo@cmp.local in 'Email or username' and SeedPassw0rd!2026 in 'Password', click 'Sign in'. On the 'Verify it is you' page type the six-digit code the test coordinator relays into '6-digit code' and click 'Verify and continue'.
2. Read the line under the heading, and look at the buttons beside the heading.
3. Click 'Log an incident', look at the dialog and press Esc without typing anything. Then click 'New notice template' and press Esc.
4. Look at the first card, 'Needs attention'.
5. Check the card for rows that belong to other roles.
6. Click one of the rows in 'Needs attention' (for example 'Projects pending approval' or 'Rights requests due within 7 days').
7. Scroll down past 'Needs attention' to the queue cards.
8. Scroll further to the cards 'Projects by stage' and 'Consent position'.
9. Look at the 'Recent activity' card at the bottom.
10. Click 'Full audit trail'.</t>
        </is>
      </c>
      <c r="L136" s="11" t="inlineStr">
        <is>
          <t>1. You land on the Dashboard with the heading 'Good day, Priya'. The top right of the header shows the person's name with the role badge 'DPO'.
2. It reads 'Notices awaiting publication, projects awaiting your review, and the consent position across the platform.' Beside the heading are two buttons: 'Log an incident' (the main one, first) and 'New notice template'.
3. The first dialog is titled 'Log an incident' ('As it was noticed. Every time is entered, not filled in: the clocks run from what you type.'); the second is titled 'New notice template' ('A notice written before any project exists. A project uses it by its ID, which makes that project's own draft notice from it.'). Each closes on Esc and nothing is saved.
4. Each row shows a number, a label and an arrow; the card's heading carries no overall count. Every label is one of: 'Breach duties overdue', 'Breach duties outstanding', 'Breach tickets returned', 'Breach tickets past their answer-by', 'Tickets past their date', 'Rights requests overdue', 'Rights requests due within 7 days', 'Requests awaiting verification', 'Teams have written on their tickets', 'Grievances about the DPO to escalate', 'Retention floors passed, erasure due', 'Tickets addressed to you', 'Notice text awaiting approval', 'Projects pending approval', 'New collectors awaiting your decision'. If nothing is waiting the card says 'Nothing needs your attention. The queues below are clear or waiting on somebody else.'
5. There is no row about lockouts, sign-ins, access denials, 'Staff invitations not yet accepted', 'Sites awaiting a data source', 'Sources without an owner' or 'Imports that did not reconcile'.
6. The list behind that number opens already filtered (e.g. the Projects page showing only projects pending approval, or the Rights requests page). The number of rows matches the count on the dashboard. Use the browser Back button to return.
7. If any breach is open, an 'Open breaches' card comes first: each open breach by its reference and title, with each duty's state and clock (or 'No duty yet: validate it.'); clicking a reference opens that breach. With no breach open the card is not shown. Queues with work then appear as cards, in this order: 'Tickets past their date', 'Rights requests, soonest due first', 'Teams have written on their tickets', 'Retention floors passed - erasure due', 'Pending Approval', 'New collectors awaiting your decision', 'Drafts whose purposes are not activated', and last 'Tickets addressed to you' when a ticket is addressed to Priya. Each card shows a count badge; a queue at its 25-row limit shows '25+' and a 'See all' link. Empty queues are listed together in one grey line that starts 'Clear:'. People's names in queue rows are readable.
8. 'Projects by stage' shows bars labelled 'In draft', 'Pending approval' and 'Approved' with numbers; 'Consent position' shows one bar split into 'Agreed to all purposes', 'Agreed to some', 'Declined' and 'Withdrawn' with the caption 'Every record counted once, at its current state.'
9. Up to 8 entries, newest first, each with an event name, a time, who did it (name and role badge) and the record it concerns. No sign-in events (titles starting 'Auth ...') are listed. A 'Full audit trail' link is at the card's top right.
10. The 'Audit trail' page opens.</t>
        </is>
      </c>
      <c r="M136" s="11" t="inlineStr">
        <is>
          <t>The DPO's dashboard offers 'Log an incident' and 'New notice template'; 'Needs attention' contains only DPO-actionable rows from the listed set, each row opens a filtered list that matches its count; open breaches, queues and position cards render, and Recent activity shows no sign-in events and links to the full audit trail.</t>
        </is>
      </c>
      <c r="N136" s="16" t="n"/>
      <c r="O136" s="17" t="n"/>
      <c r="P136" s="16" t="inlineStr">
        <is>
          <t>Not run</t>
        </is>
      </c>
      <c r="Q136" s="16" t="n"/>
      <c r="R136" s="16" t="n"/>
    </row>
    <row r="137">
      <c r="A137" s="10" t="inlineStr">
        <is>
          <t>OVS-02</t>
        </is>
      </c>
      <c r="B137" s="11" t="inlineStr">
        <is>
          <t>Oversight and audit</t>
        </is>
      </c>
      <c r="C137" s="11" t="inlineStr">
        <is>
          <t>Administrator dashboard - lockouts are information, not tasks</t>
        </is>
      </c>
      <c r="D137" s="11" t="inlineStr">
        <is>
          <t>Dashboard - 'Needs attention', queues, recent activity</t>
        </is>
      </c>
      <c r="E137" s="11" t="inlineStr">
        <is>
          <t>Administrator on console</t>
        </is>
      </c>
      <c r="F137" s="11" t="inlineStr">
        <is>
          <t>High</t>
        </is>
      </c>
      <c r="G137" s="11" t="inlineStr">
        <is>
          <t>Positive</t>
        </is>
      </c>
      <c r="H137" s="11" t="inlineStr">
        <is>
          <t>Core</t>
        </is>
      </c>
      <c r="I137"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Ideally a staff account was locked out in the last 24 hours (see OVS-10 preconditions) so the 'Lockouts (24h)' queue has a row.</t>
        </is>
      </c>
      <c r="J137" s="11" t="inlineStr">
        <is>
          <t>- Email or username: admin@cmp.local (System Admin)
- Password: SeedPassw0rd!2026</t>
        </is>
      </c>
      <c r="K137" s="11" t="inlineStr">
        <is>
          <t>1. Open http://localhost:3000. Type admin@cmp.local in 'Email or username' and SeedPassw0rd!2026 in 'Password', click 'Sign in'. On the 'Verify it is you' page type the six-digit code the test coordinator relays into '6-digit code' and click 'Verify and continue'.
2. Read the line under the heading, and look beside the heading.
3. Look at 'Needs attention'.
4. Check 'Needs attention' for rows the administrator cannot act on.
5. If 'Staff invitations not yet accepted' is shown, click it.
6. Scroll to the queue cards and the 'Clear:' line.
7. Look for the cards 'Projects by stage' and 'Consent position'.
8. Look at 'Recent activity'.</t>
        </is>
      </c>
      <c r="L137" s="11" t="inlineStr">
        <is>
          <t>1. You land on the Dashboard with the heading 'Good day, System'. The top right of the header shows the person's name with the role badge 'Administrator'.
2. It reads 'Invitations waiting, access problems, grievances about the DPO, and the processor and source registry.' Beside the heading is one button, 'Provision an account', which opens the dialog 'Provision an account' (the same form as on 'Users'); press Esc to close it. There is no 'Log an incident' button and no 'Open breaches' card: breaches are the DPO's.
3. Only these labels can appear (each only when its count is above zero): 'Staff invitations not yet accepted', 'Grievances about the DPO to review', 'Tickets addressed to you'. Otherwise the card says 'Nothing needs your attention. The queues below are clear or waiting on somebody else.'
4. There is no row about lockouts, access denials, consent withdrawals, projects, notices, or rights requests overdue.
5. The 'Users' page opens filtered to pending accounts; it lists staff whose invitation is not yet accepted and no data principals. Use Back to return. (If the row is absent, note 'no pending invitations' and continue.)
6. The queues are 'Grievances about the DPO - yours to review', 'Lockouts (24h)' and 'Suspended sources and processors' (as cards, or named in the 'Clear:' line when empty). A lockout from the last 24 hours appears as a row in 'Lockouts (24h)' with the person's readable name - here, and not in 'Needs attention'.
7. Neither card is shown to the administrator.
8. Entries are refused requests - title 'Auth access denied' with the sentence 'A request was refused by the permission matrix.' - each with who and when. A 'Full audit trail' link is at the card's top right.</t>
        </is>
      </c>
      <c r="M137" s="11" t="inlineStr">
        <is>
          <t>Administrator 'Needs attention' holds only invitations, grievances about the DPO and own tickets; lockouts appear only in the 'Lockouts (24h)' queue; no project or consent charts; Recent activity shows access denials with a 'Full audit trail' link.</t>
        </is>
      </c>
      <c r="N137" s="16" t="n"/>
      <c r="O137" s="17" t="n"/>
      <c r="P137" s="16" t="inlineStr">
        <is>
          <t>Not run</t>
        </is>
      </c>
      <c r="Q137" s="16" t="n"/>
      <c r="R137" s="16" t="n"/>
    </row>
    <row r="138">
      <c r="A138" s="10" t="inlineStr">
        <is>
          <t>OVS-03</t>
        </is>
      </c>
      <c r="B138" s="11" t="inlineStr">
        <is>
          <t>Oversight and audit</t>
        </is>
      </c>
      <c r="C138" s="11" t="inlineStr">
        <is>
          <t>DCO and RCO dashboards show their collection work and no audit link</t>
        </is>
      </c>
      <c r="D138" s="11" t="inlineStr">
        <is>
          <t>Dashboard - 'Needs attention', queues, recent activity</t>
        </is>
      </c>
      <c r="E138" s="11" t="inlineStr">
        <is>
          <t>DCO and RCO on console</t>
        </is>
      </c>
      <c r="F138" s="11" t="inlineStr">
        <is>
          <t>High</t>
        </is>
      </c>
      <c r="G138" s="11" t="inlineStr">
        <is>
          <t>Positive</t>
        </is>
      </c>
      <c r="H138" s="11" t="inlineStr">
        <is>
          <t>Core</t>
        </is>
      </c>
      <c r="I138"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38" s="11" t="inlineStr">
        <is>
          <t>- dco@cmp.local (Arun Shetty)
- rco@cmp.local (Meera Iyer)
- Password: SeedPassw0rd!2026</t>
        </is>
      </c>
      <c r="K138" s="11" t="inlineStr">
        <is>
          <t>1. Open http://localhost:3000. Type dco@cmp.local in 'Email or username' and SeedPassw0rd!2026 in 'Password', click 'Sign in'. On the 'Verify it is you' page type the six-digit code the test coordinator relays into '6-digit code' and click 'Verify and continue'.
2. Read the line under the heading, then look at 'Needs attention'.
3. Check 'Needs attention' for rows belonging to other roles.
4. Find the 'Import exceptions' queue (a card, or named in the 'Clear:' line). If it is a card, click its first row.
5. Look at the 'Recent activity' card.
6. Click 'Sign out' at the bottom of the sidebar. Then sign in again as rco@cmp.local (password SeedPassw0rd!2026, code from the coordinator, 'Verify and continue').
7. Read the line under the heading and 'Needs attention'.
8. Look at the 'Recent activity' card.</t>
        </is>
      </c>
      <c r="L138" s="11" t="inlineStr">
        <is>
          <t>1. You land on the Dashboard with the heading 'Good day, Arun'. The top right of the header shows the person's name with the role badge 'Data Collection Owner'.
2. The line reads 'Your approved projects, the links collecting against them, and anything that failed to reconcile on import.' No button sits beside the heading (no 'Log an incident', 'Register a project' or 'Provision an account'). 'Needs attention' holds only rows from: 'Tickets past their date', 'Tickets addressed to you', 'Imports that did not reconcile', 'Assets with unmapped subjects' - or the sentence 'Nothing needs your attention. ...'.
3. No 'Projects pending approval', 'Rights requests overdue', 'Notice text awaiting approval', 'Staff invitations not yet accepted', lockout or 'Sites awaiting a data source' row appears.
4. The queues are 'Import exceptions' and 'Approved projects ready to collect' (as cards, or named in the 'Clear:' line). An 'Import exceptions' row names a collection and a project and says '&lt;n&gt; declared, &lt;m&gt; mapped — &lt;k&gt; unaccounted for'. Clicking it opens that collection's page (not 'Not part of your account'). Use Back to return.
5. It lists events on Arun's own projects or done by him, with no sign-in ('Auth ...') events. There is NO 'Full audit trail' link on the card, because a DCO has no audit page.
6. The Dashboard opens with the heading 'Good day, Meera' and the role badge 'R&amp;D Collection Owner'.
7. The line reads 'The collection your team runs itself — your approved projects, the links collecting against them, and anything that failed to reconcile on import.' No button sits beside the heading. 'Needs attention' uses the same four DCO labels only.
8. Events on Meera's projects only, no sign-in events, and no 'Full audit trail' link.</t>
        </is>
      </c>
      <c r="M138" s="11" t="inlineStr">
        <is>
          <t>Both collection owners see only their four kinds of actionable row, their own import exceptions, and a Recent activity feed without a 'Full audit trail' link.</t>
        </is>
      </c>
      <c r="N138" s="16" t="n"/>
      <c r="O138" s="17" t="n"/>
      <c r="P138" s="16" t="inlineStr">
        <is>
          <t>Not run</t>
        </is>
      </c>
      <c r="Q138" s="16" t="n"/>
      <c r="R138" s="16" t="n"/>
    </row>
    <row r="139">
      <c r="A139" s="10" t="inlineStr">
        <is>
          <t>OVS-04</t>
        </is>
      </c>
      <c r="B139" s="11" t="inlineStr">
        <is>
          <t>Oversight and audit</t>
        </is>
      </c>
      <c r="C139" s="11" t="inlineStr">
        <is>
          <t>DCO Admin and R&amp;D User dashboards show only their own queues</t>
        </is>
      </c>
      <c r="D139" s="11" t="inlineStr">
        <is>
          <t>Dashboard - 'Needs attention', queues, recent activity</t>
        </is>
      </c>
      <c r="E139" s="11" t="inlineStr">
        <is>
          <t>DCO Admin and R&amp;D User on console</t>
        </is>
      </c>
      <c r="F139" s="11" t="inlineStr">
        <is>
          <t>Medium</t>
        </is>
      </c>
      <c r="G139" s="11" t="inlineStr">
        <is>
          <t>Positive</t>
        </is>
      </c>
      <c r="H139" s="11" t="inlineStr">
        <is>
          <t>Core</t>
        </is>
      </c>
      <c r="I139"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39" s="11" t="inlineStr">
        <is>
          <t>- dcoadmin@cmp.local (Nikhil Bose)
- rnd@cmp.local (Kavya Rao)
- Password: SeedPassw0rd!2026</t>
        </is>
      </c>
      <c r="K139" s="11" t="inlineStr">
        <is>
          <t>1. Open http://localhost:3000. Type dcoadmin@cmp.local in 'Email or username' and SeedPassw0rd!2026 in 'Password', click 'Sign in'. On the 'Verify it is you' page type the six-digit code the test coordinator relays into '6-digit code' and click 'Verify and continue'.
2. Read the line under the heading and look at 'Needs attention'.
3. If 'Sites awaiting a data source' is listed, click it.
4. If 'Sources without an owner' is listed, click it.
5. Look at 'Recent activity'.
6. Click 'Sign out' at the bottom of the sidebar. Then sign in again as rnd@cmp.local (password SeedPassw0rd!2026, code from the coordinator, 'Verify and continue').
7. Read the line under the heading and look at 'Needs attention'.
8. If 'Projects needing something from you' is listed, click it, then click the first row of the queue it jumps to.
9. Scroll to the bottom of the dashboard.</t>
        </is>
      </c>
      <c r="L139" s="11" t="inlineStr">
        <is>
          <t>1. You land on the Dashboard with the heading 'Good day, Nikhil'. The top right of the header shows the person's name with the role badge 'DCO Admin'.
2. The line reads 'Projects collected by a third party: which sites are still waiting for a data source, and who picks them up when you attach one.' No button sits beside the heading. Rows come only from: 'Tickets past their date', 'Sites awaiting a data source', 'Sources without an owner', 'Processors with no collection set up', 'Tickets addressed to you'.
3. The page scrolls down to the 'Sites awaiting a data source' queue card on the same dashboard; each row names a project and says 'Attach the data source that will collect here'.
4. The 'Data sources' page opens (not 'Not part of your account'). Use Back to return.
5. No sign-in events and no 'Full audit trail' link.
6. The Dashboard opens with the heading 'Good day, Kavya' and the role badge 'R&amp;D User'.
7. The line reads 'Your projects and what each one needs from you before it can move forward.' Beside the heading is one button, 'Register a project', which opens the dialog 'Register a project' (press Esc to close it without saving). In 'Needs attention' rows come only from 'Projects needing something from you' and 'Tickets addressed to you'.
8. The page scrolls to the 'Needs your action' queue; rows name Kavya's draft projects with 'Upload a security approval with its proof file'. Clicking a row opens that project's page.
9. A 'Waiting for DPO review' queue lists Kavya's projects pending approval (or is named in the 'Clear:' line). 'Projects by stage' is shown (counting only Kavya's projects); there is no 'Consent position' card; 'Recent activity' has no 'Full audit trail' link.</t>
        </is>
      </c>
      <c r="M139" s="11" t="inlineStr">
        <is>
          <t>Each role sees only its own attention rows and queues, only the R&amp;D User has a start button ('Register a project'), links open pages the role can use, and neither role is offered the full audit trail.</t>
        </is>
      </c>
      <c r="N139" s="16" t="n"/>
      <c r="O139" s="17" t="n"/>
      <c r="P139" s="16" t="inlineStr">
        <is>
          <t>Not run</t>
        </is>
      </c>
      <c r="Q139" s="16" t="n"/>
      <c r="R139" s="16" t="n"/>
    </row>
    <row r="140">
      <c r="A140" s="10" t="inlineStr">
        <is>
          <t>OVS-05</t>
        </is>
      </c>
      <c r="B140" s="11" t="inlineStr">
        <is>
          <t>Oversight and audit</t>
        </is>
      </c>
      <c r="C140" s="11" t="inlineStr">
        <is>
          <t>Sidebar for the DPO and the Administrator</t>
        </is>
      </c>
      <c r="D140" s="11" t="inlineStr">
        <is>
          <t>Role-based navigation</t>
        </is>
      </c>
      <c r="E140" s="11" t="inlineStr">
        <is>
          <t>DPO and Administrator on console</t>
        </is>
      </c>
      <c r="F140" s="11" t="inlineStr">
        <is>
          <t>High</t>
        </is>
      </c>
      <c r="G140" s="11" t="inlineStr">
        <is>
          <t>Positive</t>
        </is>
      </c>
      <c r="H140" s="11" t="inlineStr">
        <is>
          <t>Core</t>
        </is>
      </c>
      <c r="I140"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40" s="11" t="inlineStr">
        <is>
          <t>- dpo@cmp.local (Priya Menon)
- admin@cmp.local (System Admin)
- Password: SeedPassw0rd!2026</t>
        </is>
      </c>
      <c r="K140" s="11" t="inlineStr">
        <is>
          <t>1. Open http://localhost:3000. Type dpo@cmp.local in 'Email or username' and SeedPassw0rd!2026 in 'Password', click 'Sign in'. On the 'Verify it is you' page type the six-digit code the test coordinator relays into '6-digit code' and click 'Verify and continue'.
2. Read the whole left-hand sidebar from top to bottom (section headings are shown in small capitals).
3. Click each sidebar link in turn.
4. Click 'Sign out' at the bottom of the sidebar. Then sign in again as admin@cmp.local (password SeedPassw0rd!2026, code from the coordinator, 'Verify and continue').
5. Read the whole sidebar.
6. Check what is absent for the administrator.
7. Click 'Grievances about the DPO'.
8. Click each remaining administrator link in turn.</t>
        </is>
      </c>
      <c r="L140" s="11" t="inlineStr">
        <is>
          <t>1. You land on the Dashboard with the heading 'Good day, Priya'. The top right of the header shows the person's name with the role badge 'DPO'.
2. In this order: YOUR WORK - Dashboard, Rights requests, Breaches, My tasks, Projects, Notices; GOVERNANCE - Approval documents, Purposes; CONSENT - Consents, Consent links, Collection sites; REGISTRY - Processors, Data sources; DATA MOVEMENT - Collections, Exports, Imports; OVERSIGHT - Audit trail, Users, Delegations, Message templates. There is no 'My profile' or 'Notifications' entry: 'My profile' is in the account menu (click your name at the top right) and notifications open from the bell in the header. There is no separate notice templates entry: 'Notices' opens on the tabs 'Project notices' and 'Templates', with a 'New notice template' button at the top. A 'Sign out' button sits at the bottom.
3. Every link opens a page with its own heading. None shows 'We can't find that page' or 'Not part of your account'. The link for the open page is highlighted.
4. The Dashboard opens with the heading 'Good day, System' and the role badge 'Administrator'.
5. YOUR WORK - Dashboard, Users, Grievances about the DPO, Message templates, Processors, Data sources, Audit trail; OVERSIGHT - Delegations; YOU - My tasks.
6. There are no GOVERNANCE, CONSENT, REGISTRY or DATA MOVEMENT headings and no links to Breaches, Projects, Approval documents, Notices, Purposes, Consents, Consent links, Collection sites, Collections, Exports or Imports. There is no 'Rights requests' link - that slot reads 'Grievances about the DPO'.
7. A page headed 'Grievances about the DPO' opens.
8. Every link opens a page with its own heading; none shows 'We can't find that page' or 'Not part of your account'.</t>
        </is>
      </c>
      <c r="M140" s="11" t="inlineStr">
        <is>
          <t>The DPO sees the 20 links listed, starting with the 'Your work' group; the Administrator sees exactly the 9 links listed, with the rights link relabelled 'Grievances about the DPO', and every link opens.</t>
        </is>
      </c>
      <c r="N140" s="16" t="n"/>
      <c r="O140" s="17" t="n"/>
      <c r="P140" s="16" t="inlineStr">
        <is>
          <t>Not run</t>
        </is>
      </c>
      <c r="Q140" s="16" t="n"/>
      <c r="R140" s="16" t="n"/>
    </row>
    <row r="141">
      <c r="A141" s="10" t="inlineStr">
        <is>
          <t>OVS-06</t>
        </is>
      </c>
      <c r="B141" s="11" t="inlineStr">
        <is>
          <t>Oversight and audit</t>
        </is>
      </c>
      <c r="C141" s="11" t="inlineStr">
        <is>
          <t>Sidebar for DCO, DCO Admin and RCO has no Audit trail</t>
        </is>
      </c>
      <c r="D141" s="11" t="inlineStr">
        <is>
          <t>Role-based navigation</t>
        </is>
      </c>
      <c r="E141" s="11" t="inlineStr">
        <is>
          <t>DCO, DCO Admin and RCO on console</t>
        </is>
      </c>
      <c r="F141" s="11" t="inlineStr">
        <is>
          <t>High</t>
        </is>
      </c>
      <c r="G141" s="11" t="inlineStr">
        <is>
          <t>Negative</t>
        </is>
      </c>
      <c r="H141" s="11" t="inlineStr">
        <is>
          <t>Core</t>
        </is>
      </c>
      <c r="I141"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41" s="11" t="inlineStr">
        <is>
          <t>- dco@cmp.local (Arun Shetty)
- dcoadmin@cmp.local (Nikhil Bose)
- rco@cmp.local (Meera Iyer)
- Password: SeedPassw0rd!2026</t>
        </is>
      </c>
      <c r="K141" s="11" t="inlineStr">
        <is>
          <t>1. Open http://localhost:3000. Type dco@cmp.local in 'Email or username' and SeedPassw0rd!2026 in 'Password', click 'Sign in'. On the 'Verify it is you' page type the six-digit code the test coordinator relays into '6-digit code' and click 'Verify and continue'.
2. Read the whole sidebar.
3. Look under OVERSIGHT and the rest of the sidebar for oversight and governance links.
4. Click each sidebar link in turn.
5. Click 'Sign out' at the bottom of the sidebar. Then sign in again as dcoadmin@cmp.local (password SeedPassw0rd!2026, code from the coordinator, 'Verify and continue').
6. Read the whole sidebar and repeat the check for absent links.
7. Click 'Sign out' at the bottom of the sidebar. Then sign in again as rco@cmp.local (password SeedPassw0rd!2026, code from the coordinator, 'Verify and continue').
8. Read the whole sidebar and repeat the check for absent links.</t>
        </is>
      </c>
      <c r="L141" s="11" t="inlineStr">
        <is>
          <t>1. You land on the Dashboard with the heading 'Good day, Arun'. The top right of the header shows the person's name with the role badge 'Data Collection Owner'.
2. YOUR WORK - Dashboard, My projects, Collection sites, Consent links, My tasks, Collections; CONSENT - Consents; REGISTRY - Data sources; DATA MOVEMENT - Exports, Imports; OVERSIGHT - Delegations. 'My profile' is in the account menu and notifications open from the bell in the header.
3. OVERSIGHT holds only 'Delegations'. There is no 'Audit trail', 'Users', 'Rights requests', 'Breaches' or 'Message templates', and no 'Approval documents', 'Notices', 'Purposes' or 'Processors' anywhere in the sidebar.
4. Every link opens a page with its own heading; none shows 'We can't find that page' or 'Not part of your account'.
5. The Dashboard opens with the heading 'Good day, Nikhil' and the role badge 'DCO Admin'.
6. YOUR WORK - Dashboard, Collection sites, Data sources, My tasks, Consent links, Projects; CONSENT - Consents; DATA MOVEMENT - Collections, Exports, Imports; OVERSIGHT - Delegations. These are the DCO's pages in a different order, and the projects link reads 'Projects' (not 'My projects'). No 'Audit trail', 'Users', 'Rights requests', 'Breaches', 'Message templates', 'Approval documents', 'Notices', 'Purposes' or 'Processors'.
7. The Dashboard opens with the heading 'Good day, Meera' and the role badge 'R&amp;D Collection Owner'.
8. Exactly the same links, in the same order, as the DCO (including 'My projects'); no 'Audit trail' and none of the other absent links.</t>
        </is>
      </c>
      <c r="M141" s="11" t="inlineStr">
        <is>
          <t>All three collection roles see the same 11 pages, starting with their own 'Your work' group; OVERSIGHT contains only 'Delegations', and no audit, user, rights, breach, message-template, approval, notice, purpose or processor link is offered.</t>
        </is>
      </c>
      <c r="N141" s="16" t="n"/>
      <c r="O141" s="17" t="n"/>
      <c r="P141" s="16" t="inlineStr">
        <is>
          <t>Not run</t>
        </is>
      </c>
      <c r="Q141" s="16" t="n"/>
      <c r="R141" s="16" t="n"/>
    </row>
    <row r="142">
      <c r="A142" s="10" t="inlineStr">
        <is>
          <t>OVS-07</t>
        </is>
      </c>
      <c r="B142" s="11" t="inlineStr">
        <is>
          <t>Oversight and audit</t>
        </is>
      </c>
      <c r="C142" s="11" t="inlineStr">
        <is>
          <t>Sidebar for the R&amp;D User</t>
        </is>
      </c>
      <c r="D142" s="11" t="inlineStr">
        <is>
          <t>Role-based navigation</t>
        </is>
      </c>
      <c r="E142" s="11" t="inlineStr">
        <is>
          <t>R&amp;D User on console</t>
        </is>
      </c>
      <c r="F142" s="11" t="inlineStr">
        <is>
          <t>High</t>
        </is>
      </c>
      <c r="G142" s="11" t="inlineStr">
        <is>
          <t>Positive</t>
        </is>
      </c>
      <c r="H142" s="11" t="inlineStr">
        <is>
          <t>Core</t>
        </is>
      </c>
      <c r="I142"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42" s="11" t="inlineStr">
        <is>
          <t>- rnd@cmp.local (Kavya Rao)
- Password: SeedPassw0rd!2026</t>
        </is>
      </c>
      <c r="K142" s="11" t="inlineStr">
        <is>
          <t>1. Open http://localhost:3000. Type rnd@cmp.local in 'Email or username' and SeedPassw0rd!2026 in 'Password', click 'Sign in'. On the 'Verify it is you' page type the six-digit code the test coordinator relays into '6-digit code' and click 'Verify and continue'.
2. Read the whole sidebar.
3. Check what is absent.
4. Click 'Notices'.
5. Click each remaining sidebar link in turn.</t>
        </is>
      </c>
      <c r="L142" s="11" t="inlineStr">
        <is>
          <t>1. You land on the Dashboard with the heading 'Good day, Kavya'. The top right of the header shows the person's name with the role badge 'R&amp;D User'.
2. YOUR WORK - Dashboard, My projects, Approval documents, My tasks, Notices; REGISTRY - Processors; DATA MOVEMENT - Collections, Imports. 'My profile' is in the account menu and notifications open from the bell in the header.
3. There is no CONSENT heading and no OVERSIGHT heading. There are no links to Purposes, Consents, Consent links, Collection sites, Data sources, Exports, Rights requests, Breaches, Audit trail, Users, Delegations or Message templates.
4. A page headed 'Notices' opens (the R&amp;D User brings the notice). It has no 'Templates' tab and no 'New notice template' button: notice templates are the DPO's.
5. Every link opens a page with its own heading; none shows 'We can't find that page' or 'Not part of your account'.</t>
        </is>
      </c>
      <c r="M142" s="11" t="inlineStr">
        <is>
          <t>The R&amp;D User sees exactly the 8 links listed, no Consent or Oversight section, and every link opens.</t>
        </is>
      </c>
      <c r="N142" s="16" t="n"/>
      <c r="O142" s="17" t="n"/>
      <c r="P142" s="16" t="inlineStr">
        <is>
          <t>Not run</t>
        </is>
      </c>
      <c r="Q142" s="16" t="n"/>
      <c r="R142" s="16" t="n"/>
    </row>
    <row r="143">
      <c r="A143" s="10" t="inlineStr">
        <is>
          <t>OVS-08</t>
        </is>
      </c>
      <c r="B143" s="11" t="inlineStr">
        <is>
          <t>Oversight and audit</t>
        </is>
      </c>
      <c r="C143" s="11" t="inlineStr">
        <is>
          <t>Following a link to another role's section shows 'Not part of your account'</t>
        </is>
      </c>
      <c r="D143" s="11" t="inlineStr">
        <is>
          <t>Section guard on the console</t>
        </is>
      </c>
      <c r="E143" s="11" t="inlineStr">
        <is>
          <t>DCO, R&amp;D User, Administrator and RCO on console</t>
        </is>
      </c>
      <c r="F143" s="11" t="inlineStr">
        <is>
          <t>High</t>
        </is>
      </c>
      <c r="G143" s="11" t="inlineStr">
        <is>
          <t>Negative</t>
        </is>
      </c>
      <c r="H143" s="11" t="inlineStr">
        <is>
          <t>Core</t>
        </is>
      </c>
      <c r="I143"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Optional: a DPO has copied an audit link from a record page (OVS-17 step 3) to paste in step 4.</t>
        </is>
      </c>
      <c r="J143" s="11" t="inlineStr">
        <is>
          <t>- dco@cmp.local
- rnd@cmp.local
- admin@cmp.local
- rco@cmp.local
- Password: SeedPassw0rd!2026
- Addresses to type: http://localhost:3000/audit, /users, /notices, /consents, /exports, /projects, /approvals</t>
        </is>
      </c>
      <c r="K143" s="11" t="inlineStr">
        <is>
          <t>1. Open http://localhost:3000. Type dco@cmp.local in 'Email or username' and SeedPassw0rd!2026 in 'Password', click 'Sign in'. On the 'Verify it is you' page type the six-digit code the test coordinator relays into '6-digit code' and click 'Verify and continue'.
2. In the browser address bar type http://localhost:3000/audit and press Enter.
3. Type http://localhost:3000/users and press Enter, then http://localhost:3000/notices.
4. Type http://localhost:3000/audit?event_group=consent (or paste the audit link a DPO copied from a record page) and press Enter.
5. Click 'Back to your dashboard'.
6. Click 'Sign out' at the bottom of the sidebar. Then sign in again as rnd@cmp.local (password SeedPassw0rd!2026, code from the coordinator, 'Verify and continue').
7. Type http://localhost:3000/consents, then http://localhost:3000/exports, then http://localhost:3000/audit.
8. Click 'Sign out' at the bottom of the sidebar. Then sign in again as admin@cmp.local (password SeedPassw0rd!2026, code from the coordinator, 'Verify and continue').
9. Type http://localhost:3000/projects, then http://localhost:3000/consents.
10. Sign out, sign in as rco@cmp.local, and type http://localhost:3000/approvals. Then type http://localhost:3000/sites.</t>
        </is>
      </c>
      <c r="L143" s="11" t="inlineStr">
        <is>
          <t>1. You land on the Dashboard with the heading 'Good day, Arun'. The top right of the header shows the person's name with the role badge 'Data Collection Owner'.
2. The sidebar and header are still shown, but the main area shows only an information box titled 'Not part of your account' with the text 'This section belongs to a different role, so there is nothing here for you. Nothing has gone wrong — the link you followed pointed at a staff console.' and a 'Back to your dashboard' button. No part of the other role's screen (no table, filters, buttons or data) is shown. There is no 'Export CSV' button, no filters and no audit entries.
3. Both show the same 'Not part of your account' box instead of the account register or the notices list.
4. The same 'Not part of your account' box; no pre-filtered entries or chips are shown.
5. Arun's Dashboard opens normally.
6. The Dashboard opens with the heading 'Good day, Kavya' and the role badge 'R&amp;D User'.
7. Each shows the 'Not part of your account' box; no consent register, export list or audit trail is shown.
8. The Dashboard opens with the heading 'Good day, System' and the role badge 'Administrator'.
9. Each shows the 'Not part of your account' box.
10. /approvals shows the 'Not part of your account' box. /sites (which IS in Meera's sidebar as 'Collection sites') opens normally - the guard only blocks sections the role does not have.</t>
        </is>
      </c>
      <c r="M143" s="11" t="inlineStr">
        <is>
          <t>Every address outside the role's sidebar shows only the 'Not part of your account' box with 'Back to your dashboard', never another role's screen or data; allowed sections still open.</t>
        </is>
      </c>
      <c r="N143" s="16" t="n"/>
      <c r="O143" s="17" t="n"/>
      <c r="P143" s="16" t="inlineStr">
        <is>
          <t>Not run</t>
        </is>
      </c>
      <c r="Q143" s="16" t="n"/>
      <c r="R143" s="16" t="n"/>
    </row>
    <row r="144">
      <c r="A144" s="10" t="inlineStr">
        <is>
          <t>OVS-09</t>
        </is>
      </c>
      <c r="B144" s="11" t="inlineStr">
        <is>
          <t>Oversight and audit</t>
        </is>
      </c>
      <c r="C144" s="11" t="inlineStr">
        <is>
          <t>DPO notifications include withdrawals and lockouts and every link opens</t>
        </is>
      </c>
      <c r="D144" s="11" t="inlineStr">
        <is>
          <t>Notifications (staff)</t>
        </is>
      </c>
      <c r="E144" s="11" t="inlineStr">
        <is>
          <t>DPO on console</t>
        </is>
      </c>
      <c r="F144" s="11" t="inlineStr">
        <is>
          <t>High</t>
        </is>
      </c>
      <c r="G144" s="11" t="inlineStr">
        <is>
          <t>Positive</t>
        </is>
      </c>
      <c r="H144" s="11" t="inlineStr">
        <is>
          <t>Core</t>
        </is>
      </c>
      <c r="I144"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Within the last 24 hours a staff account was locked out: the coordinator enters a wrong password five times on the console for an account nobody needs for the next 30 minutes (for example rco@cmp.local after the RCO cases are finished). The lock lifts by itself after 30 minutes.
- At least one consent withdrawal exists (as the DPO, 'Consents' with 'Status' set to 'Withdrawn' shows at least one row).</t>
        </is>
      </c>
      <c r="J144" s="11" t="inlineStr">
        <is>
          <t>- dpo@cmp.local (Priya Menon)
- Password: SeedPassw0rd!2026</t>
        </is>
      </c>
      <c r="K144" s="11" t="inlineStr">
        <is>
          <t>1. Open http://localhost:3000. Type dpo@cmp.local in 'Email or username' and SeedPassw0rd!2026 in 'Password', click 'Sign in'. On the 'Verify it is you' page type the six-digit code the test coordinator relays into '6-digit code' and click 'Verify and continue'.
2. Click the bell icon at the top right of the header (its label is 'Notifications').
3. Find an entry titled 'Consent withdrawn'.
4. Find an entry titled 'Auth login locked out' (from the precondition).
5. Click the body of the 'Consent withdrawn' entry (not the link).
6. Click 'Open consent record'.
7. Go back to 'Notifications' and click the 'Account: ...' link on the lockout entry.
8. Go back and click the record link on one entry of each other kind shown (e.g. 'Project transitioned', 'Notice published', 'Import rejected', 'Export generated', rights ticket events, and breach ticket events such as 'Breach ticket returned').</t>
        </is>
      </c>
      <c r="L144" s="11" t="inlineStr">
        <is>
          <t>1. You land on the Dashboard with the heading 'Good day, Priya'. The top right of the header shows the person's name with the role badge 'DPO'.
2. A page headed 'Notifications' opens with the text 'What has happened that concerns you, taken from the audit trail itself.' Entries are listed newest first; each shows an event name, how long ago, a one-line explanation, the record it concerns as a link, and 'by &lt;name&gt;'.
3. Its explanation reads 'Consent was withdrawn. The earlier record still stands as evidence of what was agreed at the time.' Its record link reads 'Consent record: &lt;person's name&gt; — &lt;project&gt;' with the name readable.
4. Its explanation reads 'An account was locked after repeated failed sign-ins.' and its record link reads 'Account: &lt;name of the locked account&gt;'.
5. A dialog titled 'Consent withdrawn' opens showing 'What', 'When', 'Who', 'About', 'Event' (consent.withdrawn) and 'Record', the note 'This entry is append-only and part of a hash chain. ...', and the buttons 'Open consent record' and 'Close'.
6. The consent record page opens, headed with the person's name and an 'All consents' back link - not 'Not part of your account' and not 'We can't find that page'.
7. The 'Users' page opens.
8. Each link opens a page the DPO can use; none shows 'Not part of your account' or 'We can't find that page'.</t>
        </is>
      </c>
      <c r="M144" s="11" t="inlineStr">
        <is>
          <t>The DPO's feed contains both consent withdrawals and lockouts, each entry opens a detail dialog, and every link opens a working page.</t>
        </is>
      </c>
      <c r="N144" s="16" t="n"/>
      <c r="O144" s="17" t="n"/>
      <c r="P144" s="16" t="inlineStr">
        <is>
          <t>Not run</t>
        </is>
      </c>
      <c r="Q144" s="16" t="n"/>
      <c r="R144" s="16" t="n"/>
    </row>
    <row r="145">
      <c r="A145" s="10" t="inlineStr">
        <is>
          <t>OVS-10</t>
        </is>
      </c>
      <c r="B145" s="11" t="inlineStr">
        <is>
          <t>Oversight and audit</t>
        </is>
      </c>
      <c r="C145" s="11" t="inlineStr">
        <is>
          <t>Administrator notifications show lockouts but not consent withdrawals</t>
        </is>
      </c>
      <c r="D145" s="11" t="inlineStr">
        <is>
          <t>Notifications (staff)</t>
        </is>
      </c>
      <c r="E145" s="11" t="inlineStr">
        <is>
          <t>Administrator on console</t>
        </is>
      </c>
      <c r="F145" s="11" t="inlineStr">
        <is>
          <t>High</t>
        </is>
      </c>
      <c r="G145" s="11" t="inlineStr">
        <is>
          <t>Negative</t>
        </is>
      </c>
      <c r="H145" s="11" t="inlineStr">
        <is>
          <t>Core</t>
        </is>
      </c>
      <c r="I145"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Within the last 24 hours a staff account was locked out: the coordinator enters a wrong password five times on the console for an account nobody needs for the next 30 minutes (for example rco@cmp.local after the RCO cases are finished). The lock lifts by itself after 30 minutes.
- At least one consent withdrawal exists (as the DPO, 'Consents' with 'Status' set to 'Withdrawn' shows at least one row).
- OVS-09 has confirmed that the DPO's feed shows a 'Consent withdrawn' entry.</t>
        </is>
      </c>
      <c r="J145" s="11" t="inlineStr">
        <is>
          <t>- admin@cmp.local (System Admin)
- Password: SeedPassw0rd!2026</t>
        </is>
      </c>
      <c r="K145" s="11" t="inlineStr">
        <is>
          <t>1. Open http://localhost:3000. Type admin@cmp.local in 'Email or username' and SeedPassw0rd!2026 in 'Password', click 'Sign in'. On the 'Verify it is you' page type the six-digit code the test coordinator relays into '6-digit code' and click 'Verify and continue'.
2. Click the bell icon at the top right of the header.
3. Find the 'Auth login locked out' entry for the account locked in the precondition.
4. Scroll the whole list looking for 'Consent withdrawn'.
5. Scroll the list looking for project events.
6. Click the 'Account: &lt;name&gt;' link on the lockout entry.
7. Go back, click the body of the lockout entry, then 'Close'.</t>
        </is>
      </c>
      <c r="L145" s="11" t="inlineStr">
        <is>
          <t>1. You land on the Dashboard with the heading 'Good day, System'. The top right of the header shows the person's name with the role badge 'Administrator'.
2. The 'Notifications' page opens.
3. It is listed with 'An account was locked after repeated failed sign-ins.' and the link 'Account: &lt;name&gt;'.
4. There is no 'Consent withdrawn' entry at all, even though the DPO sees one.
5. There are no 'Project transitioned', 'Notice published', 'Import rejected' or 'Export generated' entries - the administrator cannot open projects. Only lockouts and events on tickets addressed to the administrator appear (or 'Nothing to report' if none).
6. The 'Users' page opens (a page the administrator can use).
7. A dialog titled 'Auth login locked out' shows 'What', 'When', 'Who', 'Event' (auth.login_locked_out) and 'Record'; 'Close' dismisses it.</t>
        </is>
      </c>
      <c r="M145" s="11" t="inlineStr">
        <is>
          <t>The administrator sees lockouts and never consent withdrawals or project events, and the lockout link opens the Users page.</t>
        </is>
      </c>
      <c r="N145" s="16" t="n"/>
      <c r="O145" s="17" t="n"/>
      <c r="P145" s="16" t="inlineStr">
        <is>
          <t>Not run</t>
        </is>
      </c>
      <c r="Q145" s="16" t="n"/>
      <c r="R145" s="16" t="n"/>
    </row>
    <row r="146">
      <c r="A146" s="10" t="inlineStr">
        <is>
          <t>OVS-11</t>
        </is>
      </c>
      <c r="B146" s="11" t="inlineStr">
        <is>
          <t>Oversight and audit</t>
        </is>
      </c>
      <c r="C146" s="11" t="inlineStr">
        <is>
          <t>DCO and R&amp;D User notifications cover only projects they can see</t>
        </is>
      </c>
      <c r="D146" s="11" t="inlineStr">
        <is>
          <t>Notifications (staff)</t>
        </is>
      </c>
      <c r="E146" s="11" t="inlineStr">
        <is>
          <t>DCO and R&amp;D User on console</t>
        </is>
      </c>
      <c r="F146" s="11" t="inlineStr">
        <is>
          <t>High</t>
        </is>
      </c>
      <c r="G146" s="11" t="inlineStr">
        <is>
          <t>Negative</t>
        </is>
      </c>
      <c r="H146" s="11" t="inlineStr">
        <is>
          <t>Core</t>
        </is>
      </c>
      <c r="I146"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Within the last 24 hours a staff account was locked out: the coordinator enters a wrong password five times on the console for an account nobody needs for the next 30 minutes (for example rco@cmp.local after the RCO cases are finished). The lock lifts by itself after 30 minutes.
- At least one consent withdrawal exists (as the DPO, 'Consents' with 'Status' set to 'Withdrawn' shows at least one row).</t>
        </is>
      </c>
      <c r="J146" s="11" t="inlineStr">
        <is>
          <t>- dco@cmp.local (Arun Shetty)
- rnd@cmp.local (Kavya Rao)
- Password: SeedPassw0rd!2026</t>
        </is>
      </c>
      <c r="K146" s="11" t="inlineStr">
        <is>
          <t>1. Open http://localhost:3000. Type dco@cmp.local in 'Email or username' and SeedPassw0rd!2026 in 'Password', click 'Sign in'. On the 'Verify it is you' page type the six-digit code the test coordinator relays into '6-digit code' and click 'Verify and continue'.
2. Click the bell icon in the header to open 'Notifications', and read the list.
3. Look for 'Consent withdrawn' and 'Auth login locked out' entries.
4. Note the project named on two entries, then click 'My projects' in the sidebar.
5. Back on 'Notifications', click a 'Project: &lt;name&gt;' link, then an 'Export' link on an 'Export generated' entry (if present).
6. If a 'Notice published' entry is present, click its 'Notice: ...' link (or 'Open notice' in its dialog).
7. Click 'Sign out' at the bottom of the sidebar. Then sign in again as rnd@cmp.local (password SeedPassw0rd!2026, code from the coordinator, 'Verify and continue').
8. Click the bell icon in the header and read the 'Notifications' list.
9. Click the record link on each entry shown, including any 'Export generated' entry's 'Export' link.</t>
        </is>
      </c>
      <c r="L146" s="11" t="inlineStr">
        <is>
          <t>1. You land on the Dashboard with the heading 'Good day, Arun'. The top right of the header shows the person's name with the role badge 'Data Collection Owner'.
2. Entries are only of these kinds: 'Project transitioned', 'Notice published', 'Import rejected', 'Export generated', plus events on rights or breach tickets addressed to Arun. Each names a project (or a notice, import or export on one).
3. Neither appears, although the DPO's feed shows both.
4. Both projects are in Arun's projects list - no entry concerns a project he cannot see.
5. The project page and the 'Exports' page open normally.
6. A page Arun can use opens. It must NOT show 'Not part of your account' (the rule is that no notification link leads to a page the reader cannot open). If it does, record a defect.
7. The Dashboard opens with the heading 'Good day, Kavya' and the role badge 'R&amp;D User'.
8. Only events on projects Kavya created (and her tickets); no 'Consent withdrawn' and no 'Auth login locked out'.
9. Each opens a page Kavya can use. None may show 'Not part of your account' (R&amp;D Users have no Exports section, so an export link that lands there is a defect).</t>
        </is>
      </c>
      <c r="M146" s="11" t="inlineStr">
        <is>
          <t>Scoped roles see only events on projects in their own register, never withdrawals or lockouts, and no notification link lands on 'Not part of your account'.</t>
        </is>
      </c>
      <c r="N146" s="16" t="n"/>
      <c r="O146" s="17" t="n"/>
      <c r="P146" s="16" t="inlineStr">
        <is>
          <t>Not run</t>
        </is>
      </c>
      <c r="Q146" s="16" t="n"/>
      <c r="R146" s="16" t="n"/>
    </row>
    <row r="147">
      <c r="A147" s="10" t="inlineStr">
        <is>
          <t>OVS-12</t>
        </is>
      </c>
      <c r="B147" s="11" t="inlineStr">
        <is>
          <t>Oversight and audit</t>
        </is>
      </c>
      <c r="C147" s="11" t="inlineStr">
        <is>
          <t>Filter the audit trail by area, event, actor role, record type and period</t>
        </is>
      </c>
      <c r="D147" s="11" t="inlineStr">
        <is>
          <t>Audit trail - filters and chips</t>
        </is>
      </c>
      <c r="E147" s="11" t="inlineStr">
        <is>
          <t>DPO on console</t>
        </is>
      </c>
      <c r="F147" s="11" t="inlineStr">
        <is>
          <t>High</t>
        </is>
      </c>
      <c r="G147" s="11" t="inlineStr">
        <is>
          <t>Positive</t>
        </is>
      </c>
      <c r="H147" s="11" t="inlineStr">
        <is>
          <t>Core</t>
        </is>
      </c>
      <c r="I147"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47" s="11" t="inlineStr">
        <is>
          <t>- dpo@cmp.local (Priya Menon)
- Password: SeedPassw0rd!2026
- Area: Sign-in and access; Event: Access denied; Actor role: Admin; Record type: Project; From/To: today's date</t>
        </is>
      </c>
      <c r="K147" s="11" t="inlineStr">
        <is>
          <t>1. Open http://localhost:3000. Type dpo@cmp.local in 'Email or username' and SeedPassw0rd!2026 in 'Password', click 'Sign in'. On the 'Verify it is you' page type the six-digit code the test coordinator relays into '6-digit code' and click 'Verify and continue'.
2. Click 'Audit trail' under OVERSIGHT in the sidebar.
3. Open 'Area' and read the list, then choose 'Sign-in and access'.
4. Open 'Event'.
5. Choose 'Access denied'.
6. Click the small x on the 'Event' chip. Then in 'Actor role' choose 'Admin'.
7. In 'Record type' choose 'Project'.
8. Click 'Clear all'. Then set 'From' and 'To' to today's date.
9. Copy the address from the address bar, open a new tab, paste it and press Enter.
10. Remove the 'From' chip only, using its x.</t>
        </is>
      </c>
      <c r="L147" s="11" t="inlineStr">
        <is>
          <t>1. You land on the Dashboard with the heading 'Good day, Priya'. The top right of the header shows the person's name with the role badge 'DPO'.
2. The page headed 'Audit trail' opens with the text 'Append-only and hash-chained. Nothing here can be edited or deleted by anyone, including the Privacy Office. Ask it a question: about a person, a record, an area, a period.' Buttons 'Export CSV' and 'Verify chain' are at the top right. The filter panel has 'Search', 'About', 'Name, email or mobile', 'Area', 'Event', 'Record type', 'Actor role', 'From' and 'To'. The table has the columns 'When', 'Event', 'Actor', 'About', 'Record'. There is no edit or delete control anywhere.
3. The list names every area, A to Z, each once, among them 'Accounts', 'Breach notices', 'Breach tickets', 'Incidents and breaches', 'Messages', 'Notice templates', 'Notices', 'Rights requests' and 'Sign-in and access'. After choosing, a 'Filtered by' strip appears with the chip 'Area Sign-in and access'. Every row's Event starts with 'Auth' (e.g. 'Auth login succeeded'). The address bar now contains event_group=auth.
4. The first option reads 'Every event in this area' and the list holds only sign-in and access events (e.g. 'Access denied', 'Login failed', 'Login locked out').
5. The chip changes to 'Event Access denied' (the Area chip is replaced). Every row is 'Auth access denied' with the line 'A request was refused by the permission matrix.'
6. The Event filter is removed. A chip 'Actor role Admin' appears and every row's Actor carries the badge 'Administrator'.
7. A second chip 'Record type Project' appears next to 'Actor role Admin', and a 'Clear all' button appears. Every row's Record reads 'Project: &lt;name&gt;' (or 'Nothing matches these filters' if the administrator never touched a project).
8. All earlier chips disappear. Chips 'From &lt;date&gt;' and 'To &lt;date&gt;' appear and every row's 'When' falls on today.
9. The new tab shows the same filters, the same chips and the same rows - the question can be bookmarked or shared.
10. Only the From filter is removed; the 'To' chip stays. Under the table, 'Showing &lt;n&gt; of &lt;total&gt;' and 'Previous' / 'Next' buttons page through results.</t>
        </is>
      </c>
      <c r="M147" s="11" t="inlineStr">
        <is>
          <t>Each filter narrows the rows as described, shows as a removable chip, combines with others, clears individually or all at once, and survives being shared as a URL.</t>
        </is>
      </c>
      <c r="N147" s="16" t="n"/>
      <c r="O147" s="17" t="n"/>
      <c r="P147" s="16" t="inlineStr">
        <is>
          <t>Not run</t>
        </is>
      </c>
      <c r="Q147" s="16" t="n"/>
      <c r="R147" s="16" t="n"/>
    </row>
    <row r="148">
      <c r="A148" s="10" t="inlineStr">
        <is>
          <t>OVS-13</t>
        </is>
      </c>
      <c r="B148" s="11" t="inlineStr">
        <is>
          <t>Oversight and audit</t>
        </is>
      </c>
      <c r="C148" s="11" t="inlineStr">
        <is>
          <t>About picker finds a person by part of a name or a whole email</t>
        </is>
      </c>
      <c r="D148" s="11" t="inlineStr">
        <is>
          <t>Audit trail - About picker</t>
        </is>
      </c>
      <c r="E148" s="11" t="inlineStr">
        <is>
          <t>DPO on console</t>
        </is>
      </c>
      <c r="F148" s="11" t="inlineStr">
        <is>
          <t>High</t>
        </is>
      </c>
      <c r="G148" s="11" t="inlineStr">
        <is>
          <t>Positive</t>
        </is>
      </c>
      <c r="H148" s="11" t="inlineStr">
        <is>
          <t>Core</t>
        </is>
      </c>
      <c r="I148"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The seeded data principal Anjali Verma (subject@cmp.local) exists and has consent events.</t>
        </is>
      </c>
      <c r="J148" s="11" t="inlineStr">
        <is>
          <t>- dpo@cmp.local (Priya Menon)
- Password: SeedPassw0rd!2026
- Search terms: 'Anj', 'Verm', 'subject@cmp.local', 'Priya', 'dco@cmp.local', part of a project name</t>
        </is>
      </c>
      <c r="K148" s="11" t="inlineStr">
        <is>
          <t>1. Open http://localhost:3000. Type dpo@cmp.local in 'Email or username' and SeedPassw0rd!2026 in 'Password', click 'Sign in'. On the 'Verify it is you' page type the six-digit code the test coordinator relays into '6-digit code' and click 'Verify and continue'.
2. Click 'Audit trail'. Open the 'About' dropdown.
3. With 'Data principal' selected, type Anj (three letters) in 'Name, email or mobile'.
4. Click 'Anjali Verma'.
5. Remove the chip. Type the middle of her surname, Verm, and pick 'Anjali Verma' again.
6. Remove the chip. Type her whole email subject@cmp.local.
7. Change 'About' to 'Member of staff' and type Priya, then pick 'Priya Menon'.
8. Still on 'Member of staff', type the whole address dco@cmp.local and pick the answer.
9. Change 'About' to 'Project'.</t>
        </is>
      </c>
      <c r="L148" s="11" t="inlineStr">
        <is>
          <t>1. You land on the Dashboard with the heading 'Good day, Priya'. The top right of the header shows the person's name with the role badge 'DPO'.
2. It offers 'Data principal', 'Member of staff', 'Consent record', 'Processor', 'Data source', 'Project', 'Notice', 'Collection site', 'Rights request'. 'Data principal' is selected and the box beside it is labelled 'Name, email or mobile' with the grey hint 'The whole address or number'.
3. A list opens under the box ('Looking…' briefly) and offers 'Anjali Verma' with 'subject@cmp.local' beneath it, both readable. Other people whose names contain those letters may also be offered.
4. The box clears. A chip 'Data principal Anjali Verma' appears under 'Filtered by', every row's 'About' column reads 'Anjali Verma', and the summary numbers change to her events only.
5. She is offered and the same chip returns - part of a name anywhere in it works.
6. 'Anjali Verma' is offered; picking her gives the same chip.
7. 'Priya Menon' is offered with the hint 'dpo'. After picking, the Data principal chip is replaced by 'Actor Priya Menon' (the two are not stacked) and every row's Actor reads 'Priya Menon' with the 'DPO' badge.
8. 'Arun Shetty' (hint 'dco') is offered; the chip becomes 'Actor Arun Shetty'.
9. The box label changes to 'Name' with the hint 'Type a few letters'. Typing part of a known project name offers matching projects with their status beneath; picking one gives a chip 'Project &lt;name&gt;'.</t>
        </is>
      </c>
      <c r="M148" s="11" t="inlineStr">
        <is>
          <t>Three letters or more of a name, or a whole email, find the person; picking sets exactly one About chip and filters the rows; names are always readable.</t>
        </is>
      </c>
      <c r="N148" s="16" t="n"/>
      <c r="O148" s="17" t="n"/>
      <c r="P148" s="16" t="inlineStr">
        <is>
          <t>Not run</t>
        </is>
      </c>
      <c r="Q148" s="16" t="n"/>
      <c r="R148" s="16" t="n"/>
    </row>
    <row r="149">
      <c r="A149" s="10" t="inlineStr">
        <is>
          <t>OVS-14</t>
        </is>
      </c>
      <c r="B149" s="11" t="inlineStr">
        <is>
          <t>Oversight and audit</t>
        </is>
      </c>
      <c r="C149" s="11" t="inlineStr">
        <is>
          <t>About picker does not match two letters or part of an email</t>
        </is>
      </c>
      <c r="D149" s="11" t="inlineStr">
        <is>
          <t>Audit trail - About picker</t>
        </is>
      </c>
      <c r="E149" s="11" t="inlineStr">
        <is>
          <t>DPO on console</t>
        </is>
      </c>
      <c r="F149" s="11" t="inlineStr">
        <is>
          <t>Medium</t>
        </is>
      </c>
      <c r="G149" s="11" t="inlineStr">
        <is>
          <t>Negative</t>
        </is>
      </c>
      <c r="H149" s="11" t="inlineStr">
        <is>
          <t>Core</t>
        </is>
      </c>
      <c r="I149"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49" s="11" t="inlineStr">
        <is>
          <t>- dpo@cmp.local
- Password: SeedPassw0rd!2026
- Terms: 'An', 'subject@cmp', 'Pr', 'Anjali' (in Search)</t>
        </is>
      </c>
      <c r="K149" s="11" t="inlineStr">
        <is>
          <t>1. Open http://localhost:3000. Type dpo@cmp.local in 'Email or username' and SeedPassw0rd!2026 in 'Password', click 'Sign in'. On the 'Verify it is you' page type the six-digit code the test coordinator relays into '6-digit code' and click 'Verify and continue'.
2. Click 'Audit trail'. With 'About' set to 'Data principal', type An (two letters) in 'Name, email or mobile'.
3. Add one letter so the box reads Anj.
4. Clear the box and type part of her email: subject@cmp
5. Change 'About' to 'Member of staff' and type Pr.
6. Clear the About box. Set 'From' to 21 September 2026, type Anjali in 'Search' and click 'Search'.</t>
        </is>
      </c>
      <c r="L149" s="11" t="inlineStr">
        <is>
          <t>1. You land on the Dashboard with the heading 'Good day, Priya'. The top right of the header shows the person's name with the role badge 'DPO'.
2. The list under the box says 'Nothing by that name.' No one is offered and no filter or chip is applied. (Two letters are too few; a name needs three or more. Note: the screen does not currently say 'type more letters' - record the wording you see.)
3. 'Anjali Verma' is now offered - the control case works.
4. 'Nothing by that name.' - an email or mobile must be typed whole.
5. 'Nothing by that name.'
6. No entry is found by her name through 'Search' ('Nothing matches these filters' / 'Widen the question: remove a filter, or extend the dates.'), because Search reads event names and recorded details, which carry no names. Use About to find a person.</t>
        </is>
      </c>
      <c r="M149" s="11" t="inlineStr">
        <is>
          <t>Two-letter and partial-contact searches offer nobody and apply no filter; the free-text Search never matches a person's name.</t>
        </is>
      </c>
      <c r="N149" s="16" t="n"/>
      <c r="O149" s="17" t="n"/>
      <c r="P149" s="16" t="inlineStr">
        <is>
          <t>Not run</t>
        </is>
      </c>
      <c r="Q149" s="16" t="n"/>
      <c r="R149" s="16" t="n"/>
    </row>
    <row r="150">
      <c r="A150" s="10" t="inlineStr">
        <is>
          <t>OVS-15</t>
        </is>
      </c>
      <c r="B150" s="11" t="inlineStr">
        <is>
          <t>Oversight and audit</t>
        </is>
      </c>
      <c r="C150" s="11" t="inlineStr">
        <is>
          <t>Summary strip, opening an entry and verifying the chain</t>
        </is>
      </c>
      <c r="D150" s="11" t="inlineStr">
        <is>
          <t>Audit trail - summary, entry detail, Verify chain</t>
        </is>
      </c>
      <c r="E150" s="11" t="inlineStr">
        <is>
          <t>DPO on console</t>
        </is>
      </c>
      <c r="F150" s="11" t="inlineStr">
        <is>
          <t>Medium</t>
        </is>
      </c>
      <c r="G150" s="11" t="inlineStr">
        <is>
          <t>Positive</t>
        </is>
      </c>
      <c r="H150" s="11" t="inlineStr">
        <is>
          <t>Core</t>
        </is>
      </c>
      <c r="I150"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50" s="11" t="inlineStr">
        <is>
          <t>- dpo@cmp.local
- Password: SeedPassw0rd!2026
- Area: Consent</t>
        </is>
      </c>
      <c r="K150" s="11" t="inlineStr">
        <is>
          <t>1. Open http://localhost:3000. Type dpo@cmp.local in 'Email or username' and SeedPassw0rd!2026 in 'Password', click 'Sign in'. On the 'Verify it is you' page type the six-digit code the test coordinator relays into '6-digit code' and click 'Verify and continue'.
2. Click 'Audit trail' and look at the summary card above the table (no filters set).
3. Compare 'Entries' with the line under the table.
4. In 'Area' choose 'Consent'.
5. Click any row in the table.
6. Click 'Show raw JSON', then 'Show as a list'.
7. Click 'Open consent record' in the dialog.
8. Click 'Verify chain' at the top right.</t>
        </is>
      </c>
      <c r="L150" s="11" t="inlineStr">
        <is>
          <t>1. You land on the Dashboard with the heading 'Good day, Priya'. The top right of the header shows the person's name with the role badge 'DPO'.
2. It shows 'Entries' (a number), 'Span' ('&lt;date&gt; to &lt;date&gt;'), 'Most common event' ('&lt;Area&gt;: &lt;Event&gt; (&lt;count&gt;)') and 'Areas touched' (a number), and four panels: 'By area', 'Top events', 'By actor role' and 'Last 30 days · &lt;n&gt; entries', each with bars and numbers.
3. 'Showing 50 of &lt;total&gt;' - the total equals 'Entries'.
4. The summary recalculates: 'Areas touched' is 1, 'By area' lists only 'Consent', and 'Entries' again equals the '&lt;total&gt;' under the table.
5. A dialog opens titled with the event name (e.g. 'Consent given') and shows 'What', 'When', 'Who' (a name with role badge, or 'the system — no signed-in user'), 'About' (when a person is concerned), 'Event' (a code such as consent.given) and 'Record' (a long id); a 'Recorded details' list; the note 'This entry is append-only and part of a hash chain. Nobody — including the Privacy Office — can edit or delete it; the database refuses the statement.' There is no Edit or Delete button.
6. The details switch to raw JSON text and back to the labelled list.
7. The consent record page opens. Use Back to return to the filtered audit trail.
8. A green box titled 'Chain intact' appears reading 'Chain intact across &lt;n&gt; rows.' (A red 'Chain broken' box is a defect to report immediately.)</t>
        </is>
      </c>
      <c r="M150" s="11" t="inlineStr">
        <is>
          <t>Summary figures match the list for the same filters, an entry opens read-only with a working record link, and Verify chain reports the chain intact.</t>
        </is>
      </c>
      <c r="N150" s="16" t="n"/>
      <c r="O150" s="17" t="n"/>
      <c r="P150" s="16" t="inlineStr">
        <is>
          <t>Not run</t>
        </is>
      </c>
      <c r="Q150" s="16" t="n"/>
      <c r="R150" s="16" t="n"/>
    </row>
    <row r="151">
      <c r="A151" s="10" t="inlineStr">
        <is>
          <t>OVS-16</t>
        </is>
      </c>
      <c r="B151" s="11" t="inlineStr">
        <is>
          <t>Oversight and audit</t>
        </is>
      </c>
      <c r="C151" s="11" t="inlineStr">
        <is>
          <t>Export CSV downloads the filtered rows and the export is itself recorded</t>
        </is>
      </c>
      <c r="D151" s="11" t="inlineStr">
        <is>
          <t>Audit trail - Export CSV</t>
        </is>
      </c>
      <c r="E151" s="11" t="inlineStr">
        <is>
          <t>DPO on console</t>
        </is>
      </c>
      <c r="F151" s="11" t="inlineStr">
        <is>
          <t>High</t>
        </is>
      </c>
      <c r="G151" s="11" t="inlineStr">
        <is>
          <t>Positive</t>
        </is>
      </c>
      <c r="H151" s="11" t="inlineStr">
        <is>
          <t>Core</t>
        </is>
      </c>
      <c r="I151"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A spreadsheet program or text editor is available to open the downloaded file.</t>
        </is>
      </c>
      <c r="J151" s="11" t="inlineStr">
        <is>
          <t>- dpo@cmp.local
- Password: SeedPassw0rd!2026
- Area: Consent</t>
        </is>
      </c>
      <c r="K151" s="11" t="inlineStr">
        <is>
          <t>1. Open http://localhost:3000. Type dpo@cmp.local in 'Email or username' and SeedPassw0rd!2026 in 'Password', click 'Sign in'. On the 'Verify it is you' page type the six-digit code the test coordinator relays into '6-digit code' and click 'Verify and continue'.
2. Click 'Audit trail', choose 'Consent' in 'Area' and note the 'Entries' number in the summary.
3. Click 'Export CSV'.
4. Open the file.
5. Search the file for '@', for a mobile number and for '127.0.0.1'.
6. Look at the actor_name and subject_name columns.
7. Back in the console click 'Clear all' (or remove the chip), then choose Area 'Audit trail' and Event 'Exported'.
8. Click that row.</t>
        </is>
      </c>
      <c r="L151" s="11" t="inlineStr">
        <is>
          <t>1. You land on the Dashboard with the heading 'Good day, Priya'. The top right of the header shows the person's name with the role badge 'DPO'.
2. Chip 'Area Consent'; the rows are consent events only.
3. A message 'Audit trail exported' appears with '&lt;audit-trail-YYYYMMDD-HHMM.csv&gt; - the download is itself recorded in the trail.' A file with that name is saved to the browser's downloads.
4. The first row holds the column names occurred_at, event_type, actor_name, actor_role, subject_name, entity_type, entity_id, entity_label, detail, log_uuid. Rows are newest first, every event_type starts 'consent.', and the number of data rows equals the 'Entries' number (up to 10,000).
5. No email address, mobile number or IP address appears anywhere in the file.
6. Names are readable (e.g. 'Anjali Verma') or blank; no cell starts with 'SE::'. If scrambled 'SE::...' text appears, record a defect quoting one cell.
7. The newest row is 'Audit exported' by 'Priya Menon' with the 'DPO' badge, timed at the moment of the download.
8. The dialog 'Audit exported' shows 'Who' Priya Menon and, under 'Recorded details', 'Rows' equal to the file's data rows and 'Filters' showing the filter used (event_group consent). 'What' shows 'audit_log#0' with the words 'no longer exists' - the export is recorded against the trail itself, which has no page of its own (note this wording as an observation, not a failure).</t>
        </is>
      </c>
      <c r="M151" s="11" t="inlineStr">
        <is>
          <t>The CSV contains exactly the filtered rows with no contacts or IP addresses, and an 'Audit exported' entry records who exported, when, how many rows and with which filters.</t>
        </is>
      </c>
      <c r="N151" s="16" t="n"/>
      <c r="O151" s="17" t="n"/>
      <c r="P151" s="16" t="inlineStr">
        <is>
          <t>Not run</t>
        </is>
      </c>
      <c r="Q151" s="16" t="n"/>
      <c r="R151" s="16" t="n"/>
    </row>
    <row r="152">
      <c r="A152" s="10" t="inlineStr">
        <is>
          <t>OVS-17</t>
        </is>
      </c>
      <c r="B152" s="11" t="inlineStr">
        <is>
          <t>Oversight and audit</t>
        </is>
      </c>
      <c r="C152" s="11" t="inlineStr">
        <is>
          <t>'Audit trail' button on a record page opens the trail pre-filtered; absent for other roles</t>
        </is>
      </c>
      <c r="D152" s="11" t="inlineStr">
        <is>
          <t>Audit trail - record-page button</t>
        </is>
      </c>
      <c r="E152" s="11" t="inlineStr">
        <is>
          <t>DPO, then DCO and R&amp;D User on console</t>
        </is>
      </c>
      <c r="F152" s="11" t="inlineStr">
        <is>
          <t>High</t>
        </is>
      </c>
      <c r="G152" s="11" t="inlineStr">
        <is>
          <t>Positive</t>
        </is>
      </c>
      <c r="H152" s="11" t="inlineStr">
        <is>
          <t>Core</t>
        </is>
      </c>
      <c r="I152"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At least one consent record, project, notice and rights request exist.</t>
        </is>
      </c>
      <c r="J152" s="11" t="inlineStr">
        <is>
          <t>- dpo@cmp.local
- dco@cmp.local
- rnd@cmp.local
- Password: SeedPassw0rd!2026</t>
        </is>
      </c>
      <c r="K152" s="11" t="inlineStr">
        <is>
          <t>1. Open http://localhost:3000. Type dpo@cmp.local in 'Email or username' and SeedPassw0rd!2026 in 'Password', click 'Sign in'. On the 'Verify it is you' page type the six-digit code the test coordinator relays into '6-digit code' and click 'Verify and continue'.
2. Click 'Consents' and click a person's name in the 'Data subject' column (e.g. Anjali Verma).
3. Click 'Audit trail'. Copy the address bar for OVS-08.
4. Click 'Projects', open any project and click its 'Audit trail' button (next to the status badge).
5. Click 'Notices', open a notice and click 'Audit trail'.
6. Click 'Rights requests', open a request by its 'Reference' and click 'Audit trail'.
7. Click 'Sign out' at the bottom of the sidebar. Then sign in again as dco@cmp.local (password SeedPassw0rd!2026, code from the coordinator, 'Verify and continue').
8. Click 'Consents', open a record, then open a project from 'My projects'.
9. Sign out, sign in as rnd@cmp.local and open one of Kavya's projects.</t>
        </is>
      </c>
      <c r="L152" s="11" t="inlineStr">
        <is>
          <t>1. You land on the Dashboard with the heading 'Good day, Priya'. The top right of the header shows the person's name with the role badge 'DPO'.
2. The consent record opens, headed with the person's readable name, '&lt;project&gt; · &lt;site&gt;' underneath, a status badge and an 'Audit trail' button at the top right.
3. The Audit trail page opens with the chip 'Consent record &lt;name&gt; — &lt;project&gt;'. The rows are only events on that record (e.g. 'Consent given'); each Record cell reads 'Consent record: &lt;name&gt; — &lt;project&gt;'; the summary counts only them.
4. The trail opens with the chip 'Project &lt;project name&gt;' and events such as 'Project created' or 'Project transitioned'.
5. The trail opens with the chip 'Notice &lt;code&gt; v&lt;version&gt;'.
6. The trail opens with the chip 'Rights request &lt;reference&gt;'.
7. The Dashboard opens with the heading 'Good day, Arun' and the role badge 'Data Collection Owner'.
8. Both pages open, but neither shows an 'Audit trail' button (a DCO has no audit section).
9. The project page has no 'Audit trail' button.</t>
        </is>
      </c>
      <c r="M152" s="11" t="inlineStr">
        <is>
          <t>On consent, project, notice and rights-request pages the DPO's 'Audit trail' button opens the trail filtered to that record; DCO and R&amp;D User pages show no such button.</t>
        </is>
      </c>
      <c r="N152" s="16" t="n"/>
      <c r="O152" s="17" t="n"/>
      <c r="P152" s="16" t="inlineStr">
        <is>
          <t>Not run</t>
        </is>
      </c>
      <c r="Q152" s="16" t="n"/>
      <c r="R152" s="16" t="n"/>
    </row>
    <row r="153">
      <c r="A153" s="10" t="inlineStr">
        <is>
          <t>OVS-18</t>
        </is>
      </c>
      <c r="B153" s="11" t="inlineStr">
        <is>
          <t>Oversight and audit</t>
        </is>
      </c>
      <c r="C153" s="11" t="inlineStr">
        <is>
          <t>The audit trail carries no personal words - reasons flagged, addresses hashed</t>
        </is>
      </c>
      <c r="D153" s="11" t="inlineStr">
        <is>
          <t>Audit trail - no erasable data (ADR 0015)</t>
        </is>
      </c>
      <c r="E153" s="11" t="inlineStr">
        <is>
          <t>DPO on console</t>
        </is>
      </c>
      <c r="F153" s="11" t="inlineStr">
        <is>
          <t>High</t>
        </is>
      </c>
      <c r="G153" s="11" t="inlineStr">
        <is>
          <t>Negative</t>
        </is>
      </c>
      <c r="H153" s="11" t="inlineStr">
        <is>
          <t>Core</t>
        </is>
      </c>
      <c r="I153"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
- Since 21 September 2026 at least one project has changed stage, one staff invitation was sent and, ideally, one cover (delegation) was granted. Rows before that date may still hold raw addresses by design, so always filter from 21 September 2026.</t>
        </is>
      </c>
      <c r="J153" s="11" t="inlineStr">
        <is>
          <t>- dpo@cmp.local
- Password: SeedPassw0rd!2026
- From: 21 September 2026
- Search terms: 127.0.0.1, subject@cmp.local, @cmp.local</t>
        </is>
      </c>
      <c r="K153" s="11" t="inlineStr">
        <is>
          <t>1. Open http://localhost:3000. Type dpo@cmp.local in 'Email or username' and SeedPassw0rd!2026 in 'Password', click 'Sign in'. On the 'Verify it is you' page type the six-digit code the test coordinator relays into '6-digit code' and click 'Verify and continue'.
2. Click 'Audit trail' and set 'From' to 21 September 2026. Look at the table columns.
3. Choose Area 'Projects', Event 'Transitioned', and click the newest row.
4. Click 'Show raw JSON' and read it.
5. Change to Area 'Accounts', Event 'Invited', and open the newest row; click 'Show raw JSON'.
6. Clear the Area and Event filters (keep From). Type 127.0.0.1 in 'Search' and click 'Search'.
7. Search for subject@cmp.local, then for @cmp.local.
8. If entries exist, choose Area 'Delegation', Event 'Granted', open the newest row and click 'Open cover arrangement'.</t>
        </is>
      </c>
      <c r="L153" s="11" t="inlineStr">
        <is>
          <t>1. You land on the Dashboard with the heading 'Good day, Priya'. The top right of the header shows the person's name with the role badge 'DPO'.
2. The columns are 'When', 'Event', 'Actor', 'About', 'Record' - there is no IP address column.
3. 'Recorded details' lists 'From', 'To', 'Reason given' (a 'yes' or 'no' badge) and 'Published notice'. The words of any reason are not shown anywhere in the dialog.
4. It shows "reason_given": true or false - no free-text reason. If an "ip" line is present its value is a long string of letters and digits (a keyed hash), never an address like 127.0.0.1 or 192.168.x.x. Close the dialog.
5. No email address appears in the details; the person is identified only through 'Who' / 'About' and the record link.
6. 'Nothing matches these filters'.
7. 'Nothing matches these filters' both times - no contact is written into the trail.
8. The details show 'Reason given' yes/no and no reason text. The button opens the 'Delegations' page. If it shows 'We can't find that page', record a defect.</t>
        </is>
      </c>
      <c r="M153" s="11" t="inlineStr">
        <is>
          <t>Entries from 21 September 2026 carry no reason text, no email or mobile, and no readable IP address; reasons appear only as 'Reason given' yes/no.</t>
        </is>
      </c>
      <c r="N153" s="16" t="n"/>
      <c r="O153" s="17" t="n"/>
      <c r="P153" s="16" t="inlineStr">
        <is>
          <t>Not run</t>
        </is>
      </c>
      <c r="Q153" s="16" t="n"/>
      <c r="R153" s="16" t="n"/>
    </row>
    <row r="154">
      <c r="A154" s="10" t="inlineStr">
        <is>
          <t>OVS-19</t>
        </is>
      </c>
      <c r="B154" s="11" t="inlineStr">
        <is>
          <t>Oversight and audit</t>
        </is>
      </c>
      <c r="C154" s="11" t="inlineStr">
        <is>
          <t>Personal data is never shown as scrambled 'SE::' text on staff screens</t>
        </is>
      </c>
      <c r="D154" s="11" t="inlineStr">
        <is>
          <t>Data protection on screen (sealed values opened for display)</t>
        </is>
      </c>
      <c r="E154" s="11" t="inlineStr">
        <is>
          <t>DPO, Administrator and DCO on console</t>
        </is>
      </c>
      <c r="F154" s="11" t="inlineStr">
        <is>
          <t>High</t>
        </is>
      </c>
      <c r="G154" s="11" t="inlineStr">
        <is>
          <t>Negative</t>
        </is>
      </c>
      <c r="H154" s="11" t="inlineStr">
        <is>
          <t>Core</t>
        </is>
      </c>
      <c r="I154"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54" s="11" t="inlineStr">
        <is>
          <t>- dpo@cmp.local
- admin@cmp.local
- dco@cmp.local
- Password: SeedPassw0rd!2026</t>
        </is>
      </c>
      <c r="K154" s="11" t="inlineStr">
        <is>
          <t>1. Open http://localhost:3000. Type dpo@cmp.local in 'Email or username' and SeedPassw0rd!2026 in 'Password', click 'Sign in'. On the 'Verify it is you' page type the six-digit code the test coordinator relays into '6-digit code' and click 'Verify and continue'.
2. Click 'Users' and read the 'Name' column (wait for the table to finish loading).
3. Click 'Consents' and read the 'Data subject' column, including the email shown under each name.
4. Click 'Rights requests' and read the 'Who' column; open one request.
5. Click 'Audit trail'; read the 'Actor', 'About' and 'Record' columns; type Anj in the About box and read the offered names; open one entry.
6. Click 'Dashboard' and read the queue rows and 'Recent activity'.
7. Click 'Sign out' at the bottom of the sidebar. Then sign in again as admin@cmp.local (password SeedPassw0rd!2026, code from the coordinator, 'Verify and continue').
8. Click 'Users', click 'Edit' on any row, read 'Full name', 'Email' and 'Mobile', then close the dialog without saving.
9. Sign out, sign in as dco@cmp.local, click 'Consents' and open one record.</t>
        </is>
      </c>
      <c r="L154" s="11" t="inlineStr">
        <is>
          <t>1. You land on the Dashboard with the heading 'Good day, Priya'. The top right of the header shows the person's name with the role badge 'DPO'.
2. Every name is readable (e.g. 'Priya Menon', 'Anjali Verma'); no text starting 'SE::' appears anywhere on the page.
3. Names and emails are readable; no 'SE::' text.
4. Names and the request's details are readable; no 'SE::' text.
5. All names, emails and record labels are readable in the table, the About list and the dialog; no 'SE::' text.
6. People's names are readable; no 'SE::' text.
7. The Dashboard opens with the heading 'Good day, System' and the role badge 'Administrator'.
8. The 'Edit account' form is filled with the readable name and a readable email and/or mobile; no field contains 'SE::'.
9. The register and the record's heading show the person's readable name; no 'SE::' text.</t>
        </is>
      </c>
      <c r="M154" s="11" t="inlineStr">
        <is>
          <t>On every screen visited, names, emails and mobiles display as readable text; the string 'SE::' never appears.</t>
        </is>
      </c>
      <c r="N154" s="16" t="n"/>
      <c r="O154" s="17" t="n"/>
      <c r="P154" s="16" t="inlineStr">
        <is>
          <t>Not run</t>
        </is>
      </c>
      <c r="Q154" s="16" t="n"/>
      <c r="R154" s="16" t="n"/>
    </row>
    <row r="155">
      <c r="A155" s="10" t="inlineStr">
        <is>
          <t>OVS-20</t>
        </is>
      </c>
      <c r="B155" s="11" t="inlineStr">
        <is>
          <t>Oversight and audit</t>
        </is>
      </c>
      <c r="C155" s="11" t="inlineStr">
        <is>
          <t>Data principal's portal notifications show only her own events and open her own pages</t>
        </is>
      </c>
      <c r="D155" s="11" t="inlineStr">
        <is>
          <t>Updates - notifications (data principal portal)</t>
        </is>
      </c>
      <c r="E155" s="11" t="inlineStr">
        <is>
          <t>Data principal on portal</t>
        </is>
      </c>
      <c r="F155" s="11" t="inlineStr">
        <is>
          <t>High</t>
        </is>
      </c>
      <c r="G155" s="11" t="inlineStr">
        <is>
          <t>Positive</t>
        </is>
      </c>
      <c r="H155" s="11" t="inlineStr">
        <is>
          <t>Core</t>
        </is>
      </c>
      <c r="I155" s="11" t="inlineStr">
        <is>
          <t>- Use a fresh private/incognito browser window in which nobody is signed in to the console or the portal (both sites share one sign-in on this machine).
- The test coordinator can read the test outbox and relay the six-digit sign-in code.
- The portal is running at http://localhost:3001.
- Anjali Verma (subject@cmp.local) has at least one consent and ideally a rights request.</t>
        </is>
      </c>
      <c r="J155" s="11" t="inlineStr">
        <is>
          <t>- Email address: subject@cmp.local (Anjali Verma)</t>
        </is>
      </c>
      <c r="K155" s="11" t="inlineStr">
        <is>
          <t>1. Open http://localhost:3001/sign-in. Under 'Sign in with' choose 'Email', type subject@cmp.local in 'Email address' and click 'Send me a code'.
2. Type the code the test coordinator relays and click 'Verify'.
3. Click 'Updates'.
4. Check the list for events that are not hers to see.
5. Click the body of a 'Consent given' entry.
6. Click 'Open consent record'.
7. Back on 'Updates', click the record link on a rights request entry (if present) and on a 'Subject registered' entry ('Account: Anjali Verma' / 'Open account').
8. Type http://localhost:3001/users in the address bar, then http://localhost:3001/audit.</t>
        </is>
      </c>
      <c r="L155" s="11" t="inlineStr">
        <is>
          <t>1. A 'Check your messages' notice appears and a 'Six-digit code' box is shown.
2. The 'My consents' page opens. The sidebar shows YOUR DATA - 'My consents', 'My requests', 'My nominations' and 'Updates', and nothing else; 'My profile' is in the account menu under her name at the top right.
3. The page 'Updates' opens with 'What has happened that concerns you, taken from the audit trail itself.' Entries are about Anjali only, e.g. 'Consent given', 'Consent withdrawn', 'Notice served', 'Subject registered', 'Rights request received'. If there are none it says 'Nothing to report'.
4. No sign-in events ('Auth ...'), no 'Project transitioned', no office working on her request (e.g. 'Rights ticket issued', 'Rights holders derived') and no events about other people.
5. A dialog shows 'What' ('Consent record: Anjali Verma — &lt;project&gt;'), 'When', 'Who', 'Event' (consent.given) and 'Record', with an 'Open consent record' button. All names are readable; no 'SE::' text.
6. The 'My consents' page on the portal opens - not a staff page and not 'Not part of your account'.
7. The request link opens 'My requests'. The account link opens her own account page ('My profile'). If either shows 'We can't find that page', record a defect.
8. Both show the portal's 404 page, headed 'We can't find that page', with the buttons 'Go to My consents' and 'Your rights' - no staff screen exists on the portal.</t>
        </is>
      </c>
      <c r="M155" s="11" t="inlineStr">
        <is>
          <t>The data principal's feed contains only her own permitted events, entries open with readable details, every link lands on her own portal pages, and staff URLs do not exist on the portal.</t>
        </is>
      </c>
      <c r="N155" s="16" t="n"/>
      <c r="O155" s="17" t="n"/>
      <c r="P155" s="16" t="inlineStr">
        <is>
          <t>Not run</t>
        </is>
      </c>
      <c r="Q155" s="16" t="n"/>
      <c r="R155" s="16" t="n"/>
    </row>
    <row r="156">
      <c r="A156" s="10" t="inlineStr">
        <is>
          <t>OVS-21</t>
        </is>
      </c>
      <c r="B156" s="11" t="inlineStr">
        <is>
          <t>Oversight and audit</t>
        </is>
      </c>
      <c r="C156" s="11" t="inlineStr">
        <is>
          <t>Find your way: the command palette, breadcrumb, account menu, foldable sidebar and folding cards</t>
        </is>
      </c>
      <c r="D156" s="11" t="inlineStr">
        <is>
          <t>Console navigation (command palette, header, sidebar)</t>
        </is>
      </c>
      <c r="E156" s="11" t="inlineStr">
        <is>
          <t>DPO on console</t>
        </is>
      </c>
      <c r="F156" s="11" t="inlineStr">
        <is>
          <t>Medium</t>
        </is>
      </c>
      <c r="G156" s="11" t="inlineStr">
        <is>
          <t>Positive</t>
        </is>
      </c>
      <c r="H156" s="11" t="inlineStr">
        <is>
          <t>Core</t>
        </is>
      </c>
      <c r="I156" s="11" t="inlineStr">
        <is>
          <t>- Use a fresh private/incognito browser window in which nobody is signed in to the console or the portal (both sites share one sign-in on this machine).
- Keep the browser window at least 1024 pixels wide so the left-hand sidebar is always shown (on a narrower window the sidebar is behind the 'Open navigation' menu button at top left).
- The test coordinator can read the test outbox and relay the six-digit sign-in code.</t>
        </is>
      </c>
      <c r="J156" s="11" t="inlineStr">
        <is>
          <t>- Account: dpo@cmp.local (Priya Menon)</t>
        </is>
      </c>
      <c r="K156" s="11" t="inlineStr">
        <is>
          <t>1. Open http://localhost:3000. Type dpo@cmp.local in 'Email or username' and SeedPassw0rd!2026 in 'Password', click 'Sign in'. On the 'Verify it is you' page type the six-digit code the test coordinator relays into '6-digit code' and click 'Verify and continue'.
2. Click 'Projects' in the sidebar and look to the right of the logo in the header.
3. Press Ctrl+K (⌘K on a Mac), or click 'Jump to page…'. Type 'aud'.
4. Press Enter.
5. Open the box again (Ctrl+K / ⌘K) without typing.
6. Click Priya's name at the top right of the header.
7. In the sidebar click the heading 'GOVERNANCE', then click it again.
8. Click 'Collapse sidebar' at the bottom of the sidebar, then reload the page.
9. Open 'Rights requests', open any request, look at the top of the page, then click the card 'Clock and path'.</t>
        </is>
      </c>
      <c r="L156" s="11" t="inlineStr">
        <is>
          <t>1. You land on the Dashboard with the heading 'Good day, Priya'. The top right of the header shows the person's name with the role badge 'DPO'.
2. A breadcrumb reads 'Governance › Projects'. In the header are a box 'Jump to page…' showing ⌘K (on a Mac) or Ctrl K, a help (?) button, a bell, and Priya's name with the 'DPO' badge and her initials.
3. A search box opens over the page ('Search pages and actions…'). Typing narrows the list to 'Audit trail' under the heading 'Oversight'. The footer reads '↑ ↓ to move', '↵ to open', 'Esc to close'.
4. The 'Audit trail' page opens and the box closes. The breadcrumb reads 'Oversight › Audit trail'.
5. A 'Recent' group lists the pages just visited (for example 'Projects'), but not the page you are on. An 'Actions' group offers 'Open the help manual', 'Switch to dark theme' and 'Sign out'. Type 'zzz': it says 'Nothing matches “zzz”'. Press Esc to close it.
6. An account menu opens showing 'Priya Menon' and 'DPO', then 'My profile', 'Help manual', 'Switch to dark theme' and 'Sign out'. Press Esc: it closes and nothing else changes.
7. The first click folds away 'Approval documents' and 'Purposes'; the second brings them back. The group holding the page you are on cannot be folded away.
8. The sidebar becomes a narrow strip of icons (hovering an icon shows its name) and stays that way after the reload. Click 'Expand sidebar' to restore it.
9. The page opens on a summary: 'Due' with the date and days left, 'Current step', 'With' and 'Next'. 'Clock and path' starts folded to its heading; clicking it opens the checkpoints and the path, and clicking again folds it. On a project page the sections are tabs - 'Overview', 'Setup', 'Consent', 'Collections &amp; exchanges' and 'Activity' (which holds 'History', with its number of entries on the tab).</t>
        </is>
      </c>
      <c r="M156" s="11" t="inlineStr">
        <is>
          <t>Pages can be reached from the keyboard through the command palette; the breadcrumb shows where you are; the account menu offers profile, help, theme and sign-out; sidebar groups and the long reference cards fold away and are remembered.</t>
        </is>
      </c>
      <c r="N156" s="16" t="n"/>
      <c r="O156" s="17" t="n"/>
      <c r="P156" s="16" t="inlineStr">
        <is>
          <t>Not run</t>
        </is>
      </c>
      <c r="Q156" s="16" t="n"/>
      <c r="R156" s="16" t="n"/>
    </row>
    <row r="157">
      <c r="A157" s="10" t="inlineStr">
        <is>
          <t>OVS-22</t>
        </is>
      </c>
      <c r="B157" s="11" t="inlineStr">
        <is>
          <t>Oversight and audit</t>
        </is>
      </c>
      <c r="C157" s="11" t="inlineStr">
        <is>
          <t>The help manual opens from the sign-in page, the header and the command palette, and follows your role</t>
        </is>
      </c>
      <c r="D157" s="11" t="inlineStr">
        <is>
          <t>Help manual (console and portal)</t>
        </is>
      </c>
      <c r="E157" s="11" t="inlineStr">
        <is>
          <t>Anyone on console and portal; DCO on console</t>
        </is>
      </c>
      <c r="F157" s="11" t="inlineStr">
        <is>
          <t>Medium</t>
        </is>
      </c>
      <c r="G157" s="11" t="inlineStr">
        <is>
          <t>Positive</t>
        </is>
      </c>
      <c r="H157" s="11" t="inlineStr">
        <is>
          <t>Core</t>
        </is>
      </c>
      <c r="I157" s="11" t="inlineStr">
        <is>
          <t>- Use a fresh private/incognito browser window in which nobody is signed in to the console or the portal (both sites share one sign-in on this machine).
- The test coordinator can read the test outbox and relay the six-digit sign-in code.</t>
        </is>
      </c>
      <c r="J157" s="11" t="inlineStr">
        <is>
          <t>- Account: dco@cmp.local (Arun Shetty)
- Search word: export</t>
        </is>
      </c>
      <c r="K157" s="11" t="inlineStr">
        <is>
          <t>1. Open http://localhost:3000/sign-in and click 'Read the help manual' under the form ('New here, or stuck?').
2. In the table of contents click '16 Rights requests'.
3. Type 'export' in 'Search the manual'.
4. Scroll to the end of the manual.
5. Sign in to the console as dco@cmp.local (SeedPassw0rd!2026 and the relayed code). Click the help (?) button in the header.
6. Choose 'Every role' in the role box. Then click 'Back to where you were', press Ctrl+K (⌘K) and choose 'Open the help manual'.
7. Open http://localhost:3001/sign-in and click 'Help manual' next to 'Your rights and how to exercise them'.
8. Narrow the browser window to phone width (or use a phone) and look at the portal manual.</t>
        </is>
      </c>
      <c r="L157" s="11" t="inlineStr">
        <is>
          <t>1. The page 'COMPASS CMP Manual' opens without signing in, with a search box, an 'Every role' choice, '26 sections', a numbered 'Table of contents' and a 'Sign in' button at the top right.
2. The page scrolls to section 16 'Rights requests', whose badges read 'DPO' and 'Administrator'. Its numbered steps show the screen's own words in grey label boxes, for example 'Confirm classification'.
3. Only sections that mention exports remain, and the line under the box reads '8 of 26 sections mentioning “export”' (Exports, Purposes, Processors, the audit trail and others). Clicking the × clears it.
4. A panel 'Have any questions? Contact us' shows the Privacy Office's email address and response time, and says to ask your administrator about sign-in or role problems.
5. The manual opens already set to 'For the DCO', reading '15 of 26 sections for the DCO'. Section numbers keep their places (for example 8, 12, 13, 14). The top-right button now reads 'Back to where you were'.
6. 'Every role' shows all 26 sections, among them '17 Incidents and personal data breaches', '18 If you were given a login for a ticket' and '19 My tasks'. The role box also offers 'For the Temporary ticket holder'. The command palette opens the manual again.
7. The page 'Consent Portal Manual' opens without signing in, with 17 sections written for data principals (creating an account, giving consent through a link, withdrawing, requests, nominations, breach notices and ticket links) and no role choice.
8. The table of contents folds into a 'Table of contents · 17' bar above the sections; opening it lists them. Nothing is cut off at the side.</t>
        </is>
      </c>
      <c r="M157" s="11" t="inlineStr">
        <is>
          <t>Both manuals open without signing in and from the places that link to them; the console manual follows the reader's role and can show every section; search narrows the sections; the manual ends with the Privacy Office's contact.</t>
        </is>
      </c>
      <c r="N157" s="16" t="n"/>
      <c r="O157" s="17" t="n"/>
      <c r="P157" s="16" t="inlineStr">
        <is>
          <t>Not run</t>
        </is>
      </c>
      <c r="Q157" s="16" t="n"/>
      <c r="R157" s="16" t="n"/>
    </row>
  </sheetData>
  <autoFilter ref="A1:R157"/>
  <conditionalFormatting sqref="P2:P157">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P2:P157" showDropDown="0" showInputMessage="0" showErrorMessage="0" allowBlank="1" errorTitle="Not a status" error="Choose one of: Not run, Pass, Fail, Blocked" type="list">
      <formula1>"Not run,Pass,Fail,Blocked"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09"/>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6" customWidth="1" min="3" max="3"/>
    <col width="62" customWidth="1" min="4" max="4"/>
    <col width="62" customWidth="1" min="5" max="5"/>
    <col width="11" customWidth="1" min="6" max="6"/>
    <col width="40" customWidth="1" min="7" max="7"/>
  </cols>
  <sheetData>
    <row r="1">
      <c r="A1" s="9" t="inlineStr">
        <is>
          <t>Case ID</t>
        </is>
      </c>
      <c r="B1" s="9" t="inlineStr">
        <is>
          <t>Case title</t>
        </is>
      </c>
      <c r="C1" s="9" t="inlineStr">
        <is>
          <t>Step</t>
        </is>
      </c>
      <c r="D1" s="9" t="inlineStr">
        <is>
          <t>Action</t>
        </is>
      </c>
      <c r="E1" s="9" t="inlineStr">
        <is>
          <t>Expected result</t>
        </is>
      </c>
      <c r="F1" s="9" t="inlineStr">
        <is>
          <t>Step result</t>
        </is>
      </c>
      <c r="G1" s="9" t="inlineStr">
        <is>
          <t>Actual / notes</t>
        </is>
      </c>
    </row>
    <row r="2">
      <c r="A2" s="10" t="inlineStr">
        <is>
          <t>ACC-01</t>
        </is>
      </c>
      <c r="B2" s="11" t="inlineStr">
        <is>
          <t>Sign in to the console with password and email code</t>
        </is>
      </c>
      <c r="C2" s="11" t="n">
        <v>1</v>
      </c>
      <c r="D2" s="11" t="inlineStr">
        <is>
          <t>Open http://localhost:3000 in the browser.</t>
        </is>
      </c>
      <c r="E2" s="11" t="inlineStr">
        <is>
          <t>You are taken to the page headed 'Sign in' with the text 'Sign in with your password, then the code sent to your email.' It shows the fields 'Email or username' and 'Password', a 'Sign in' button, a 'Forgotten your password?' link and, at the bottom, the links 'Read the help manual' and 'Go to the consent portal'. In this test environment (development codes switched on) a folded panel 'Development accounts (&lt;n&gt;)' also sits under 'Forgotten your password?': opened, it lists the seed logins still on the seed password, each with a 'Use' button that fills the form. It is for development only - do not use it in this case; type the details.</t>
        </is>
      </c>
      <c r="F2" s="16" t="n"/>
      <c r="G2" s="16" t="n"/>
    </row>
    <row r="3">
      <c r="A3" s="10" t="inlineStr">
        <is>
          <t>ACC-01</t>
        </is>
      </c>
      <c r="B3" s="11" t="inlineStr">
        <is>
          <t>Sign in to the console with password and email code</t>
        </is>
      </c>
      <c r="C3" s="11" t="n">
        <v>2</v>
      </c>
      <c r="D3" s="11" t="inlineStr">
        <is>
          <t>Type dpo@cmp.local in 'Email or username' and SeedPassw0rd!2026 in 'Password', then click 'Sign in'.</t>
        </is>
      </c>
      <c r="E3" s="11" t="inlineStr">
        <is>
          <t>The page changes to 'Verify it is you' with the text 'Your role requires a second factor. We have sent a 6-digit code to your registered email.' There is a '6-digit code' box, a 'Verify and continue' button, a 'Send a new code' link and a 'Start over' link.</t>
        </is>
      </c>
      <c r="F3" s="16" t="n"/>
      <c r="G3" s="16" t="n"/>
    </row>
    <row r="4">
      <c r="A4" s="10" t="inlineStr">
        <is>
          <t>ACC-01</t>
        </is>
      </c>
      <c r="B4" s="11" t="inlineStr">
        <is>
          <t>Sign in to the console with password and email code</t>
        </is>
      </c>
      <c r="C4" s="11" t="n">
        <v>3</v>
      </c>
      <c r="D4" s="11" t="inlineStr">
        <is>
          <t>Without typing a code, look at the 'Verify and continue' button. Then type only 3 digits into '6-digit code'.</t>
        </is>
      </c>
      <c r="E4" s="11" t="inlineStr">
        <is>
          <t>'Verify and continue' stays greyed out (disabled) until exactly six digits are entered. Letters typed into the box are ignored.</t>
        </is>
      </c>
      <c r="F4" s="16" t="n"/>
      <c r="G4" s="16" t="n"/>
    </row>
    <row r="5">
      <c r="A5" s="10" t="inlineStr">
        <is>
          <t>ACC-01</t>
        </is>
      </c>
      <c r="B5" s="11" t="inlineStr">
        <is>
          <t>Sign in to the console with password and email code</t>
        </is>
      </c>
      <c r="C5" s="11" t="n">
        <v>4</v>
      </c>
      <c r="D5" s="11" t="inlineStr">
        <is>
          <t>Ask the test coordinator for the code sent to dpo@cmp.local (from the test outbox). Clear the box, type the six-digit code into '6-digit code' and click 'Verify and continue'. Do this within 5 minutes of step 2.</t>
        </is>
      </c>
      <c r="E5" s="11" t="inlineStr">
        <is>
          <t>You are signed in and land on the Dashboard. The page heading reads 'Good day, Priya', and beside it are the buttons 'Log an incident' and 'New notice template'.</t>
        </is>
      </c>
      <c r="F5" s="16" t="n"/>
      <c r="G5" s="16" t="n"/>
    </row>
    <row r="6">
      <c r="A6" s="10" t="inlineStr">
        <is>
          <t>ACC-01</t>
        </is>
      </c>
      <c r="B6" s="11" t="inlineStr">
        <is>
          <t>Sign in to the console with password and email code</t>
        </is>
      </c>
      <c r="C6" s="11" t="n">
        <v>5</v>
      </c>
      <c r="D6" s="11" t="inlineStr">
        <is>
          <t>Look at the top right of the header.</t>
        </is>
      </c>
      <c r="E6" s="11" t="inlineStr">
        <is>
          <t>The header shows the name 'Priya Menon' with a 'DPO' role badge and the initials 'PM'.</t>
        </is>
      </c>
      <c r="F6" s="16" t="n"/>
      <c r="G6" s="16" t="n"/>
    </row>
    <row r="7">
      <c r="A7" s="10" t="inlineStr">
        <is>
          <t>ACC-01</t>
        </is>
      </c>
      <c r="B7" s="11" t="inlineStr">
        <is>
          <t>Sign in to the console with password and email code</t>
        </is>
      </c>
      <c r="C7" s="11" t="n">
        <v>6</v>
      </c>
      <c r="D7" s="11" t="inlineStr">
        <is>
          <t>Look at the left-hand sidebar.</t>
        </is>
      </c>
      <c r="E7" s="11" t="inlineStr">
        <is>
          <t>The sidebar starts with the group 'Your work' - 'Dashboard', 'Rights requests', 'Breaches', 'My tasks', 'Projects', 'Notices' - followed by the groups Governance, Consent, Registry, Data movement and Oversight. Under Oversight there are 'Audit trail', 'Users', 'Delegations' and 'Message templates'. 'My profile' is not in the sidebar (it is in the account menu under your name at the top right), and notifications open from the bell in the header. A 'Sign out' button is at the bottom of the sidebar.</t>
        </is>
      </c>
      <c r="F7" s="16" t="n"/>
      <c r="G7" s="16" t="n"/>
    </row>
    <row r="8">
      <c r="A8" s="10" t="inlineStr">
        <is>
          <t>ACC-02</t>
        </is>
      </c>
      <c r="B8" s="11" t="inlineStr">
        <is>
          <t>Check each staff role lands on its own dashboard and menu</t>
        </is>
      </c>
      <c r="C8" s="11" t="n">
        <v>1</v>
      </c>
      <c r="D8" s="11" t="inlineStr">
        <is>
          <t>Open http://localhost:3000/sign-in. Type dco@cmp.local in 'Email or username' and SeedPassw0rd!2026 in 'Password' and click 'Sign in'.</t>
        </is>
      </c>
      <c r="E8" s="11" t="inlineStr">
        <is>
          <t>The 'Verify it is you' page appears: the DCO also needs the second factor.</t>
        </is>
      </c>
      <c r="F8" s="16" t="n"/>
      <c r="G8" s="16" t="n"/>
    </row>
    <row r="9">
      <c r="A9" s="10" t="inlineStr">
        <is>
          <t>ACC-02</t>
        </is>
      </c>
      <c r="B9" s="11" t="inlineStr">
        <is>
          <t>Check each staff role lands on its own dashboard and menu</t>
        </is>
      </c>
      <c r="C9" s="11" t="n">
        <v>2</v>
      </c>
      <c r="D9" s="11" t="inlineStr">
        <is>
          <t>Ask the test coordinator for the code sent to dco@cmp.local (from the test outbox), type it into '6-digit code' and click 'Verify and continue'.</t>
        </is>
      </c>
      <c r="E9" s="11" t="inlineStr">
        <is>
          <t>The Dashboard opens with the heading 'Good day, Arun'. The header shows 'Arun Shetty' with the role badge 'Data Collection Owner'. No 'Log an incident', 'Register a project' or 'Provision an account' button is shown beside the heading: a collection role starts nothing from the dashboard.</t>
        </is>
      </c>
      <c r="F9" s="16" t="n"/>
      <c r="G9" s="16" t="n"/>
    </row>
    <row r="10">
      <c r="A10" s="10" t="inlineStr">
        <is>
          <t>ACC-02</t>
        </is>
      </c>
      <c r="B10" s="11" t="inlineStr">
        <is>
          <t>Check each staff role lands on its own dashboard and menu</t>
        </is>
      </c>
      <c r="C10" s="11" t="n">
        <v>3</v>
      </c>
      <c r="D10" s="11" t="inlineStr">
        <is>
          <t>Read the sidebar menu from top to bottom.</t>
        </is>
      </c>
      <c r="E10" s="11" t="inlineStr">
        <is>
          <t>The menu shows exactly: Your work - Dashboard, My projects, Collection sites, Consent links, My tasks, Collections; Consent - Consents; Registry - Data sources; Data movement - Exports, Imports; Oversight - Delegations. There is no 'Approval documents', 'Notices', 'Purposes', 'Audit trail', 'Users' or 'Message templates'.</t>
        </is>
      </c>
      <c r="F10" s="16" t="n"/>
      <c r="G10" s="16" t="n"/>
    </row>
    <row r="11">
      <c r="A11" s="10" t="inlineStr">
        <is>
          <t>ACC-02</t>
        </is>
      </c>
      <c r="B11" s="11" t="inlineStr">
        <is>
          <t>Check each staff role lands on its own dashboard and menu</t>
        </is>
      </c>
      <c r="C11" s="11" t="n">
        <v>4</v>
      </c>
      <c r="D11" s="11" t="inlineStr">
        <is>
          <t>In the address bar, open http://localhost:3000/users.</t>
        </is>
      </c>
      <c r="E11" s="11" t="inlineStr">
        <is>
          <t>The users register is not shown. The sidebar stays, and the page shows a notice titled 'Not part of your account' reading 'This section belongs to a different role, so there is nothing here for you.' with a 'Back to your dashboard' button.</t>
        </is>
      </c>
      <c r="F11" s="16" t="n"/>
      <c r="G11" s="16" t="n"/>
    </row>
    <row r="12">
      <c r="A12" s="10" t="inlineStr">
        <is>
          <t>ACC-02</t>
        </is>
      </c>
      <c r="B12" s="11" t="inlineStr">
        <is>
          <t>Check each staff role lands on its own dashboard and menu</t>
        </is>
      </c>
      <c r="C12" s="11" t="n">
        <v>5</v>
      </c>
      <c r="D12" s="11" t="inlineStr">
        <is>
          <t>Click 'Sign out' at the bottom of the sidebar.</t>
        </is>
      </c>
      <c r="E12" s="11" t="inlineStr">
        <is>
          <t>You are returned to the 'Sign in' page.</t>
        </is>
      </c>
      <c r="F12" s="16" t="n"/>
      <c r="G12" s="16" t="n"/>
    </row>
    <row r="13">
      <c r="A13" s="10" t="inlineStr">
        <is>
          <t>ACC-02</t>
        </is>
      </c>
      <c r="B13" s="11" t="inlineStr">
        <is>
          <t>Check each staff role lands on its own dashboard and menu</t>
        </is>
      </c>
      <c r="C13" s="11" t="n">
        <v>6</v>
      </c>
      <c r="D13" s="11" t="inlineStr">
        <is>
          <t>Sign in as admin@cmp.local with SeedPassw0rd!2026, then enter the code the test coordinator gives you for admin@cmp.local (from the test outbox) and click 'Verify and continue'.</t>
        </is>
      </c>
      <c r="E13" s="11" t="inlineStr">
        <is>
          <t>The Dashboard opens with the heading 'Good day, System'. The header shows 'System Admin' with the role badge 'Administrator'. A 'Provision an account' button sits beside the heading.</t>
        </is>
      </c>
      <c r="F13" s="16" t="n"/>
      <c r="G13" s="16" t="n"/>
    </row>
    <row r="14">
      <c r="A14" s="10" t="inlineStr">
        <is>
          <t>ACC-02</t>
        </is>
      </c>
      <c r="B14" s="11" t="inlineStr">
        <is>
          <t>Check each staff role lands on its own dashboard and menu</t>
        </is>
      </c>
      <c r="C14" s="11" t="n">
        <v>7</v>
      </c>
      <c r="D14" s="11" t="inlineStr">
        <is>
          <t>Read the sidebar menu.</t>
        </is>
      </c>
      <c r="E14" s="11" t="inlineStr">
        <is>
          <t>The menu shows: Your work - Dashboard, Users, Grievances about the DPO, Message templates, Processors, Data sources, Audit trail; Oversight - Delegations; You - My tasks. There is no 'Projects', 'Consents' or 'Consent links'. The rights item is labelled 'Grievances about the DPO', not 'Rights requests'.</t>
        </is>
      </c>
      <c r="F14" s="16" t="n"/>
      <c r="G14" s="16" t="n"/>
    </row>
    <row r="15">
      <c r="A15" s="10" t="inlineStr">
        <is>
          <t>ACC-02</t>
        </is>
      </c>
      <c r="B15" s="11" t="inlineStr">
        <is>
          <t>Check each staff role lands on its own dashboard and menu</t>
        </is>
      </c>
      <c r="C15" s="11" t="n">
        <v>8</v>
      </c>
      <c r="D15" s="11" t="inlineStr">
        <is>
          <t>Click 'Sign out'.</t>
        </is>
      </c>
      <c r="E15" s="11" t="inlineStr">
        <is>
          <t>You are returned to the 'Sign in' page.</t>
        </is>
      </c>
      <c r="F15" s="16" t="n"/>
      <c r="G15" s="16" t="n"/>
    </row>
    <row r="16">
      <c r="A16" s="10" t="inlineStr">
        <is>
          <t>ACC-03</t>
        </is>
      </c>
      <c r="B16" s="11" t="inlineStr">
        <is>
          <t>Refuse a wrong password without saying which part was wrong</t>
        </is>
      </c>
      <c r="C16" s="11" t="n">
        <v>1</v>
      </c>
      <c r="D16" s="11" t="inlineStr">
        <is>
          <t>Open http://localhost:3000/sign-in and click 'Sign in' without typing anything.</t>
        </is>
      </c>
      <c r="E16" s="11" t="inlineStr">
        <is>
          <t>The form is not sent. Under 'Email or username' the message 'Enter your email address or username' appears, and under 'Password' the message 'Enter your password' appears.</t>
        </is>
      </c>
      <c r="F16" s="16" t="n"/>
      <c r="G16" s="16" t="n"/>
    </row>
    <row r="17">
      <c r="A17" s="10" t="inlineStr">
        <is>
          <t>ACC-03</t>
        </is>
      </c>
      <c r="B17" s="11" t="inlineStr">
        <is>
          <t>Refuse a wrong password without saying which part was wrong</t>
        </is>
      </c>
      <c r="C17" s="11" t="n">
        <v>2</v>
      </c>
      <c r="D17" s="11" t="inlineStr">
        <is>
          <t>Type dpo@cmp.local in 'Email or username' and WrongPassword!1 in 'Password'. Click 'Sign in'.</t>
        </is>
      </c>
      <c r="E17" s="11" t="inlineStr">
        <is>
          <t>You stay on the 'Sign in' page. A red banner above the fields reads 'Those credentials are not valid'. No code page is shown.</t>
        </is>
      </c>
      <c r="F17" s="16" t="n"/>
      <c r="G17" s="16" t="n"/>
    </row>
    <row r="18">
      <c r="A18" s="10" t="inlineStr">
        <is>
          <t>ACC-03</t>
        </is>
      </c>
      <c r="B18" s="11" t="inlineStr">
        <is>
          <t>Refuse a wrong password without saying which part was wrong</t>
        </is>
      </c>
      <c r="C18" s="11" t="n">
        <v>3</v>
      </c>
      <c r="D18" s="11" t="inlineStr">
        <is>
          <t>Change 'Email or username' to nobody-here@cmp.local, type SeedPassw0rd!2026 in 'Password' and click 'Sign in'.</t>
        </is>
      </c>
      <c r="E18" s="11" t="inlineStr">
        <is>
          <t>The same red banner 'Those credentials are not valid' appears. The message does not say that the account does not exist.</t>
        </is>
      </c>
      <c r="F18" s="16" t="n"/>
      <c r="G18" s="16" t="n"/>
    </row>
    <row r="19">
      <c r="A19" s="10" t="inlineStr">
        <is>
          <t>ACC-03</t>
        </is>
      </c>
      <c r="B19" s="11" t="inlineStr">
        <is>
          <t>Refuse a wrong password without saying which part was wrong</t>
        </is>
      </c>
      <c r="C19" s="11" t="n">
        <v>4</v>
      </c>
      <c r="D19" s="11" t="inlineStr">
        <is>
          <t>Change 'Email or username' to subject@cmp.local, type SeedPassw0rd!2026 in 'Password' and click 'Sign in'.</t>
        </is>
      </c>
      <c r="E19" s="11" t="inlineStr">
        <is>
          <t>The same red banner 'Those credentials are not valid' appears. A data principal cannot sign in to the console.</t>
        </is>
      </c>
      <c r="F19" s="16" t="n"/>
      <c r="G19" s="16" t="n"/>
    </row>
    <row r="20">
      <c r="A20" s="10" t="inlineStr">
        <is>
          <t>ACC-03</t>
        </is>
      </c>
      <c r="B20" s="11" t="inlineStr">
        <is>
          <t>Refuse a wrong password without saying which part was wrong</t>
        </is>
      </c>
      <c r="C20" s="11" t="n">
        <v>5</v>
      </c>
      <c r="D20" s="11" t="inlineStr">
        <is>
          <t>Now type dpo@cmp.local with the correct password SeedPassw0rd!2026 and click 'Sign in'.</t>
        </is>
      </c>
      <c r="E20" s="11" t="inlineStr">
        <is>
          <t>The 'Verify it is you' code page appears, showing that the earlier failures did not block a correct sign-in. (You can click 'Start over' to stop here.)</t>
        </is>
      </c>
      <c r="F20" s="16" t="n"/>
      <c r="G20" s="16" t="n"/>
    </row>
    <row r="21">
      <c r="A21" s="10" t="inlineStr">
        <is>
          <t>ACC-04</t>
        </is>
      </c>
      <c r="B21" s="11" t="inlineStr">
        <is>
          <t>Refuse a wrong or replaced sign-in code on the console</t>
        </is>
      </c>
      <c r="C21" s="11" t="n">
        <v>1</v>
      </c>
      <c r="D21" s="11" t="inlineStr">
        <is>
          <t>Open http://localhost:3000/sign-in, sign in with dpo@cmp.local and SeedPassw0rd!2026 and click 'Sign in'.</t>
        </is>
      </c>
      <c r="E21" s="11" t="inlineStr">
        <is>
          <t>The 'Verify it is you' page appears.</t>
        </is>
      </c>
      <c r="F21" s="16" t="n"/>
      <c r="G21" s="16" t="n"/>
    </row>
    <row r="22">
      <c r="A22" s="10" t="inlineStr">
        <is>
          <t>ACC-04</t>
        </is>
      </c>
      <c r="B22" s="11" t="inlineStr">
        <is>
          <t>Refuse a wrong or replaced sign-in code on the console</t>
        </is>
      </c>
      <c r="C22" s="11" t="n">
        <v>2</v>
      </c>
      <c r="D22" s="11" t="inlineStr">
        <is>
          <t>Type 000000 into '6-digit code' and click 'Verify and continue'.</t>
        </is>
      </c>
      <c r="E22" s="11" t="inlineStr">
        <is>
          <t>You stay on the code page. A red banner reads 'Invalid or expired code'.</t>
        </is>
      </c>
      <c r="F22" s="16" t="n"/>
      <c r="G22" s="16" t="n"/>
    </row>
    <row r="23">
      <c r="A23" s="10" t="inlineStr">
        <is>
          <t>ACC-04</t>
        </is>
      </c>
      <c r="B23" s="11" t="inlineStr">
        <is>
          <t>Refuse a wrong or replaced sign-in code on the console</t>
        </is>
      </c>
      <c r="C23" s="11" t="n">
        <v>3</v>
      </c>
      <c r="D23" s="11" t="inlineStr">
        <is>
          <t>Ask the test coordinator for the code sent to dpo@cmp.local (from the test outbox) and write it down as Code A. Do not enter it yet. Click 'Send a new code'.</t>
        </is>
      </c>
      <c r="E23" s="11" t="inlineStr">
        <is>
          <t>The link briefly reads 'Sending…', then a blue banner reads 'A new code has been sent. The previous one no longer works.' The code box is emptied.</t>
        </is>
      </c>
      <c r="F23" s="16" t="n"/>
      <c r="G23" s="16" t="n"/>
    </row>
    <row r="24">
      <c r="A24" s="10" t="inlineStr">
        <is>
          <t>ACC-04</t>
        </is>
      </c>
      <c r="B24" s="11" t="inlineStr">
        <is>
          <t>Refuse a wrong or replaced sign-in code on the console</t>
        </is>
      </c>
      <c r="C24" s="11" t="n">
        <v>4</v>
      </c>
      <c r="D24" s="11" t="inlineStr">
        <is>
          <t>Type Code A into '6-digit code' and click 'Verify and continue'.</t>
        </is>
      </c>
      <c r="E24" s="11" t="inlineStr">
        <is>
          <t>The old code is refused with the red banner 'Invalid or expired code'.</t>
        </is>
      </c>
      <c r="F24" s="16" t="n"/>
      <c r="G24" s="16" t="n"/>
    </row>
    <row r="25">
      <c r="A25" s="10" t="inlineStr">
        <is>
          <t>ACC-04</t>
        </is>
      </c>
      <c r="B25" s="11" t="inlineStr">
        <is>
          <t>Refuse a wrong or replaced sign-in code on the console</t>
        </is>
      </c>
      <c r="C25" s="11" t="n">
        <v>5</v>
      </c>
      <c r="D25" s="11" t="inlineStr">
        <is>
          <t>Click 'Start over'.</t>
        </is>
      </c>
      <c r="E25" s="11" t="inlineStr">
        <is>
          <t>You are back on the 'Sign in' page with the password form.</t>
        </is>
      </c>
      <c r="F25" s="16" t="n"/>
      <c r="G25" s="16" t="n"/>
    </row>
    <row r="26">
      <c r="A26" s="10" t="inlineStr">
        <is>
          <t>ACC-04</t>
        </is>
      </c>
      <c r="B26" s="11" t="inlineStr">
        <is>
          <t>Refuse a wrong or replaced sign-in code on the console</t>
        </is>
      </c>
      <c r="C26" s="11" t="n">
        <v>6</v>
      </c>
      <c r="D26" s="11" t="inlineStr">
        <is>
          <t>Sign in again with dpo@cmp.local and SeedPassw0rd!2026, ask the test coordinator for the newest code sent to dpo@cmp.local (from the test outbox), type it and click 'Verify and continue'.</t>
        </is>
      </c>
      <c r="E26" s="11" t="inlineStr">
        <is>
          <t>The newest code is accepted and the Dashboard opens with 'Good day, Priya'.</t>
        </is>
      </c>
      <c r="F26" s="16" t="n"/>
      <c r="G26" s="16" t="n"/>
    </row>
    <row r="27">
      <c r="A27" s="10" t="inlineStr">
        <is>
          <t>ACC-05</t>
        </is>
      </c>
      <c r="B27" s="11" t="inlineStr">
        <is>
          <t>Lock a staff account after five wrong passwords</t>
        </is>
      </c>
      <c r="C27" s="11" t="n">
        <v>1</v>
      </c>
      <c r="D27" s="11" t="inlineStr">
        <is>
          <t>Open http://localhost:3000/sign-in. Type rnd@cmp.local and NotThePassword!9 and click 'Sign in'.</t>
        </is>
      </c>
      <c r="E27" s="11" t="inlineStr">
        <is>
          <t>Red banner: 'Those credentials are not valid'.</t>
        </is>
      </c>
      <c r="F27" s="16" t="n"/>
      <c r="G27" s="16" t="n"/>
    </row>
    <row r="28">
      <c r="A28" s="10" t="inlineStr">
        <is>
          <t>ACC-05</t>
        </is>
      </c>
      <c r="B28" s="11" t="inlineStr">
        <is>
          <t>Lock a staff account after five wrong passwords</t>
        </is>
      </c>
      <c r="C28" s="11" t="n">
        <v>2</v>
      </c>
      <c r="D28" s="11" t="inlineStr">
        <is>
          <t>Repeat the same wrong attempt three more times (attempts 2, 3 and 4).</t>
        </is>
      </c>
      <c r="E28" s="11" t="inlineStr">
        <is>
          <t>Each time the red banner reads 'Those credentials are not valid'.</t>
        </is>
      </c>
      <c r="F28" s="16" t="n"/>
      <c r="G28" s="16" t="n"/>
    </row>
    <row r="29">
      <c r="A29" s="10" t="inlineStr">
        <is>
          <t>ACC-05</t>
        </is>
      </c>
      <c r="B29" s="11" t="inlineStr">
        <is>
          <t>Lock a staff account after five wrong passwords</t>
        </is>
      </c>
      <c r="C29" s="11" t="n">
        <v>3</v>
      </c>
      <c r="D29" s="11" t="inlineStr">
        <is>
          <t>Make a fifth attempt with the same wrong password.</t>
        </is>
      </c>
      <c r="E29" s="11" t="inlineStr">
        <is>
          <t>The red banner still reads 'Those credentials are not valid' (the lock is set now, but this answer does not reveal it).</t>
        </is>
      </c>
      <c r="F29" s="16" t="n"/>
      <c r="G29" s="16" t="n"/>
    </row>
    <row r="30">
      <c r="A30" s="10" t="inlineStr">
        <is>
          <t>ACC-05</t>
        </is>
      </c>
      <c r="B30" s="11" t="inlineStr">
        <is>
          <t>Lock a staff account after five wrong passwords</t>
        </is>
      </c>
      <c r="C30" s="11" t="n">
        <v>4</v>
      </c>
      <c r="D30" s="11" t="inlineStr">
        <is>
          <t>Now type the correct password SeedPassw0rd!2026 for rnd@cmp.local and click 'Sign in'.</t>
        </is>
      </c>
      <c r="E30" s="11" t="inlineStr">
        <is>
          <t>Sign-in is refused even with the correct password. The red banner reads 'Too many failed attempts. Try again later. Try again in about 30 minutes.' (the number of minutes may be slightly lower). No code page is shown.</t>
        </is>
      </c>
      <c r="F30" s="16" t="n"/>
      <c r="G30" s="16" t="n"/>
    </row>
    <row r="31">
      <c r="A31" s="10" t="inlineStr">
        <is>
          <t>ACC-05</t>
        </is>
      </c>
      <c r="B31" s="11" t="inlineStr">
        <is>
          <t>Lock a staff account after five wrong passwords</t>
        </is>
      </c>
      <c r="C31" s="11" t="n">
        <v>5</v>
      </c>
      <c r="D31" s="11" t="inlineStr">
        <is>
          <t>Wait until the 30-minute lock has passed (or ask the test coordinator to confirm it has expired), then sign in with rnd@cmp.local and SeedPassw0rd!2026.</t>
        </is>
      </c>
      <c r="E31" s="11" t="inlineStr">
        <is>
          <t>The 'Verify it is you' code page appears; the lock has lifted by itself without an administrator.</t>
        </is>
      </c>
      <c r="F31" s="16" t="n"/>
      <c r="G31" s="16" t="n"/>
    </row>
    <row r="32">
      <c r="A32" s="10" t="inlineStr">
        <is>
          <t>ACC-06</t>
        </is>
      </c>
      <c r="B32" s="11" t="inlineStr">
        <is>
          <t>Sign out of the console and confirm the session has ended</t>
        </is>
      </c>
      <c r="C32" s="11" t="n">
        <v>1</v>
      </c>
      <c r="D32" s="11" t="inlineStr">
        <is>
          <t>Check the header after signing in.</t>
        </is>
      </c>
      <c r="E32" s="11" t="inlineStr">
        <is>
          <t>The Dashboard shows 'Good day, Nikhil' and the header shows 'Nikhil Bose' with the role badge 'DCO Admin'.</t>
        </is>
      </c>
      <c r="F32" s="16" t="n"/>
      <c r="G32" s="16" t="n"/>
    </row>
    <row r="33">
      <c r="A33" s="10" t="inlineStr">
        <is>
          <t>ACC-06</t>
        </is>
      </c>
      <c r="B33" s="11" t="inlineStr">
        <is>
          <t>Sign out of the console and confirm the session has ended</t>
        </is>
      </c>
      <c r="C33" s="11" t="n">
        <v>2</v>
      </c>
      <c r="D33" s="11" t="inlineStr">
        <is>
          <t>Click 'Data sources' in the sidebar.</t>
        </is>
      </c>
      <c r="E33" s="11" t="inlineStr">
        <is>
          <t>The Data sources page opens.</t>
        </is>
      </c>
      <c r="F33" s="16" t="n"/>
      <c r="G33" s="16" t="n"/>
    </row>
    <row r="34">
      <c r="A34" s="10" t="inlineStr">
        <is>
          <t>ACC-06</t>
        </is>
      </c>
      <c r="B34" s="11" t="inlineStr">
        <is>
          <t>Sign out of the console and confirm the session has ended</t>
        </is>
      </c>
      <c r="C34" s="11" t="n">
        <v>3</v>
      </c>
      <c r="D34" s="11" t="inlineStr">
        <is>
          <t>Click 'Sign out' at the bottom of the sidebar.</t>
        </is>
      </c>
      <c r="E34" s="11" t="inlineStr">
        <is>
          <t>You are taken to the 'Sign in' page.</t>
        </is>
      </c>
      <c r="F34" s="16" t="n"/>
      <c r="G34" s="16" t="n"/>
    </row>
    <row r="35">
      <c r="A35" s="10" t="inlineStr">
        <is>
          <t>ACC-06</t>
        </is>
      </c>
      <c r="B35" s="11" t="inlineStr">
        <is>
          <t>Sign out of the console and confirm the session has ended</t>
        </is>
      </c>
      <c r="C35" s="11" t="n">
        <v>4</v>
      </c>
      <c r="D35" s="11" t="inlineStr">
        <is>
          <t>Click the browser's Back button.</t>
        </is>
      </c>
      <c r="E35" s="11" t="inlineStr">
        <is>
          <t>The Data sources page is not shown again with data; you end up on the 'Sign in' page.</t>
        </is>
      </c>
      <c r="F35" s="16" t="n"/>
      <c r="G35" s="16" t="n"/>
    </row>
    <row r="36">
      <c r="A36" s="10" t="inlineStr">
        <is>
          <t>ACC-06</t>
        </is>
      </c>
      <c r="B36" s="11" t="inlineStr">
        <is>
          <t>Sign out of the console and confirm the session has ended</t>
        </is>
      </c>
      <c r="C36" s="11" t="n">
        <v>5</v>
      </c>
      <c r="D36" s="11" t="inlineStr">
        <is>
          <t>Type http://localhost:3000/dashboard into the address bar and press Enter.</t>
        </is>
      </c>
      <c r="E36" s="11" t="inlineStr">
        <is>
          <t>You are sent to the 'Sign in' page (the address now contains 'next='), not to the dashboard.</t>
        </is>
      </c>
      <c r="F36" s="16" t="n"/>
      <c r="G36" s="16" t="n"/>
    </row>
    <row r="37">
      <c r="A37" s="10" t="inlineStr">
        <is>
          <t>ACC-07</t>
        </is>
      </c>
      <c r="B37" s="11" t="inlineStr">
        <is>
          <t>Follow a link while signed out and return to it after sign-in</t>
        </is>
      </c>
      <c r="C37" s="11" t="n">
        <v>1</v>
      </c>
      <c r="D37" s="11" t="inlineStr">
        <is>
          <t>Type http://localhost:3000/purposes into the address bar and press Enter.</t>
        </is>
      </c>
      <c r="E37" s="11" t="inlineStr">
        <is>
          <t>No Purposes data is shown. You are taken to the 'Sign in' page and the address contains 'next=' followed by '/purposes' (shown as %2Fpurposes).</t>
        </is>
      </c>
      <c r="F37" s="16" t="n"/>
      <c r="G37" s="16" t="n"/>
    </row>
    <row r="38">
      <c r="A38" s="10" t="inlineStr">
        <is>
          <t>ACC-07</t>
        </is>
      </c>
      <c r="B38" s="11" t="inlineStr">
        <is>
          <t>Follow a link while signed out and return to it after sign-in</t>
        </is>
      </c>
      <c r="C38" s="11" t="n">
        <v>2</v>
      </c>
      <c r="D38" s="11" t="inlineStr">
        <is>
          <t>Sign in with dpo@cmp.local and SeedPassw0rd!2026 and click 'Sign in'.</t>
        </is>
      </c>
      <c r="E38" s="11" t="inlineStr">
        <is>
          <t>The 'Verify it is you' page appears and its address still carries 'next=' for purposes.</t>
        </is>
      </c>
      <c r="F38" s="16" t="n"/>
      <c r="G38" s="16" t="n"/>
    </row>
    <row r="39">
      <c r="A39" s="10" t="inlineStr">
        <is>
          <t>ACC-07</t>
        </is>
      </c>
      <c r="B39" s="11" t="inlineStr">
        <is>
          <t>Follow a link while signed out and return to it after sign-in</t>
        </is>
      </c>
      <c r="C39" s="11" t="n">
        <v>3</v>
      </c>
      <c r="D39" s="11" t="inlineStr">
        <is>
          <t>Enter the code the test coordinator gives you for dpo@cmp.local (from the test outbox) and click 'Verify and continue'.</t>
        </is>
      </c>
      <c r="E39" s="11" t="inlineStr">
        <is>
          <t>You land directly on the page headed 'Purposes', not on the Dashboard.</t>
        </is>
      </c>
      <c r="F39" s="16" t="n"/>
      <c r="G39" s="16" t="n"/>
    </row>
    <row r="40">
      <c r="A40" s="10" t="inlineStr">
        <is>
          <t>ACC-07</t>
        </is>
      </c>
      <c r="B40" s="11" t="inlineStr">
        <is>
          <t>Follow a link while signed out and return to it after sign-in</t>
        </is>
      </c>
      <c r="C40" s="11" t="n">
        <v>4</v>
      </c>
      <c r="D40" s="11" t="inlineStr">
        <is>
          <t>While still signed in, type http://localhost:3000/sign-in into the address bar and press Enter.</t>
        </is>
      </c>
      <c r="E40" s="11" t="inlineStr">
        <is>
          <t>The sign-in form does not stay on screen; you are sent straight to the Dashboard ('Good day, Priya').</t>
        </is>
      </c>
      <c r="F40" s="16" t="n"/>
      <c r="G40" s="16" t="n"/>
    </row>
    <row r="41">
      <c r="A41" s="10" t="inlineStr">
        <is>
          <t>ACC-07</t>
        </is>
      </c>
      <c r="B41" s="11" t="inlineStr">
        <is>
          <t>Follow a link while signed out and return to it after sign-in</t>
        </is>
      </c>
      <c r="C41" s="11" t="n">
        <v>5</v>
      </c>
      <c r="D41" s="11" t="inlineStr">
        <is>
          <t>In the same window, open http://localhost:3001/my-consents (the data principal portal).</t>
        </is>
      </c>
      <c r="E41" s="11" t="inlineStr">
        <is>
          <t>The portal shows a page headed 'This portal is for data principals' with the text 'You are signed in as Priya Menon, a staff account. Your console is a separate site.' and the buttons 'Go to the staff console' and 'Sign out'.</t>
        </is>
      </c>
      <c r="F41" s="16" t="n"/>
      <c r="G41" s="16" t="n"/>
    </row>
    <row r="42">
      <c r="A42" s="10" t="inlineStr">
        <is>
          <t>ACC-07</t>
        </is>
      </c>
      <c r="B42" s="11" t="inlineStr">
        <is>
          <t>Follow a link while signed out and return to it after sign-in</t>
        </is>
      </c>
      <c r="C42" s="11" t="n">
        <v>6</v>
      </c>
      <c r="D42" s="11" t="inlineStr">
        <is>
          <t>Click 'Go to the staff console'.</t>
        </is>
      </c>
      <c r="E42" s="11" t="inlineStr">
        <is>
          <t>The console opens and shows the Dashboard, still signed in.</t>
        </is>
      </c>
      <c r="F42" s="16" t="n"/>
      <c r="G42" s="16" t="n"/>
    </row>
    <row r="43">
      <c r="A43" s="10" t="inlineStr">
        <is>
          <t>ACC-07</t>
        </is>
      </c>
      <c r="B43" s="11" t="inlineStr">
        <is>
          <t>Follow a link while signed out and return to it after sign-in</t>
        </is>
      </c>
      <c r="C43" s="11" t="n">
        <v>7</v>
      </c>
      <c r="D43" s="11" t="inlineStr">
        <is>
          <t>Click 'Sign out' in the sidebar. Then type http://localhost:3000/sign-in/verify into the address bar and press Enter.</t>
        </is>
      </c>
      <c r="E43" s="11" t="inlineStr">
        <is>
          <t>With no sign-in in progress, the code page does not stay on screen; you are taken to the 'Sign in' page.</t>
        </is>
      </c>
      <c r="F43" s="16" t="n"/>
      <c r="G43" s="16" t="n"/>
    </row>
    <row r="44">
      <c r="A44" s="10" t="inlineStr">
        <is>
          <t>ACC-08</t>
        </is>
      </c>
      <c r="B44" s="11" t="inlineStr">
        <is>
          <t>Add a personal email and end another session from My profile</t>
        </is>
      </c>
      <c r="C44" s="11" t="n">
        <v>1</v>
      </c>
      <c r="D44" s="11" t="inlineStr">
        <is>
          <t>In browser 1, sign in to http://localhost:3000 as rnd@cmp.local with the password and code. Click your name at the top right to open the account menu, then click 'My profile'.</t>
        </is>
      </c>
      <c r="E44" s="11" t="inlineStr">
        <is>
          <t>The page 'My profile' opens with three tabs - 'Contacts' (selected), 'Active sessions' with a count, and 'Password' - and the 'Identity' card beside them. Identity shows Name 'Kavya Rao' (with a 'Change' button beside it), Role 'R&amp;D User', Status 'Active' and a 'Session expires' time about 8 hours from now.</t>
        </is>
      </c>
      <c r="F44" s="16" t="n"/>
      <c r="G44" s="16" t="n"/>
    </row>
    <row r="45">
      <c r="A45" s="10" t="inlineStr">
        <is>
          <t>ACC-08</t>
        </is>
      </c>
      <c r="B45" s="11" t="inlineStr">
        <is>
          <t>Add a personal email and end another session from My profile</t>
        </is>
      </c>
      <c r="C45" s="11" t="n">
        <v>2</v>
      </c>
      <c r="D45" s="11" t="inlineStr">
        <is>
          <t>On the 'Contacts' tab, look at the 'Work email' row.</t>
        </is>
      </c>
      <c r="E45" s="11" t="inlineStr">
        <is>
          <t>It shows rnd@cmp.local with a 'Confirmed' badge. It has no 'Change', 'Add' or 'Remove' button.</t>
        </is>
      </c>
      <c r="F45" s="16" t="n"/>
      <c r="G45" s="16" t="n"/>
    </row>
    <row r="46">
      <c r="A46" s="10" t="inlineStr">
        <is>
          <t>ACC-08</t>
        </is>
      </c>
      <c r="B46" s="11" t="inlineStr">
        <is>
          <t>Add a personal email and end another session from My profile</t>
        </is>
      </c>
      <c r="C46" s="11" t="n">
        <v>3</v>
      </c>
      <c r="D46" s="11" t="inlineStr">
        <is>
          <t>In the 'Personal email' row, click 'Add' (or 'Change' if one is already there). Type tester01-kavya@example.org in the 'Personal email' box and click 'Save and send a code'.</t>
        </is>
      </c>
      <c r="E46" s="11" t="inlineStr">
        <is>
          <t>A green toast 'Saved' says 'We have sent a code to tester01-kavya@example.org.' The row shows the address with a 'Not confirmed' badge and a 'Six-digit code' box with 'Confirm' and 'Later' buttons.</t>
        </is>
      </c>
      <c r="F46" s="16" t="n"/>
      <c r="G46" s="16" t="n"/>
    </row>
    <row r="47">
      <c r="A47" s="10" t="inlineStr">
        <is>
          <t>ACC-08</t>
        </is>
      </c>
      <c r="B47" s="11" t="inlineStr">
        <is>
          <t>Add a personal email and end another session from My profile</t>
        </is>
      </c>
      <c r="C47" s="11" t="n">
        <v>4</v>
      </c>
      <c r="D47" s="11" t="inlineStr">
        <is>
          <t>Type 000000 into 'Six-digit code' and click 'Confirm'.</t>
        </is>
      </c>
      <c r="E47" s="11" t="inlineStr">
        <is>
          <t>A red message 'Invalid or expired code' appears in the row; the address stays 'Not confirmed'.</t>
        </is>
      </c>
      <c r="F47" s="16" t="n"/>
      <c r="G47" s="16" t="n"/>
    </row>
    <row r="48">
      <c r="A48" s="10" t="inlineStr">
        <is>
          <t>ACC-08</t>
        </is>
      </c>
      <c r="B48" s="11" t="inlineStr">
        <is>
          <t>Add a personal email and end another session from My profile</t>
        </is>
      </c>
      <c r="C48" s="11" t="n">
        <v>5</v>
      </c>
      <c r="D48" s="11" t="inlineStr">
        <is>
          <t>Ask the test coordinator for the code sent to tester01-kavya@example.org (from the test outbox). Replace the digits with it and click 'Confirm'.</t>
        </is>
      </c>
      <c r="E48" s="11" t="inlineStr">
        <is>
          <t>A green toast 'Confirmed' says 'tester01-kavya@example.org can now sign you in.' The row now shows a 'Confirmed' badge.</t>
        </is>
      </c>
      <c r="F48" s="16" t="n"/>
      <c r="G48" s="16" t="n"/>
    </row>
    <row r="49">
      <c r="A49" s="10" t="inlineStr">
        <is>
          <t>ACC-08</t>
        </is>
      </c>
      <c r="B49" s="11" t="inlineStr">
        <is>
          <t>Add a personal email and end another session from My profile</t>
        </is>
      </c>
      <c r="C49" s="11" t="n">
        <v>6</v>
      </c>
      <c r="D49" s="11" t="inlineStr">
        <is>
          <t>In browser 2, sign in to http://localhost:3000 as rnd@cmp.local with the password and a new code. Go back to browser 1 and refresh the 'My profile' page and click the 'Active sessions' tab.</t>
        </is>
      </c>
      <c r="E49" s="11" t="inlineStr">
        <is>
          <t>The tab's count is 2 or more, and a table lists the sessions with 'Device' (for example 'Chrome on Windows'), 'Address', 'Last active' and 'Expires'. The one for browser 1 is marked 'this device' and has no button; the other has an 'End session' button. 'End all other sessions' is shown above the table.</t>
        </is>
      </c>
      <c r="F49" s="16" t="n"/>
      <c r="G49" s="16" t="n"/>
    </row>
    <row r="50">
      <c r="A50" s="10" t="inlineStr">
        <is>
          <t>ACC-08</t>
        </is>
      </c>
      <c r="B50" s="11" t="inlineStr">
        <is>
          <t>Add a personal email and end another session from My profile</t>
        </is>
      </c>
      <c r="C50" s="11" t="n">
        <v>7</v>
      </c>
      <c r="D50" s="11" t="inlineStr">
        <is>
          <t>In browser 1, click 'End session' on the other session.</t>
        </is>
      </c>
      <c r="E50" s="11" t="inlineStr">
        <is>
          <t>A green toast 'Session ended' appears; that row disappears from the table and the tab's count drops to 1.</t>
        </is>
      </c>
      <c r="F50" s="16" t="n"/>
      <c r="G50" s="16" t="n"/>
    </row>
    <row r="51">
      <c r="A51" s="10" t="inlineStr">
        <is>
          <t>ACC-08</t>
        </is>
      </c>
      <c r="B51" s="11" t="inlineStr">
        <is>
          <t>Add a personal email and end another session from My profile</t>
        </is>
      </c>
      <c r="C51" s="11" t="n">
        <v>8</v>
      </c>
      <c r="D51" s="11" t="inlineStr">
        <is>
          <t>In browser 2, click any sidebar item (for example 'My projects').</t>
        </is>
      </c>
      <c r="E51" s="11" t="inlineStr">
        <is>
          <t>Browser 2 is sent to the 'Sign in' page: its session was ended from browser 1.</t>
        </is>
      </c>
      <c r="F51" s="16" t="n"/>
      <c r="G51" s="16" t="n"/>
    </row>
    <row r="52">
      <c r="A52" s="10" t="inlineStr">
        <is>
          <t>ACC-09</t>
        </is>
      </c>
      <c r="B52" s="11" t="inlineStr">
        <is>
          <t>Create a new data principal account with mobile and email</t>
        </is>
      </c>
      <c r="C52" s="11" t="n">
        <v>1</v>
      </c>
      <c r="D52" s="11" t="inlineStr">
        <is>
          <t>Open http://localhost:3001. On the 'Sign in' page, click 'Create an account'.</t>
        </is>
      </c>
      <c r="E52" s="11" t="inlineStr">
        <is>
          <t>The page 'Create your account' opens with the text 'For people whose data is being collected. Staff accounts are issued by your administrator.' It has the fields 'Full name', 'Mobile number', 'Email address' (marked optional in its hint) and 'Date of birth', and a 'Create account' button.</t>
        </is>
      </c>
      <c r="F52" s="16" t="n"/>
      <c r="G52" s="16" t="n"/>
    </row>
    <row r="53">
      <c r="A53" s="10" t="inlineStr">
        <is>
          <t>ACC-09</t>
        </is>
      </c>
      <c r="B53" s="11" t="inlineStr">
        <is>
          <t>Create a new data principal account with mobile and email</t>
        </is>
      </c>
      <c r="C53" s="11" t="n">
        <v>2</v>
      </c>
      <c r="D53" s="11" t="inlineStr">
        <is>
          <t>Read the hint under 'Date of birth'.</t>
        </is>
      </c>
      <c r="E53" s="11" t="inlineStr">
        <is>
          <t>It reads 'The law protects people under 18 differently, so we ask before an account is opened.' It does not mention a parent or guardian.</t>
        </is>
      </c>
      <c r="F53" s="16" t="n"/>
      <c r="G53" s="16" t="n"/>
    </row>
    <row r="54">
      <c r="A54" s="10" t="inlineStr">
        <is>
          <t>ACC-09</t>
        </is>
      </c>
      <c r="B54" s="11" t="inlineStr">
        <is>
          <t>Create a new data principal account with mobile and email</t>
        </is>
      </c>
      <c r="C54" s="11" t="n">
        <v>3</v>
      </c>
      <c r="D54" s="11" t="inlineStr">
        <is>
          <t>Fill in Full name 'Tester One', Mobile number '+91 98111 22301', Email address 'tester01@example.org' and Date of birth 15 August 1990. Click 'Create account'.</t>
        </is>
      </c>
      <c r="E54" s="11" t="inlineStr">
        <is>
          <t>The page 'Confirm your contacts' opens with the text 'If those details are new to us, a code has gone to your mobile and another to your email. Enter both.' It shows 'Code sent to your mobile' (with the mobile number under it), 'Code sent to your email' (with the email under it) and a 'Confirm and sign in' button.</t>
        </is>
      </c>
      <c r="F54" s="16" t="n"/>
      <c r="G54" s="16" t="n"/>
    </row>
    <row r="55">
      <c r="A55" s="10" t="inlineStr">
        <is>
          <t>ACC-09</t>
        </is>
      </c>
      <c r="B55" s="11" t="inlineStr">
        <is>
          <t>Create a new data principal account with mobile and email</t>
        </is>
      </c>
      <c r="C55" s="11" t="n">
        <v>4</v>
      </c>
      <c r="D55" s="11" t="inlineStr">
        <is>
          <t>Type 000000 in both code boxes and click 'Confirm and sign in'.</t>
        </is>
      </c>
      <c r="E55" s="11" t="inlineStr">
        <is>
          <t>You stay on the page. A red banner reads 'Invalid or expired code'.</t>
        </is>
      </c>
      <c r="F55" s="16" t="n"/>
      <c r="G55" s="16" t="n"/>
    </row>
    <row r="56">
      <c r="A56" s="10" t="inlineStr">
        <is>
          <t>ACC-09</t>
        </is>
      </c>
      <c r="B56" s="11" t="inlineStr">
        <is>
          <t>Create a new data principal account with mobile and email</t>
        </is>
      </c>
      <c r="C56" s="11" t="n">
        <v>5</v>
      </c>
      <c r="D56" s="11" t="inlineStr">
        <is>
          <t>Ask the test coordinator for the code sent to +91 98111 22301 and the code sent to tester01@example.org (both from the test outbox). Replace the digits in each box with the matching code and click 'Confirm and sign in'.</t>
        </is>
      </c>
      <c r="E56" s="11" t="inlineStr">
        <is>
          <t>Both codes are accepted even though a wrong pair was tried first. You are signed in and land on the page headed 'My consents'.</t>
        </is>
      </c>
      <c r="F56" s="16" t="n"/>
      <c r="G56" s="16" t="n"/>
    </row>
    <row r="57">
      <c r="A57" s="10" t="inlineStr">
        <is>
          <t>ACC-09</t>
        </is>
      </c>
      <c r="B57" s="11" t="inlineStr">
        <is>
          <t>Create a new data principal account with mobile and email</t>
        </is>
      </c>
      <c r="C57" s="11" t="n">
        <v>6</v>
      </c>
      <c r="D57" s="11" t="inlineStr">
        <is>
          <t>Look at the header and the sidebar.</t>
        </is>
      </c>
      <c r="E57" s="11" t="inlineStr">
        <is>
          <t>The header shows 'Tester One' with the role badge 'Data Subject'. The sidebar shows 'My consents', 'My requests', 'My nominations', 'Updates' and 'Sign out'; 'My profile' is in the account menu under the name. There is no 'We need your date of birth' notice.</t>
        </is>
      </c>
      <c r="F57" s="16" t="n"/>
      <c r="G57" s="16" t="n"/>
    </row>
    <row r="58">
      <c r="A58" s="10" t="inlineStr">
        <is>
          <t>ACC-09</t>
        </is>
      </c>
      <c r="B58" s="11" t="inlineStr">
        <is>
          <t>Create a new data principal account with mobile and email</t>
        </is>
      </c>
      <c r="C58" s="11" t="n">
        <v>7</v>
      </c>
      <c r="D58" s="11" t="inlineStr">
        <is>
          <t>Click your name at the top right to open the account menu, then click 'My profile'.</t>
        </is>
      </c>
      <c r="E58" s="11" t="inlineStr">
        <is>
          <t>'My profile' opens. Identity shows Name 'Tester One' (with a 'Change' button beside it), Mobile and Email as entered, Role 'Data Subject', Status 'Active' and Date of birth 15 Aug 1990 (no under-18 badge). In Contacts, the mobile and email both show 'Confirmed'.</t>
        </is>
      </c>
      <c r="F58" s="16" t="n"/>
      <c r="G58" s="16" t="n"/>
    </row>
    <row r="59">
      <c r="A59" s="10" t="inlineStr">
        <is>
          <t>ACC-10</t>
        </is>
      </c>
      <c r="B59" s="11" t="inlineStr">
        <is>
          <t>Refuse sign-up for a person under 18 with no guardian route</t>
        </is>
      </c>
      <c r="C59" s="11" t="n">
        <v>1</v>
      </c>
      <c r="D59" s="11" t="inlineStr">
        <is>
          <t>Open http://localhost:3001/sign-up. Fill in Full name 'Minor Tester', Mobile number '+91 98111 22302', leave Email address empty, and set Date of birth to 10 May 2012. Click 'Create account'.</t>
        </is>
      </c>
      <c r="E59" s="11" t="inlineStr">
        <is>
          <t>No account is created and you stay on 'Create your account'. A red message says the person cannot be registered because they are under eighteen. The expected wording is 'We cannot register or record consent for a person under eighteen. If you think your date of birth is wrong, contact the Privacy Office.'</t>
        </is>
      </c>
      <c r="F59" s="16" t="n"/>
      <c r="G59" s="16" t="n"/>
    </row>
    <row r="60">
      <c r="A60" s="10" t="inlineStr">
        <is>
          <t>ACC-10</t>
        </is>
      </c>
      <c r="B60" s="11" t="inlineStr">
        <is>
          <t>Refuse sign-up for a person under 18 with no guardian route</t>
        </is>
      </c>
      <c r="C60" s="11" t="n">
        <v>2</v>
      </c>
      <c r="D60" s="11" t="inlineStr">
        <is>
          <t>Read the whole page, including the message and the hints.</t>
        </is>
      </c>
      <c r="E60" s="11" t="inlineStr">
        <is>
          <t>Nothing on the page offers a parent, guardian or 'register on behalf of a child' option; the 'Confirm your contacts' step is not shown.</t>
        </is>
      </c>
      <c r="F60" s="16" t="n"/>
      <c r="G60" s="16" t="n"/>
    </row>
    <row r="61">
      <c r="A61" s="10" t="inlineStr">
        <is>
          <t>ACC-10</t>
        </is>
      </c>
      <c r="B61" s="11" t="inlineStr">
        <is>
          <t>Refuse sign-up for a person under 18 with no guardian route</t>
        </is>
      </c>
      <c r="C61" s="11" t="n">
        <v>3</v>
      </c>
      <c r="D61" s="11" t="inlineStr">
        <is>
          <t>Change Date of birth to the boundary date (one day short of 18 years ago) and click 'Create account' again.</t>
        </is>
      </c>
      <c r="E61" s="11" t="inlineStr">
        <is>
          <t>The same refusal is shown: a person one day short of 18 is still refused.</t>
        </is>
      </c>
      <c r="F61" s="16" t="n"/>
      <c r="G61" s="16" t="n"/>
    </row>
    <row r="62">
      <c r="A62" s="10" t="inlineStr">
        <is>
          <t>ACC-10</t>
        </is>
      </c>
      <c r="B62" s="11" t="inlineStr">
        <is>
          <t>Refuse sign-up for a person under 18 with no guardian route</t>
        </is>
      </c>
      <c r="C62" s="11" t="n">
        <v>4</v>
      </c>
      <c r="D62" s="11" t="inlineStr">
        <is>
          <t>Click 'Sign in' at the bottom of the page. On the 'Sign in' page keep 'Mobile' selected, type +91 98111 22302 in 'Mobile number' and click 'Send me a code'.</t>
        </is>
      </c>
      <c r="E62" s="11" t="inlineStr">
        <is>
          <t>The page shows 'Check your messages' and 'If +91 98111 22302 is registered with us, a six-digit code is on its way.' (the same neutral wording as for any number).</t>
        </is>
      </c>
      <c r="F62" s="16" t="n"/>
      <c r="G62" s="16" t="n"/>
    </row>
    <row r="63">
      <c r="A63" s="10" t="inlineStr">
        <is>
          <t>ACC-10</t>
        </is>
      </c>
      <c r="B63" s="11" t="inlineStr">
        <is>
          <t>Refuse sign-up for a person under 18 with no guardian route</t>
        </is>
      </c>
      <c r="C63" s="11" t="n">
        <v>5</v>
      </c>
      <c r="D63" s="11" t="inlineStr">
        <is>
          <t>Ask the test coordinator to check the test outbox for any message to +91 98111 22302.</t>
        </is>
      </c>
      <c r="E63" s="11" t="inlineStr">
        <is>
          <t>The coordinator confirms that no registration code and no sign-in code was sent to that number: no account exists for it.</t>
        </is>
      </c>
      <c r="F63" s="16" t="n"/>
      <c r="G63" s="16" t="n"/>
    </row>
    <row r="64">
      <c r="A64" s="10" t="inlineStr">
        <is>
          <t>ACC-11</t>
        </is>
      </c>
      <c r="B64" s="11" t="inlineStr">
        <is>
          <t>Reject a future date of birth and badly formed details at sign-up</t>
        </is>
      </c>
      <c r="C64" s="11" t="n">
        <v>1</v>
      </c>
      <c r="D64" s="11" t="inlineStr">
        <is>
          <t>Open http://localhost:3001/sign-up and click 'Create account' without filling anything in.</t>
        </is>
      </c>
      <c r="E64" s="11" t="inlineStr">
        <is>
          <t>Nothing is sent. Messages appear under the fields: 'Enter your full name', 'A mobile number is required' and 'Enter your date of birth'. 'Email address' shows no error because it is optional.</t>
        </is>
      </c>
      <c r="F64" s="16" t="n"/>
      <c r="G64" s="16" t="n"/>
    </row>
    <row r="65">
      <c r="A65" s="10" t="inlineStr">
        <is>
          <t>ACC-11</t>
        </is>
      </c>
      <c r="B65" s="11" t="inlineStr">
        <is>
          <t>Reject a future date of birth and badly formed details at sign-up</t>
        </is>
      </c>
      <c r="C65" s="11" t="n">
        <v>2</v>
      </c>
      <c r="D65" s="11" t="inlineStr">
        <is>
          <t>Type 'Tester Two' in 'Full name', '98abc12345' in 'Mobile number' and 'tester01@' in 'Email address'. Click 'Create account'.</t>
        </is>
      </c>
      <c r="E65" s="11" t="inlineStr">
        <is>
          <t>Under 'Mobile number': 'A mobile number may contain digits, spaces, dashes and a leading +'. Under 'Email address': 'That does not look like an email address'.</t>
        </is>
      </c>
      <c r="F65" s="16" t="n"/>
      <c r="G65" s="16" t="n"/>
    </row>
    <row r="66">
      <c r="A66" s="10" t="inlineStr">
        <is>
          <t>ACC-11</t>
        </is>
      </c>
      <c r="B66" s="11" t="inlineStr">
        <is>
          <t>Reject a future date of birth and badly formed details at sign-up</t>
        </is>
      </c>
      <c r="C66" s="11" t="n">
        <v>3</v>
      </c>
      <c r="D66" s="11" t="inlineStr">
        <is>
          <t>Correct the mobile to '+91 98111 22303' and clear 'Email address'. Type 1 January 2030 into 'Date of birth' and click 'Create account'.</t>
        </is>
      </c>
      <c r="E66" s="11" t="inlineStr">
        <is>
          <t>Under 'Date of birth': 'Date of birth must be in the past'. The page stays on 'Create your account'.</t>
        </is>
      </c>
      <c r="F66" s="16" t="n"/>
      <c r="G66" s="16" t="n"/>
    </row>
    <row r="67">
      <c r="A67" s="10" t="inlineStr">
        <is>
          <t>ACC-11</t>
        </is>
      </c>
      <c r="B67" s="11" t="inlineStr">
        <is>
          <t>Reject a future date of birth and badly formed details at sign-up</t>
        </is>
      </c>
      <c r="C67" s="11" t="n">
        <v>4</v>
      </c>
      <c r="D67" s="11" t="inlineStr">
        <is>
          <t>Type today's date into 'Date of birth' and click 'Create account'.</t>
        </is>
      </c>
      <c r="E67" s="11" t="inlineStr">
        <is>
          <t>The same message 'Date of birth must be in the past' appears; today is not accepted.</t>
        </is>
      </c>
      <c r="F67" s="16" t="n"/>
      <c r="G67" s="16" t="n"/>
    </row>
    <row r="68">
      <c r="A68" s="10" t="inlineStr">
        <is>
          <t>ACC-11</t>
        </is>
      </c>
      <c r="B68" s="11" t="inlineStr">
        <is>
          <t>Reject a future date of birth and badly formed details at sign-up</t>
        </is>
      </c>
      <c r="C68" s="11" t="n">
        <v>5</v>
      </c>
      <c r="D68" s="11" t="inlineStr">
        <is>
          <t>Click 'Sign in' at the bottom of the page without submitting further.</t>
        </is>
      </c>
      <c r="E68" s="11" t="inlineStr">
        <is>
          <t>The portal 'Sign in' page opens; no account was created for +91 98111 22303 (the coordinator can confirm no code was written for it in the test outbox).</t>
        </is>
      </c>
      <c r="F68" s="16" t="n"/>
      <c r="G68" s="16" t="n"/>
    </row>
    <row r="69">
      <c r="A69" s="10" t="inlineStr">
        <is>
          <t>ACC-12</t>
        </is>
      </c>
      <c r="B69" s="11" t="inlineStr">
        <is>
          <t>Stop sign-up with a mobile or email that is already registered</t>
        </is>
      </c>
      <c r="C69" s="11" t="n">
        <v>1</v>
      </c>
      <c r="D69" s="11" t="inlineStr">
        <is>
          <t>Open http://localhost:3001/sign-up. Fill in Full name 'Tester Three', Mobile number '+91 90000 00001', leave Email address empty, Date of birth 1 March 1985. Click 'Create account'.</t>
        </is>
      </c>
      <c r="E69" s="11" t="inlineStr">
        <is>
          <t>You stay on 'Create your account'. A yellow notice titled 'That mobile is already registered' says 'If it is yours, sign in with it - there is no password, we send a code. Otherwise change it below.' Under 'Mobile number' the message reads 'An account already exists with this mobile. Sign in with it instead, or use a different mobile.'</t>
        </is>
      </c>
      <c r="F69" s="16" t="n"/>
      <c r="G69" s="16" t="n"/>
    </row>
    <row r="70">
      <c r="A70" s="10" t="inlineStr">
        <is>
          <t>ACC-12</t>
        </is>
      </c>
      <c r="B70" s="11" t="inlineStr">
        <is>
          <t>Stop sign-up with a mobile or email that is already registered</t>
        </is>
      </c>
      <c r="C70" s="11" t="n">
        <v>2</v>
      </c>
      <c r="D70" s="11" t="inlineStr">
        <is>
          <t>Check the notice for a link.</t>
        </is>
      </c>
      <c r="E70" s="11" t="inlineStr">
        <is>
          <t>The notice has a link 'Sign in with this mobile'. The 'Confirm your contacts' step is not shown.</t>
        </is>
      </c>
      <c r="F70" s="16" t="n"/>
      <c r="G70" s="16" t="n"/>
    </row>
    <row r="71">
      <c r="A71" s="10" t="inlineStr">
        <is>
          <t>ACC-12</t>
        </is>
      </c>
      <c r="B71" s="11" t="inlineStr">
        <is>
          <t>Stop sign-up with a mobile or email that is already registered</t>
        </is>
      </c>
      <c r="C71" s="11" t="n">
        <v>3</v>
      </c>
      <c r="D71" s="11" t="inlineStr">
        <is>
          <t>Change Mobile number to '+91 98111 22304', type 'subject@cmp.local' in Email address and click 'Create account'.</t>
        </is>
      </c>
      <c r="E71" s="11" t="inlineStr">
        <is>
          <t>The notice now reads 'That email is already registered' with a link 'Sign in with this email', and the message under 'Email address' reads 'An account already exists with this email. Sign in with it instead, or use a different email.'</t>
        </is>
      </c>
      <c r="F71" s="16" t="n"/>
      <c r="G71" s="16" t="n"/>
    </row>
    <row r="72">
      <c r="A72" s="10" t="inlineStr">
        <is>
          <t>ACC-12</t>
        </is>
      </c>
      <c r="B72" s="11" t="inlineStr">
        <is>
          <t>Stop sign-up with a mobile or email that is already registered</t>
        </is>
      </c>
      <c r="C72" s="11" t="n">
        <v>4</v>
      </c>
      <c r="D72" s="11" t="inlineStr">
        <is>
          <t>Click 'Sign in with this email'.</t>
        </is>
      </c>
      <c r="E72" s="11" t="inlineStr">
        <is>
          <t>The portal 'Sign in' page opens with 'Email' selected under 'Sign in with' and subject@cmp.local already filled in the 'Email address' box. (Do not click 'Send me a code' unless you intend to sign in as Anjali.)</t>
        </is>
      </c>
      <c r="F72" s="16" t="n"/>
      <c r="G72" s="16" t="n"/>
    </row>
    <row r="73">
      <c r="A73" s="10" t="inlineStr">
        <is>
          <t>ACC-13</t>
        </is>
      </c>
      <c r="B73" s="11" t="inlineStr">
        <is>
          <t>Sign in to the portal with a one-time code sent to the mobile</t>
        </is>
      </c>
      <c r="C73" s="11" t="n">
        <v>1</v>
      </c>
      <c r="D73" s="11" t="inlineStr">
        <is>
          <t>Open http://localhost:3001.</t>
        </is>
      </c>
      <c r="E73" s="11" t="inlineStr">
        <is>
          <t>The page headed 'Sign in' opens with the text 'Enter the mobile number or email address you registered with and we will send you a one-time code.' Under 'Sign in with' the 'Mobile' option is selected. At the bottom are 'Create an account', 'Your rights and how to exercise them', 'Act on their behalf here' and 'Sign in to the console'.</t>
        </is>
      </c>
      <c r="F73" s="16" t="n"/>
      <c r="G73" s="16" t="n"/>
    </row>
    <row r="74">
      <c r="A74" s="10" t="inlineStr">
        <is>
          <t>ACC-13</t>
        </is>
      </c>
      <c r="B74" s="11" t="inlineStr">
        <is>
          <t>Sign in to the portal with a one-time code sent to the mobile</t>
        </is>
      </c>
      <c r="C74" s="11" t="n">
        <v>2</v>
      </c>
      <c r="D74" s="11" t="inlineStr">
        <is>
          <t>Type +91 90000 00001 into 'Mobile number' and click 'Send me a code'.</t>
        </is>
      </c>
      <c r="E74" s="11" t="inlineStr">
        <is>
          <t>A blue notice 'Check your messages' reads 'If +91 90000 00001 is registered with us, a six-digit code is on its way. It expires in ten minutes.' Below it are a 'Six-digit code' box, a 'Verify' button (disabled until six digits are typed) and a 'Use a different contact' button.</t>
        </is>
      </c>
      <c r="F74" s="16" t="n"/>
      <c r="G74" s="16" t="n"/>
    </row>
    <row r="75">
      <c r="A75" s="10" t="inlineStr">
        <is>
          <t>ACC-13</t>
        </is>
      </c>
      <c r="B75" s="11" t="inlineStr">
        <is>
          <t>Sign in to the portal with a one-time code sent to the mobile</t>
        </is>
      </c>
      <c r="C75" s="11" t="n">
        <v>3</v>
      </c>
      <c r="D75" s="11" t="inlineStr">
        <is>
          <t>Ask the test coordinator for the code sent to +91 90000 00001 (from the test outbox). Type it into 'Six-digit code' and click 'Verify'.</t>
        </is>
      </c>
      <c r="E75" s="11" t="inlineStr">
        <is>
          <t>You land on the page headed 'My consents'. The header shows 'Anjali Verma' with the role badge 'Data Subject'.</t>
        </is>
      </c>
      <c r="F75" s="16" t="n"/>
      <c r="G75" s="16" t="n"/>
    </row>
    <row r="76">
      <c r="A76" s="10" t="inlineStr">
        <is>
          <t>ACC-13</t>
        </is>
      </c>
      <c r="B76" s="11" t="inlineStr">
        <is>
          <t>Sign in to the portal with a one-time code sent to the mobile</t>
        </is>
      </c>
      <c r="C76" s="11" t="n">
        <v>4</v>
      </c>
      <c r="D76" s="11" t="inlineStr">
        <is>
          <t>Look at the sidebar.</t>
        </is>
      </c>
      <c r="E76" s="11" t="inlineStr">
        <is>
          <t>Under 'Your data' are 'My consents', 'My requests', 'My nominations' and 'Updates'; 'Sign out' is at the bottom. 'My profile' is in the account menu under her name at the top right. There is no staff menu and no staff-account notice.</t>
        </is>
      </c>
      <c r="F76" s="16" t="n"/>
      <c r="G76" s="16" t="n"/>
    </row>
    <row r="77">
      <c r="A77" s="10" t="inlineStr">
        <is>
          <t>ACC-13</t>
        </is>
      </c>
      <c r="B77" s="11" t="inlineStr">
        <is>
          <t>Sign in to the portal with a one-time code sent to the mobile</t>
        </is>
      </c>
      <c r="C77" s="11" t="n">
        <v>5</v>
      </c>
      <c r="D77" s="11" t="inlineStr">
        <is>
          <t>Click 'My requests'.</t>
        </is>
      </c>
      <c r="E77" s="11" t="inlineStr">
        <is>
          <t>The page headed 'My requests' opens.</t>
        </is>
      </c>
      <c r="F77" s="16" t="n"/>
      <c r="G77" s="16" t="n"/>
    </row>
    <row r="78">
      <c r="A78" s="10" t="inlineStr">
        <is>
          <t>ACC-13</t>
        </is>
      </c>
      <c r="B78" s="11" t="inlineStr">
        <is>
          <t>Sign in to the portal with a one-time code sent to the mobile</t>
        </is>
      </c>
      <c r="C78" s="11" t="n">
        <v>6</v>
      </c>
      <c r="D78" s="11" t="inlineStr">
        <is>
          <t>Click 'Sign out' in the sidebar.</t>
        </is>
      </c>
      <c r="E78" s="11" t="inlineStr">
        <is>
          <t>You are taken back to the portal 'Sign in' page.</t>
        </is>
      </c>
      <c r="F78" s="16" t="n"/>
      <c r="G78" s="16" t="n"/>
    </row>
    <row r="79">
      <c r="A79" s="10" t="inlineStr">
        <is>
          <t>ACC-13</t>
        </is>
      </c>
      <c r="B79" s="11" t="inlineStr">
        <is>
          <t>Sign in to the portal with a one-time code sent to the mobile</t>
        </is>
      </c>
      <c r="C79" s="11" t="n">
        <v>7</v>
      </c>
      <c r="D79" s="11" t="inlineStr">
        <is>
          <t>Type http://localhost:3001/my-consents into the address bar and press Enter.</t>
        </is>
      </c>
      <c r="E79" s="11" t="inlineStr">
        <is>
          <t>You are sent to the 'Sign in' page instead of seeing the consents.</t>
        </is>
      </c>
      <c r="F79" s="16" t="n"/>
      <c r="G79" s="16" t="n"/>
    </row>
    <row r="80">
      <c r="A80" s="10" t="inlineStr">
        <is>
          <t>ACC-14</t>
        </is>
      </c>
      <c r="B80" s="11" t="inlineStr">
        <is>
          <t>Refuse a wrong portal code and stay neutral about unknown contacts</t>
        </is>
      </c>
      <c r="C80" s="11" t="n">
        <v>1</v>
      </c>
      <c r="D80" s="11" t="inlineStr">
        <is>
          <t>Open http://localhost:3001/sign-in. Under 'Sign in with' choose 'Email'.</t>
        </is>
      </c>
      <c r="E80" s="11" t="inlineStr">
        <is>
          <t>The field label changes from 'Mobile number' to 'Email address'.</t>
        </is>
      </c>
      <c r="F80" s="16" t="n"/>
      <c r="G80" s="16" t="n"/>
    </row>
    <row r="81">
      <c r="A81" s="10" t="inlineStr">
        <is>
          <t>ACC-14</t>
        </is>
      </c>
      <c r="B81" s="11" t="inlineStr">
        <is>
          <t>Refuse a wrong portal code and stay neutral about unknown contacts</t>
        </is>
      </c>
      <c r="C81" s="11" t="n">
        <v>2</v>
      </c>
      <c r="D81" s="11" t="inlineStr">
        <is>
          <t>Type nobody-registered@example.org and click 'Send me a code'.</t>
        </is>
      </c>
      <c r="E81" s="11" t="inlineStr">
        <is>
          <t>The same 'Check your messages' notice appears: 'If nobody-registered@example.org is registered with us, a six-digit code is on its way.' Nothing says the address is unknown. (The coordinator can confirm no code was written to the test outbox for it.)</t>
        </is>
      </c>
      <c r="F81" s="16" t="n"/>
      <c r="G81" s="16" t="n"/>
    </row>
    <row r="82">
      <c r="A82" s="10" t="inlineStr">
        <is>
          <t>ACC-14</t>
        </is>
      </c>
      <c r="B82" s="11" t="inlineStr">
        <is>
          <t>Refuse a wrong portal code and stay neutral about unknown contacts</t>
        </is>
      </c>
      <c r="C82" s="11" t="n">
        <v>3</v>
      </c>
      <c r="D82" s="11" t="inlineStr">
        <is>
          <t>Click 'Use a different contact'.</t>
        </is>
      </c>
      <c r="E82" s="11" t="inlineStr">
        <is>
          <t>The form returns to the contact step with the 'Send me a code' button.</t>
        </is>
      </c>
      <c r="F82" s="16" t="n"/>
      <c r="G82" s="16" t="n"/>
    </row>
    <row r="83">
      <c r="A83" s="10" t="inlineStr">
        <is>
          <t>ACC-14</t>
        </is>
      </c>
      <c r="B83" s="11" t="inlineStr">
        <is>
          <t>Refuse a wrong portal code and stay neutral about unknown contacts</t>
        </is>
      </c>
      <c r="C83" s="11" t="n">
        <v>4</v>
      </c>
      <c r="D83" s="11" t="inlineStr">
        <is>
          <t>Choose 'Email', type subject@cmp.local and click 'Send me a code'.</t>
        </is>
      </c>
      <c r="E83" s="11" t="inlineStr">
        <is>
          <t>'Check your messages' appears for subject@cmp.local with the 'Six-digit code' box.</t>
        </is>
      </c>
      <c r="F83" s="16" t="n"/>
      <c r="G83" s="16" t="n"/>
    </row>
    <row r="84">
      <c r="A84" s="10" t="inlineStr">
        <is>
          <t>ACC-14</t>
        </is>
      </c>
      <c r="B84" s="11" t="inlineStr">
        <is>
          <t>Refuse a wrong portal code and stay neutral about unknown contacts</t>
        </is>
      </c>
      <c r="C84" s="11" t="n">
        <v>5</v>
      </c>
      <c r="D84" s="11" t="inlineStr">
        <is>
          <t>Type 123456 into 'Six-digit code' and click 'Verify'.</t>
        </is>
      </c>
      <c r="E84" s="11" t="inlineStr">
        <is>
          <t>You stay on the page. A red banner reads 'Invalid or expired code'.</t>
        </is>
      </c>
      <c r="F84" s="16" t="n"/>
      <c r="G84" s="16" t="n"/>
    </row>
    <row r="85">
      <c r="A85" s="10" t="inlineStr">
        <is>
          <t>ACC-14</t>
        </is>
      </c>
      <c r="B85" s="11" t="inlineStr">
        <is>
          <t>Refuse a wrong portal code and stay neutral about unknown contacts</t>
        </is>
      </c>
      <c r="C85" s="11" t="n">
        <v>6</v>
      </c>
      <c r="D85" s="11" t="inlineStr">
        <is>
          <t>Ask the test coordinator for the code sent to subject@cmp.local (from the test outbox). Replace the digits and click 'Verify'.</t>
        </is>
      </c>
      <c r="E85" s="11" t="inlineStr">
        <is>
          <t>The correct code is accepted and you land on 'My consents' as Anjali Verma.</t>
        </is>
      </c>
      <c r="F85" s="16" t="n"/>
      <c r="G85" s="16" t="n"/>
    </row>
    <row r="86">
      <c r="A86" s="10" t="inlineStr">
        <is>
          <t>ACC-14</t>
        </is>
      </c>
      <c r="B86" s="11" t="inlineStr">
        <is>
          <t>Refuse a wrong portal code and stay neutral about unknown contacts</t>
        </is>
      </c>
      <c r="C86" s="11" t="n">
        <v>7</v>
      </c>
      <c r="D86" s="11" t="inlineStr">
        <is>
          <t>Click 'Sign out'.</t>
        </is>
      </c>
      <c r="E86" s="11" t="inlineStr">
        <is>
          <t>You are back on the portal 'Sign in' page.</t>
        </is>
      </c>
      <c r="F86" s="16" t="n"/>
      <c r="G86" s="16" t="n"/>
    </row>
    <row r="87">
      <c r="A87" s="10" t="inlineStr">
        <is>
          <t>ACC-15</t>
        </is>
      </c>
      <c r="B87" s="11" t="inlineStr">
        <is>
          <t>Ask for a missing date of birth at the next portal sign-in</t>
        </is>
      </c>
      <c r="C87" s="11" t="n">
        <v>1</v>
      </c>
      <c r="D87" s="11" t="inlineStr">
        <is>
          <t>Open http://localhost:3001/sign-in, choose 'Email', type rco@cmp.local, click 'Send me a code', then enter the code the test coordinator gives you for rco@cmp.local (from the test outbox) and click 'Verify'.</t>
        </is>
      </c>
      <c r="E87" s="11" t="inlineStr">
        <is>
          <t>You land on 'My consents'. Above the list is a blue notice titled 'We need your date of birth' reading 'You can withdraw a consent or make a request without it, but we need it before you give a new consent.' with an 'Add it now' link.</t>
        </is>
      </c>
      <c r="F87" s="16" t="n"/>
      <c r="G87" s="16" t="n"/>
    </row>
    <row r="88">
      <c r="A88" s="10" t="inlineStr">
        <is>
          <t>ACC-15</t>
        </is>
      </c>
      <c r="B88" s="11" t="inlineStr">
        <is>
          <t>Ask for a missing date of birth at the next portal sign-in</t>
        </is>
      </c>
      <c r="C88" s="11" t="n">
        <v>2</v>
      </c>
      <c r="D88" s="11" t="inlineStr">
        <is>
          <t>Click 'My requests' in the sidebar.</t>
        </is>
      </c>
      <c r="E88" s="11" t="inlineStr">
        <is>
          <t>The page 'My requests' opens normally, with the same 'We need your date of birth' notice above it. Nothing blocks this page.</t>
        </is>
      </c>
      <c r="F88" s="16" t="n"/>
      <c r="G88" s="16" t="n"/>
    </row>
    <row r="89">
      <c r="A89" s="10" t="inlineStr">
        <is>
          <t>ACC-15</t>
        </is>
      </c>
      <c r="B89" s="11" t="inlineStr">
        <is>
          <t>Ask for a missing date of birth at the next portal sign-in</t>
        </is>
      </c>
      <c r="C89" s="11" t="n">
        <v>3</v>
      </c>
      <c r="D89" s="11" t="inlineStr">
        <is>
          <t>Click 'Updates' in the sidebar.</t>
        </is>
      </c>
      <c r="E89" s="11" t="inlineStr">
        <is>
          <t>Instead of the updates, a card headed 'Your date of birth' appears: 'The law protects people under 18 differently, and we do not have your date of birth yet. We need it before you can give a new consent.' It has a 'Date of birth' field, a 'Save and continue' button and links 'withdraw a consent' and 'make a request'.</t>
        </is>
      </c>
      <c r="F89" s="16" t="n"/>
      <c r="G89" s="16" t="n"/>
    </row>
    <row r="90">
      <c r="A90" s="10" t="inlineStr">
        <is>
          <t>ACC-15</t>
        </is>
      </c>
      <c r="B90" s="11" t="inlineStr">
        <is>
          <t>Ask for a missing date of birth at the next portal sign-in</t>
        </is>
      </c>
      <c r="C90" s="11" t="n">
        <v>4</v>
      </c>
      <c r="D90" s="11" t="inlineStr">
        <is>
          <t>Click your name at the top right to open the account menu, then click 'My profile'.</t>
        </is>
      </c>
      <c r="E90" s="11" t="inlineStr">
        <is>
          <t>The same 'Your date of birth' card appears instead of the account page.</t>
        </is>
      </c>
      <c r="F90" s="16" t="n"/>
      <c r="G90" s="16" t="n"/>
    </row>
    <row r="91">
      <c r="A91" s="10" t="inlineStr">
        <is>
          <t>ACC-15</t>
        </is>
      </c>
      <c r="B91" s="11" t="inlineStr">
        <is>
          <t>Ask for a missing date of birth at the next portal sign-in</t>
        </is>
      </c>
      <c r="C91" s="11" t="n">
        <v>5</v>
      </c>
      <c r="D91" s="11" t="inlineStr">
        <is>
          <t>Click the 'make a request' link on the card.</t>
        </is>
      </c>
      <c r="E91" s="11" t="inlineStr">
        <is>
          <t>'My requests' opens without answering the question.</t>
        </is>
      </c>
      <c r="F91" s="16" t="n"/>
      <c r="G91" s="16" t="n"/>
    </row>
    <row r="92">
      <c r="A92" s="10" t="inlineStr">
        <is>
          <t>ACC-15</t>
        </is>
      </c>
      <c r="B92" s="11" t="inlineStr">
        <is>
          <t>Ask for a missing date of birth at the next portal sign-in</t>
        </is>
      </c>
      <c r="C92" s="11" t="n">
        <v>6</v>
      </c>
      <c r="D92" s="11" t="inlineStr">
        <is>
          <t>Go back to 'My consents' and click 'Add it now' in the notice.</t>
        </is>
      </c>
      <c r="E92" s="11" t="inlineStr">
        <is>
          <t>The 'Your date of birth' question is shown so the date can be added. (Record a defect if the link just reloads 'My consents'.)</t>
        </is>
      </c>
      <c r="F92" s="16" t="n"/>
      <c r="G92" s="16" t="n"/>
    </row>
    <row r="93">
      <c r="A93" s="10" t="inlineStr">
        <is>
          <t>ACC-15</t>
        </is>
      </c>
      <c r="B93" s="11" t="inlineStr">
        <is>
          <t>Ask for a missing date of birth at the next portal sign-in</t>
        </is>
      </c>
      <c r="C93" s="11" t="n">
        <v>7</v>
      </c>
      <c r="D93" s="11" t="inlineStr">
        <is>
          <t>Open 'My profile' from the account menu to reach the 'Your date of birth' card. Type 1 January 2030 into 'Date of birth' and click 'Save and continue'.</t>
        </is>
      </c>
      <c r="E93" s="11" t="inlineStr">
        <is>
          <t>The date is refused with 'Date of birth must be in the past' under the field; the card stays.</t>
        </is>
      </c>
      <c r="F93" s="16" t="n"/>
      <c r="G93" s="16" t="n"/>
    </row>
    <row r="94">
      <c r="A94" s="10" t="inlineStr">
        <is>
          <t>ACC-15</t>
        </is>
      </c>
      <c r="B94" s="11" t="inlineStr">
        <is>
          <t>Ask for a missing date of birth at the next portal sign-in</t>
        </is>
      </c>
      <c r="C94" s="11" t="n">
        <v>8</v>
      </c>
      <c r="D94" s="11" t="inlineStr">
        <is>
          <t>Change 'Date of birth' to 21 July 1985 and click 'Save and continue'.</t>
        </is>
      </c>
      <c r="E94" s="11" t="inlineStr">
        <is>
          <t>The card disappears and the 'My profile' page opens. In Identity, 'Date of birth' shows 21 Jul 1985 with no under-18 badge.</t>
        </is>
      </c>
      <c r="F94" s="16" t="n"/>
      <c r="G94" s="16" t="n"/>
    </row>
    <row r="95">
      <c r="A95" s="10" t="inlineStr">
        <is>
          <t>ACC-15</t>
        </is>
      </c>
      <c r="B95" s="11" t="inlineStr">
        <is>
          <t>Ask for a missing date of birth at the next portal sign-in</t>
        </is>
      </c>
      <c r="C95" s="11" t="n">
        <v>9</v>
      </c>
      <c r="D95" s="11" t="inlineStr">
        <is>
          <t>Click 'My consents' and then 'Updates'.</t>
        </is>
      </c>
      <c r="E95" s="11" t="inlineStr">
        <is>
          <t>The 'We need your date of birth' notice no longer appears on 'My consents', and 'Updates' opens normally.</t>
        </is>
      </c>
      <c r="F95" s="16" t="n"/>
      <c r="G95" s="16" t="n"/>
    </row>
    <row r="96">
      <c r="A96" s="10" t="inlineStr">
        <is>
          <t>ACC-15</t>
        </is>
      </c>
      <c r="B96" s="11" t="inlineStr">
        <is>
          <t>Ask for a missing date of birth at the next portal sign-in</t>
        </is>
      </c>
      <c r="C96" s="11" t="n">
        <v>10</v>
      </c>
      <c r="D96" s="11" t="inlineStr">
        <is>
          <t>Click 'Sign out', sign in again with rco@cmp.local and a new code.</t>
        </is>
      </c>
      <c r="E96" s="11" t="inlineStr">
        <is>
          <t>You land on 'My consents' with no date-of-birth notice; the question is not asked again.</t>
        </is>
      </c>
      <c r="F96" s="16" t="n"/>
      <c r="G96" s="16" t="n"/>
    </row>
    <row r="97">
      <c r="A97" s="10" t="inlineStr">
        <is>
          <t>ACC-16</t>
        </is>
      </c>
      <c r="B97" s="11" t="inlineStr">
        <is>
          <t>Sign in to the portal with a staff email and act only as a data principal</t>
        </is>
      </c>
      <c r="C97" s="11" t="n">
        <v>1</v>
      </c>
      <c r="D97" s="11" t="inlineStr">
        <is>
          <t>Open http://localhost:3001/sign-in, choose 'Email', type dpo@cmp.local and click 'Send me a code'.</t>
        </is>
      </c>
      <c r="E97" s="11" t="inlineStr">
        <is>
          <t>'Check your messages' appears with the 'Six-digit code' box. No password is asked for.</t>
        </is>
      </c>
      <c r="F97" s="16" t="n"/>
      <c r="G97" s="16" t="n"/>
    </row>
    <row r="98">
      <c r="A98" s="10" t="inlineStr">
        <is>
          <t>ACC-16</t>
        </is>
      </c>
      <c r="B98" s="11" t="inlineStr">
        <is>
          <t>Sign in to the portal with a staff email and act only as a data principal</t>
        </is>
      </c>
      <c r="C98" s="11" t="n">
        <v>2</v>
      </c>
      <c r="D98" s="11" t="inlineStr">
        <is>
          <t>Enter the code the test coordinator gives you for dpo@cmp.local (from the test outbox) and click 'Verify'.</t>
        </is>
      </c>
      <c r="E98" s="11" t="inlineStr">
        <is>
          <t>You land on 'My consents'. A line across the top reads 'You are signed in with your staff account, as a data principal. Only your own consents, requests and rights are here; your console is a separate site.'</t>
        </is>
      </c>
      <c r="F98" s="16" t="n"/>
      <c r="G98" s="16" t="n"/>
    </row>
    <row r="99">
      <c r="A99" s="10" t="inlineStr">
        <is>
          <t>ACC-16</t>
        </is>
      </c>
      <c r="B99" s="11" t="inlineStr">
        <is>
          <t>Sign in to the portal with a staff email and act only as a data principal</t>
        </is>
      </c>
      <c r="C99" s="11" t="n">
        <v>3</v>
      </c>
      <c r="D99" s="11" t="inlineStr">
        <is>
          <t>Look at the header and sidebar.</t>
        </is>
      </c>
      <c r="E99" s="11" t="inlineStr">
        <is>
          <t>The header shows 'Priya Menon' with the role badge 'Data Subject' (not 'DPO'). The sidebar has only 'My consents', 'My requests', 'My nominations', 'Updates' and 'Sign out'; 'My profile' is in the account menu.</t>
        </is>
      </c>
      <c r="F99" s="16" t="n"/>
      <c r="G99" s="16" t="n"/>
    </row>
    <row r="100">
      <c r="A100" s="10" t="inlineStr">
        <is>
          <t>ACC-16</t>
        </is>
      </c>
      <c r="B100" s="11" t="inlineStr">
        <is>
          <t>Sign in to the portal with a staff email and act only as a data principal</t>
        </is>
      </c>
      <c r="C100" s="11" t="n">
        <v>4</v>
      </c>
      <c r="D100" s="11" t="inlineStr">
        <is>
          <t>Click your name at the top right to open the account menu, then click 'My profile'. If the 'Your date of birth' card appears, enter 21 July 1985 and click 'Save and continue'.</t>
        </is>
      </c>
      <c r="E100" s="11" t="inlineStr">
        <is>
          <t>'My profile' opens. In Identity, Role shows 'Data Subject' and an 'Account' line reads 'Your staff account, used here as a data principal.' In Contacts, the 'Email' row shows dpo@cmp.local with the hint 'Your staff address, managed by your organisation. If you may lose it one day, add a personal one below.' and no 'Change' button.</t>
        </is>
      </c>
      <c r="F100" s="16" t="n"/>
      <c r="G100" s="16" t="n"/>
    </row>
    <row r="101">
      <c r="A101" s="10" t="inlineStr">
        <is>
          <t>ACC-16</t>
        </is>
      </c>
      <c r="B101" s="11" t="inlineStr">
        <is>
          <t>Sign in to the portal with a staff email and act only as a data principal</t>
        </is>
      </c>
      <c r="C101" s="11" t="n">
        <v>5</v>
      </c>
      <c r="D101" s="11" t="inlineStr">
        <is>
          <t>In the same window, open http://localhost:3000/users (the console).</t>
        </is>
      </c>
      <c r="E101" s="11" t="inlineStr">
        <is>
          <t>No user list is shown. The console shows a page headed 'This console is for staff' reading 'You are signed in as Priya Menon. Your consents, your requests and your rights are on the consent portal.' with the buttons 'Go to the consent portal' and 'Sign out'.</t>
        </is>
      </c>
      <c r="F101" s="16" t="n"/>
      <c r="G101" s="16" t="n"/>
    </row>
    <row r="102">
      <c r="A102" s="10" t="inlineStr">
        <is>
          <t>ACC-16</t>
        </is>
      </c>
      <c r="B102" s="11" t="inlineStr">
        <is>
          <t>Sign in to the portal with a staff email and act only as a data principal</t>
        </is>
      </c>
      <c r="C102" s="11" t="n">
        <v>6</v>
      </c>
      <c r="D102" s="11" t="inlineStr">
        <is>
          <t>Open http://localhost:3000/sign-in in the same window.</t>
        </is>
      </c>
      <c r="E102" s="11" t="inlineStr">
        <is>
          <t>The console sign-in form does not stay; you are sent to the portal (http://localhost:3001), because this window holds a data principal session.</t>
        </is>
      </c>
      <c r="F102" s="16" t="n"/>
      <c r="G102" s="16" t="n"/>
    </row>
    <row r="103">
      <c r="A103" s="10" t="inlineStr">
        <is>
          <t>ACC-16</t>
        </is>
      </c>
      <c r="B103" s="11" t="inlineStr">
        <is>
          <t>Sign in to the portal with a staff email and act only as a data principal</t>
        </is>
      </c>
      <c r="C103" s="11" t="n">
        <v>7</v>
      </c>
      <c r="D103" s="11" t="inlineStr">
        <is>
          <t>On the portal click 'Sign out'. Then sign in to the console at http://localhost:3000/sign-in as dpo@cmp.local with SeedPassw0rd!2026 and the emailed code.</t>
        </is>
      </c>
      <c r="E103" s="11" t="inlineStr">
        <is>
          <t>The console asks for the password and the code, and only then shows the full DPO Dashboard with the 'DPO' badge. The portal code alone never gave DPO access.</t>
        </is>
      </c>
      <c r="F103" s="16" t="n"/>
      <c r="G103" s="16" t="n"/>
    </row>
    <row r="104">
      <c r="A104" s="10" t="inlineStr">
        <is>
          <t>ACC-17</t>
        </is>
      </c>
      <c r="B104" s="11" t="inlineStr">
        <is>
          <t>Add a second email on the portal and sign in with it once confirmed</t>
        </is>
      </c>
      <c r="C104" s="11" t="n">
        <v>1</v>
      </c>
      <c r="D104" s="11" t="inlineStr">
        <is>
          <t>Click your name at the top right to open the account menu, then click 'My profile'.</t>
        </is>
      </c>
      <c r="E104" s="11" t="inlineStr">
        <is>
          <t>'My profile' opens. Contacts lists 'Email' (tester01@example.org, 'Confirmed', no Change button), 'Mobile' (with 'Change') and 'Second email' ('None given', with 'Add'). Identity shows a 'Session expires' time about 8 hours after you signed in.</t>
        </is>
      </c>
      <c r="F104" s="16" t="n"/>
      <c r="G104" s="16" t="n"/>
    </row>
    <row r="105">
      <c r="A105" s="10" t="inlineStr">
        <is>
          <t>ACC-17</t>
        </is>
      </c>
      <c r="B105" s="11" t="inlineStr">
        <is>
          <t>Add a second email on the portal and sign in with it once confirmed</t>
        </is>
      </c>
      <c r="C105" s="11" t="n">
        <v>2</v>
      </c>
      <c r="D105" s="11" t="inlineStr">
        <is>
          <t>In the 'Second email' row click 'Add', type tester01@example.org and click 'Save and send a code'.</t>
        </is>
      </c>
      <c r="E105" s="11" t="inlineStr">
        <is>
          <t>A red message in the row reads 'That is already the address on your account'.</t>
        </is>
      </c>
      <c r="F105" s="16" t="n"/>
      <c r="G105" s="16" t="n"/>
    </row>
    <row r="106">
      <c r="A106" s="10" t="inlineStr">
        <is>
          <t>ACC-17</t>
        </is>
      </c>
      <c r="B106" s="11" t="inlineStr">
        <is>
          <t>Add a second email on the portal and sign in with it once confirmed</t>
        </is>
      </c>
      <c r="C106" s="11" t="n">
        <v>3</v>
      </c>
      <c r="D106" s="11" t="inlineStr">
        <is>
          <t>Replace it with subject@cmp.local and click 'Save and send a code'.</t>
        </is>
      </c>
      <c r="E106" s="11" t="inlineStr">
        <is>
          <t>A red message reads 'That address belongs to another account'.</t>
        </is>
      </c>
      <c r="F106" s="16" t="n"/>
      <c r="G106" s="16" t="n"/>
    </row>
    <row r="107">
      <c r="A107" s="10" t="inlineStr">
        <is>
          <t>ACC-17</t>
        </is>
      </c>
      <c r="B107" s="11" t="inlineStr">
        <is>
          <t>Add a second email on the portal and sign in with it once confirmed</t>
        </is>
      </c>
      <c r="C107" s="11" t="n">
        <v>4</v>
      </c>
      <c r="D107" s="11" t="inlineStr">
        <is>
          <t>Replace it with tester01-personal@example.org and click 'Save and send a code'.</t>
        </is>
      </c>
      <c r="E107" s="11" t="inlineStr">
        <is>
          <t>Green toast 'Saved': 'We have sent a code to tester01-personal@example.org.' The row shows the address with 'Not confirmed' and a 'Six-digit code' box with 'Confirm' and 'Later'.</t>
        </is>
      </c>
      <c r="F107" s="16" t="n"/>
      <c r="G107" s="16" t="n"/>
    </row>
    <row r="108">
      <c r="A108" s="10" t="inlineStr">
        <is>
          <t>ACC-17</t>
        </is>
      </c>
      <c r="B108" s="11" t="inlineStr">
        <is>
          <t>Add a second email on the portal and sign in with it once confirmed</t>
        </is>
      </c>
      <c r="C108" s="11" t="n">
        <v>5</v>
      </c>
      <c r="D108" s="11" t="inlineStr">
        <is>
          <t>Click 'Later'. Then click 'Sign out'. On 'Sign in', choose 'Email', type tester01-personal@example.org and click 'Send me a code'.</t>
        </is>
      </c>
      <c r="E108" s="11" t="inlineStr">
        <is>
          <t>The neutral 'Check your messages' notice appears, but the test coordinator confirms that no sign-in code was sent to tester01-personal@example.org: an unconfirmed address cannot sign anyone in.</t>
        </is>
      </c>
      <c r="F108" s="16" t="n"/>
      <c r="G108" s="16" t="n"/>
    </row>
    <row r="109">
      <c r="A109" s="10" t="inlineStr">
        <is>
          <t>ACC-17</t>
        </is>
      </c>
      <c r="B109" s="11" t="inlineStr">
        <is>
          <t>Add a second email on the portal and sign in with it once confirmed</t>
        </is>
      </c>
      <c r="C109" s="11" t="n">
        <v>6</v>
      </c>
      <c r="D109" s="11" t="inlineStr">
        <is>
          <t>Click 'Use a different contact' and sign in with the mobile +91 98111 22301 and its code from the test coordinator. Open 'My profile' from the account menu.</t>
        </is>
      </c>
      <c r="E109" s="11" t="inlineStr">
        <is>
          <t>The 'Second email' row shows tester01-personal@example.org with 'Not confirmed' and a 'Send a code' button.</t>
        </is>
      </c>
      <c r="F109" s="16" t="n"/>
      <c r="G109" s="16" t="n"/>
    </row>
    <row r="110">
      <c r="A110" s="10" t="inlineStr">
        <is>
          <t>ACC-17</t>
        </is>
      </c>
      <c r="B110" s="11" t="inlineStr">
        <is>
          <t>Add a second email on the portal and sign in with it once confirmed</t>
        </is>
      </c>
      <c r="C110" s="11" t="n">
        <v>7</v>
      </c>
      <c r="D110" s="11" t="inlineStr">
        <is>
          <t>Click 'Send a code'. Enter the code the test coordinator gives you for tester01-personal@example.org and click 'Confirm'.</t>
        </is>
      </c>
      <c r="E110" s="11" t="inlineStr">
        <is>
          <t>Green toast 'Confirmed': 'tester01-personal@example.org can now sign you in.' The row shows 'Confirmed' and a 'Remove' button.</t>
        </is>
      </c>
      <c r="F110" s="16" t="n"/>
      <c r="G110" s="16" t="n"/>
    </row>
    <row r="111">
      <c r="A111" s="10" t="inlineStr">
        <is>
          <t>ACC-17</t>
        </is>
      </c>
      <c r="B111" s="11" t="inlineStr">
        <is>
          <t>Add a second email on the portal and sign in with it once confirmed</t>
        </is>
      </c>
      <c r="C111" s="11" t="n">
        <v>8</v>
      </c>
      <c r="D111" s="11" t="inlineStr">
        <is>
          <t>Click 'Sign out'. Sign in with 'Email' tester01-personal@example.org and the code the test coordinator gives you for it.</t>
        </is>
      </c>
      <c r="E111" s="11" t="inlineStr">
        <is>
          <t>You are signed in as Tester One and land on 'My consents'.</t>
        </is>
      </c>
      <c r="F111" s="16" t="n"/>
      <c r="G111" s="16" t="n"/>
    </row>
    <row r="112">
      <c r="A112" s="10" t="inlineStr">
        <is>
          <t>ACC-18</t>
        </is>
      </c>
      <c r="B112" s="11" t="inlineStr">
        <is>
          <t>Change the mobile number on the portal and confirm it with a code</t>
        </is>
      </c>
      <c r="C112" s="11" t="n">
        <v>1</v>
      </c>
      <c r="D112" s="11" t="inlineStr">
        <is>
          <t>Click your name at the top right to open the account menu, then click 'My profile'. In the 'Mobile' row click 'Change'.</t>
        </is>
      </c>
      <c r="E112" s="11" t="inlineStr">
        <is>
          <t>A 'Mobile' box opens, already filled with the current number, with the buttons 'Save and send a code' and 'Cancel'.</t>
        </is>
      </c>
      <c r="F112" s="16" t="n"/>
      <c r="G112" s="16" t="n"/>
    </row>
    <row r="113">
      <c r="A113" s="10" t="inlineStr">
        <is>
          <t>ACC-18</t>
        </is>
      </c>
      <c r="B113" s="11" t="inlineStr">
        <is>
          <t>Change the mobile number on the portal and confirm it with a code</t>
        </is>
      </c>
      <c r="C113" s="11" t="n">
        <v>2</v>
      </c>
      <c r="D113" s="11" t="inlineStr">
        <is>
          <t>Replace the number with +91 90000 00001 and click 'Save and send a code'.</t>
        </is>
      </c>
      <c r="E113" s="11" t="inlineStr">
        <is>
          <t>A red message in the row reads 'That mobile belongs to another account'. The mobile is not changed.</t>
        </is>
      </c>
      <c r="F113" s="16" t="n"/>
      <c r="G113" s="16" t="n"/>
    </row>
    <row r="114">
      <c r="A114" s="10" t="inlineStr">
        <is>
          <t>ACC-18</t>
        </is>
      </c>
      <c r="B114" s="11" t="inlineStr">
        <is>
          <t>Change the mobile number on the portal and confirm it with a code</t>
        </is>
      </c>
      <c r="C114" s="11" t="n">
        <v>3</v>
      </c>
      <c r="D114" s="11" t="inlineStr">
        <is>
          <t>Replace the number with +91 98111 22399 and click 'Save and send a code'.</t>
        </is>
      </c>
      <c r="E114" s="11" t="inlineStr">
        <is>
          <t>Green toast 'Saved': 'We have sent a code to +91 98111 22399.' The row shows the new number with 'Not confirmed' and a 'Six-digit code' box (hint: 'Sent to the contact above. It expires in ten minutes.').</t>
        </is>
      </c>
      <c r="F114" s="16" t="n"/>
      <c r="G114" s="16" t="n"/>
    </row>
    <row r="115">
      <c r="A115" s="10" t="inlineStr">
        <is>
          <t>ACC-18</t>
        </is>
      </c>
      <c r="B115" s="11" t="inlineStr">
        <is>
          <t>Change the mobile number on the portal and confirm it with a code</t>
        </is>
      </c>
      <c r="C115" s="11" t="n">
        <v>4</v>
      </c>
      <c r="D115" s="11" t="inlineStr">
        <is>
          <t>Type 000000 and click 'Confirm'.</t>
        </is>
      </c>
      <c r="E115" s="11" t="inlineStr">
        <is>
          <t>A red message 'Invalid or expired code' appears; the number stays 'Not confirmed'.</t>
        </is>
      </c>
      <c r="F115" s="16" t="n"/>
      <c r="G115" s="16" t="n"/>
    </row>
    <row r="116">
      <c r="A116" s="10" t="inlineStr">
        <is>
          <t>ACC-18</t>
        </is>
      </c>
      <c r="B116" s="11" t="inlineStr">
        <is>
          <t>Change the mobile number on the portal and confirm it with a code</t>
        </is>
      </c>
      <c r="C116" s="11" t="n">
        <v>5</v>
      </c>
      <c r="D116" s="11" t="inlineStr">
        <is>
          <t>Click 'Later', then click 'Change' on the Mobile row and, without editing the number, click 'Save and send a code'.</t>
        </is>
      </c>
      <c r="E116" s="11" t="inlineStr">
        <is>
          <t>A new code is sent (toast 'Saved': 'We have sent a code to +91 98111 22399.') and the 'Six-digit code' box appears again.</t>
        </is>
      </c>
      <c r="F116" s="16" t="n"/>
      <c r="G116" s="16" t="n"/>
    </row>
    <row r="117">
      <c r="A117" s="10" t="inlineStr">
        <is>
          <t>ACC-18</t>
        </is>
      </c>
      <c r="B117" s="11" t="inlineStr">
        <is>
          <t>Change the mobile number on the portal and confirm it with a code</t>
        </is>
      </c>
      <c r="C117" s="11" t="n">
        <v>6</v>
      </c>
      <c r="D117" s="11" t="inlineStr">
        <is>
          <t>Enter the newest code the test coordinator gives you for +91 98111 22399 (from the test outbox) and click 'Confirm'.</t>
        </is>
      </c>
      <c r="E117" s="11" t="inlineStr">
        <is>
          <t>Green toast 'Confirmed': '+91 98111 22399 can now sign you in.' The row shows 'Confirmed'.</t>
        </is>
      </c>
      <c r="F117" s="16" t="n"/>
      <c r="G117" s="16" t="n"/>
    </row>
    <row r="118">
      <c r="A118" s="10" t="inlineStr">
        <is>
          <t>ACC-18</t>
        </is>
      </c>
      <c r="B118" s="11" t="inlineStr">
        <is>
          <t>Change the mobile number on the portal and confirm it with a code</t>
        </is>
      </c>
      <c r="C118" s="11" t="n">
        <v>7</v>
      </c>
      <c r="D118" s="11" t="inlineStr">
        <is>
          <t>Click 'Change' on the Mobile row again and, without editing, click 'Save and send a code'.</t>
        </is>
      </c>
      <c r="E118" s="11" t="inlineStr">
        <is>
          <t>Toast 'Saved': 'That contact is already confirmed, so no code was needed.' No code box appears and the badge stays 'Confirmed'.</t>
        </is>
      </c>
      <c r="F118" s="16" t="n"/>
      <c r="G118" s="16" t="n"/>
    </row>
    <row r="119">
      <c r="A119" s="10" t="inlineStr">
        <is>
          <t>ACC-18</t>
        </is>
      </c>
      <c r="B119" s="11" t="inlineStr">
        <is>
          <t>Change the mobile number on the portal and confirm it with a code</t>
        </is>
      </c>
      <c r="C119" s="11" t="n">
        <v>8</v>
      </c>
      <c r="D119" s="11" t="inlineStr">
        <is>
          <t>Click 'Sign out' and sign in with 'Mobile' +91 98111 22399 and the code the test coordinator gives you.</t>
        </is>
      </c>
      <c r="E119" s="11" t="inlineStr">
        <is>
          <t>You are signed in as Tester One and land on 'My consents'.</t>
        </is>
      </c>
      <c r="F119" s="16" t="n"/>
      <c r="G119" s="16" t="n"/>
    </row>
    <row r="120">
      <c r="A120" s="10" t="inlineStr">
        <is>
          <t>ACC-19</t>
        </is>
      </c>
      <c r="B120" s="11" t="inlineStr">
        <is>
          <t>Check portal page redirects for signed-in, signed-out and staff visitors</t>
        </is>
      </c>
      <c r="C120" s="11" t="n">
        <v>1</v>
      </c>
      <c r="D120" s="11" t="inlineStr">
        <is>
          <t>Type http://localhost:3001/sign-in/verify into the address bar and press Enter.</t>
        </is>
      </c>
      <c r="E120" s="11" t="inlineStr">
        <is>
          <t>A page headed 'Verify it is you' briefly says 'Staff sign in on the console. Taking you there.' and you are then taken to the console (http://localhost:3000). With no sign-in in progress, the console shows its 'Sign in' page. There is no 'page not found'.</t>
        </is>
      </c>
      <c r="F120" s="16" t="n"/>
      <c r="G120" s="16" t="n"/>
    </row>
    <row r="121">
      <c r="A121" s="10" t="inlineStr">
        <is>
          <t>ACC-19</t>
        </is>
      </c>
      <c r="B121" s="11" t="inlineStr">
        <is>
          <t>Check portal page redirects for signed-in, signed-out and staff visitors</t>
        </is>
      </c>
      <c r="C121" s="11" t="n">
        <v>2</v>
      </c>
      <c r="D121" s="11" t="inlineStr">
        <is>
          <t>Type http://localhost:3001/my-requests into the address bar and press Enter.</t>
        </is>
      </c>
      <c r="E121" s="11" t="inlineStr">
        <is>
          <t>You are sent to the portal 'Sign in' page; the address contains 'next=' followed by the my-requests path.</t>
        </is>
      </c>
      <c r="F121" s="16" t="n"/>
      <c r="G121" s="16" t="n"/>
    </row>
    <row r="122">
      <c r="A122" s="10" t="inlineStr">
        <is>
          <t>ACC-19</t>
        </is>
      </c>
      <c r="B122" s="11" t="inlineStr">
        <is>
          <t>Check portal page redirects for signed-in, signed-out and staff visitors</t>
        </is>
      </c>
      <c r="C122" s="11" t="n">
        <v>3</v>
      </c>
      <c r="D122" s="11" t="inlineStr">
        <is>
          <t>Choose 'Email', type subject@cmp.local, click 'Send me a code', enter the code the test coordinator gives you for subject@cmp.local (from the test outbox) and click 'Verify'.</t>
        </is>
      </c>
      <c r="E122" s="11" t="inlineStr">
        <is>
          <t>You land on 'My requests' (the page you asked for), not on 'My consents'.</t>
        </is>
      </c>
      <c r="F122" s="16" t="n"/>
      <c r="G122" s="16" t="n"/>
    </row>
    <row r="123">
      <c r="A123" s="10" t="inlineStr">
        <is>
          <t>ACC-19</t>
        </is>
      </c>
      <c r="B123" s="11" t="inlineStr">
        <is>
          <t>Check portal page redirects for signed-in, signed-out and staff visitors</t>
        </is>
      </c>
      <c r="C123" s="11" t="n">
        <v>4</v>
      </c>
      <c r="D123" s="11" t="inlineStr">
        <is>
          <t>While signed in, type http://localhost:3001/sign-in into the address bar and press Enter.</t>
        </is>
      </c>
      <c r="E123" s="11" t="inlineStr">
        <is>
          <t>The sign-in form does not stay; you are sent to 'My consents'.</t>
        </is>
      </c>
      <c r="F123" s="16" t="n"/>
      <c r="G123" s="16" t="n"/>
    </row>
    <row r="124">
      <c r="A124" s="10" t="inlineStr">
        <is>
          <t>ACC-19</t>
        </is>
      </c>
      <c r="B124" s="11" t="inlineStr">
        <is>
          <t>Check portal page redirects for signed-in, signed-out and staff visitors</t>
        </is>
      </c>
      <c r="C124" s="11" t="n">
        <v>5</v>
      </c>
      <c r="D124" s="11" t="inlineStr">
        <is>
          <t>Type http://localhost:3001/sign-up and press Enter.</t>
        </is>
      </c>
      <c r="E124" s="11" t="inlineStr">
        <is>
          <t>The sign-up form does not stay; you are sent to 'My consents'.</t>
        </is>
      </c>
      <c r="F124" s="16" t="n"/>
      <c r="G124" s="16" t="n"/>
    </row>
    <row r="125">
      <c r="A125" s="10" t="inlineStr">
        <is>
          <t>ACC-19</t>
        </is>
      </c>
      <c r="B125" s="11" t="inlineStr">
        <is>
          <t>Check portal page redirects for signed-in, signed-out and staff visitors</t>
        </is>
      </c>
      <c r="C125" s="11" t="n">
        <v>6</v>
      </c>
      <c r="D125" s="11" t="inlineStr">
        <is>
          <t>Type http://localhost:3001 and press Enter.</t>
        </is>
      </c>
      <c r="E125" s="11" t="inlineStr">
        <is>
          <t>The portal home goes straight to 'My consents'.</t>
        </is>
      </c>
      <c r="F125" s="16" t="n"/>
      <c r="G125" s="16" t="n"/>
    </row>
    <row r="126">
      <c r="A126" s="10" t="inlineStr">
        <is>
          <t>ACC-19</t>
        </is>
      </c>
      <c r="B126" s="11" t="inlineStr">
        <is>
          <t>Check portal page redirects for signed-in, signed-out and staff visitors</t>
        </is>
      </c>
      <c r="C126" s="11" t="n">
        <v>7</v>
      </c>
      <c r="D126" s="11" t="inlineStr">
        <is>
          <t>Click 'Sign out'.</t>
        </is>
      </c>
      <c r="E126" s="11" t="inlineStr">
        <is>
          <t>You are back on the portal 'Sign in' page.</t>
        </is>
      </c>
      <c r="F126" s="16" t="n"/>
      <c r="G126" s="16" t="n"/>
    </row>
    <row r="127">
      <c r="A127" s="10" t="inlineStr">
        <is>
          <t>ACC-20</t>
        </is>
      </c>
      <c r="B127" s="11" t="inlineStr">
        <is>
          <t>End a portal session after 30 minutes without activity</t>
        </is>
      </c>
      <c r="C127" s="11" t="n">
        <v>1</v>
      </c>
      <c r="D127" s="11" t="inlineStr">
        <is>
          <t>Sign in to http://localhost:3001 with 'Mobile' +91 90000 00001 and the code the test coordinator gives you. Open 'My profile' from the account menu (your name at the top right) and note the 'Session expires' time in Identity.</t>
        </is>
      </c>
      <c r="E127" s="11" t="inlineStr">
        <is>
          <t>'My profile' opens. 'Session expires' is about 8 hours after the sign-in time (the absolute limit).</t>
        </is>
      </c>
      <c r="F127" s="16" t="n"/>
      <c r="G127" s="16" t="n"/>
    </row>
    <row r="128">
      <c r="A128" s="10" t="inlineStr">
        <is>
          <t>ACC-20</t>
        </is>
      </c>
      <c r="B128" s="11" t="inlineStr">
        <is>
          <t>End a portal session after 30 minutes without activity</t>
        </is>
      </c>
      <c r="C128" s="11" t="n">
        <v>2</v>
      </c>
      <c r="D128" s="11" t="inlineStr">
        <is>
          <t>Click 'My consents'. Then leave the browser completely untouched (no clicks, no typing, do not switch to this window) for 31 minutes.</t>
        </is>
      </c>
      <c r="E128" s="11" t="inlineStr">
        <is>
          <t>Nothing visible happens while you wait.</t>
        </is>
      </c>
      <c r="F128" s="16" t="n"/>
      <c r="G128" s="16" t="n"/>
    </row>
    <row r="129">
      <c r="A129" s="10" t="inlineStr">
        <is>
          <t>ACC-20</t>
        </is>
      </c>
      <c r="B129" s="11" t="inlineStr">
        <is>
          <t>End a portal session after 30 minutes without activity</t>
        </is>
      </c>
      <c r="C129" s="11" t="n">
        <v>3</v>
      </c>
      <c r="D129" s="11" t="inlineStr">
        <is>
          <t>After 31 minutes, return to the window and, if you are still on 'My consents', click 'My requests'.</t>
        </is>
      </c>
      <c r="E129" s="11" t="inlineStr">
        <is>
          <t>Your data is not shown any more. As soon as you return to the window, or at the latest when you click, you are taken to the portal 'Sign in' page (the address carries 'next='), because the session ended after 30 minutes without activity.</t>
        </is>
      </c>
      <c r="F129" s="16" t="n"/>
      <c r="G129" s="16" t="n"/>
    </row>
    <row r="130">
      <c r="A130" s="10" t="inlineStr">
        <is>
          <t>ACC-20</t>
        </is>
      </c>
      <c r="B130" s="11" t="inlineStr">
        <is>
          <t>End a portal session after 30 minutes without activity</t>
        </is>
      </c>
      <c r="C130" s="11" t="n">
        <v>4</v>
      </c>
      <c r="D130" s="11" t="inlineStr">
        <is>
          <t>Sign in again with the mobile and a new code from the test coordinator.</t>
        </is>
      </c>
      <c r="E130" s="11" t="inlineStr">
        <is>
          <t>You are signed in again and land on the page named in the address ('My consents' or 'My requests'), not on a blank or error page.</t>
        </is>
      </c>
      <c r="F130" s="16" t="n"/>
      <c r="G130" s="16" t="n"/>
    </row>
    <row r="131">
      <c r="A131" s="10" t="inlineStr">
        <is>
          <t>ACC-21</t>
        </is>
      </c>
      <c r="B131" s="11" t="inlineStr">
        <is>
          <t>A data principal corrects her name from My profile</t>
        </is>
      </c>
      <c r="C131" s="11" t="n">
        <v>1</v>
      </c>
      <c r="D131" s="11" t="inlineStr">
        <is>
          <t>Open http://localhost:3001/sign-in, choose 'Email', type tester01@example.org and click 'Send me a code'. Enter the code the test coordinator gives you for tester01@example.org (from the test outbox) and click 'Verify'.</t>
        </is>
      </c>
      <c r="E131" s="11" t="inlineStr">
        <is>
          <t>You land on 'My consents'. The header shows 'Tester One' with the role badge 'Data Subject'.</t>
        </is>
      </c>
      <c r="F131" s="16" t="n"/>
      <c r="G131" s="16" t="n"/>
    </row>
    <row r="132">
      <c r="A132" s="10" t="inlineStr">
        <is>
          <t>ACC-21</t>
        </is>
      </c>
      <c r="B132" s="11" t="inlineStr">
        <is>
          <t>A data principal corrects her name from My profile</t>
        </is>
      </c>
      <c r="C132" s="11" t="n">
        <v>2</v>
      </c>
      <c r="D132" s="11" t="inlineStr">
        <is>
          <t>Click your name at the top right to open the account menu, then click 'My profile'. Look at the 'Identity' card.</t>
        </is>
      </c>
      <c r="E132" s="11" t="inlineStr">
        <is>
          <t>'My profile' opens. In 'Identity' the 'Name' row reads 'Tester One' with a 'Change' button beside it. No other Identity row (Mobile, Email, Role, Person type, Status, Date of birth) has a 'Change' button.</t>
        </is>
      </c>
      <c r="F132" s="16" t="n"/>
      <c r="G132" s="16" t="n"/>
    </row>
    <row r="133">
      <c r="A133" s="10" t="inlineStr">
        <is>
          <t>ACC-21</t>
        </is>
      </c>
      <c r="B133" s="11" t="inlineStr">
        <is>
          <t>A data principal corrects her name from My profile</t>
        </is>
      </c>
      <c r="C133" s="11" t="n">
        <v>3</v>
      </c>
      <c r="D133" s="11" t="inlineStr">
        <is>
          <t>Click 'Change' beside the name.</t>
        </is>
      </c>
      <c r="E133" s="11" t="inlineStr">
        <is>
          <t>The row becomes a 'Name' box filled with 'Tester One', with the hint 'As you would like it to appear' and the buttons 'Save' and 'Cancel'.</t>
        </is>
      </c>
      <c r="F133" s="16" t="n"/>
      <c r="G133" s="16" t="n"/>
    </row>
    <row r="134">
      <c r="A134" s="10" t="inlineStr">
        <is>
          <t>ACC-21</t>
        </is>
      </c>
      <c r="B134" s="11" t="inlineStr">
        <is>
          <t>A data principal corrects her name from My profile</t>
        </is>
      </c>
      <c r="C134" s="11" t="n">
        <v>4</v>
      </c>
      <c r="D134" s="11" t="inlineStr">
        <is>
          <t>Clear the box completely. Then type three spaces and nothing else.</t>
        </is>
      </c>
      <c r="E134" s="11" t="inlineStr">
        <is>
          <t>With the box empty, 'Save' is greyed out and cannot be clicked; with only spaces in it, it stays greyed out. An empty name cannot be saved.</t>
        </is>
      </c>
      <c r="F134" s="16" t="n"/>
      <c r="G134" s="16" t="n"/>
    </row>
    <row r="135">
      <c r="A135" s="10" t="inlineStr">
        <is>
          <t>ACC-21</t>
        </is>
      </c>
      <c r="B135" s="11" t="inlineStr">
        <is>
          <t>A data principal corrects her name from My profile</t>
        </is>
      </c>
      <c r="C135" s="11" t="n">
        <v>5</v>
      </c>
      <c r="D135" s="11" t="inlineStr">
        <is>
          <t>Click 'Cancel'.</t>
        </is>
      </c>
      <c r="E135" s="11" t="inlineStr">
        <is>
          <t>The box closes and the name still reads 'Tester One'. Nothing was saved.</t>
        </is>
      </c>
      <c r="F135" s="16" t="n"/>
      <c r="G135" s="16" t="n"/>
    </row>
    <row r="136">
      <c r="A136" s="10" t="inlineStr">
        <is>
          <t>ACC-21</t>
        </is>
      </c>
      <c r="B136" s="11" t="inlineStr">
        <is>
          <t>A data principal corrects her name from My profile</t>
        </is>
      </c>
      <c r="C136" s="11" t="n">
        <v>6</v>
      </c>
      <c r="D136" s="11" t="inlineStr">
        <is>
          <t>Click 'Change' again and, without editing the name, click 'Save'.</t>
        </is>
      </c>
      <c r="E136" s="11" t="inlineStr">
        <is>
          <t>The box closes and the name still reads 'Tester One'. No 'Name changed' message appears: an unchanged name is not sent.</t>
        </is>
      </c>
      <c r="F136" s="16" t="n"/>
      <c r="G136" s="16" t="n"/>
    </row>
    <row r="137">
      <c r="A137" s="10" t="inlineStr">
        <is>
          <t>ACC-21</t>
        </is>
      </c>
      <c r="B137" s="11" t="inlineStr">
        <is>
          <t>A data principal corrects her name from My profile</t>
        </is>
      </c>
      <c r="C137" s="11" t="n">
        <v>7</v>
      </c>
      <c r="D137" s="11" t="inlineStr">
        <is>
          <t>Click 'Change', replace the name with '  Tester One Corrected  ' (two spaces before and after) and click 'Save'.</t>
        </is>
      </c>
      <c r="E137" s="11" t="inlineStr">
        <is>
          <t>A green message 'Name changed' reads 'Your account now reads Tester One Corrected.' The 'Name' row shows 'Tester One Corrected' with the spaces removed, and the header at the top right shows 'Tester One Corrected' too.</t>
        </is>
      </c>
      <c r="F137" s="16" t="n"/>
      <c r="G137" s="16" t="n"/>
    </row>
    <row r="138">
      <c r="A138" s="10" t="inlineStr">
        <is>
          <t>ACC-21</t>
        </is>
      </c>
      <c r="B138" s="11" t="inlineStr">
        <is>
          <t>A data principal corrects her name from My profile</t>
        </is>
      </c>
      <c r="C138" s="11" t="n">
        <v>8</v>
      </c>
      <c r="D138" s="11" t="inlineStr">
        <is>
          <t>Reload the page.</t>
        </is>
      </c>
      <c r="E138" s="11" t="inlineStr">
        <is>
          <t>The 'Name' row still reads 'Tester One Corrected'. Mobile, Email, Role 'Data Subject' and Date of birth are as they were: only the name changed.</t>
        </is>
      </c>
      <c r="F138" s="16" t="n"/>
      <c r="G138" s="16" t="n"/>
    </row>
    <row r="139">
      <c r="A139" s="10" t="inlineStr">
        <is>
          <t>ACC-21</t>
        </is>
      </c>
      <c r="B139" s="11" t="inlineStr">
        <is>
          <t>A data principal corrects her name from My profile</t>
        </is>
      </c>
      <c r="C139" s="11" t="n">
        <v>9</v>
      </c>
      <c r="D139" s="11" t="inlineStr">
        <is>
          <t>Click 'Sign out'. Sign in again with 'Email' tester01@example.org and the new code the test coordinator gives you.</t>
        </is>
      </c>
      <c r="E139" s="11" t="inlineStr">
        <is>
          <t>You are signed in as before and land on 'My consents'; the header shows 'Tester One Corrected'. Changing the name did not change how you sign in.</t>
        </is>
      </c>
      <c r="F139" s="16" t="n"/>
      <c r="G139" s="16" t="n"/>
    </row>
    <row r="140">
      <c r="A140" s="10" t="inlineStr">
        <is>
          <t>ACC-21</t>
        </is>
      </c>
      <c r="B140" s="11" t="inlineStr">
        <is>
          <t>A data principal corrects her name from My profile</t>
        </is>
      </c>
      <c r="C140" s="11" t="n">
        <v>10</v>
      </c>
      <c r="D140" s="11" t="inlineStr">
        <is>
          <t>Restore the name: open 'My profile' from the account menu, click 'Change', type 'Tester One' and click 'Save'.</t>
        </is>
      </c>
      <c r="E140" s="11" t="inlineStr">
        <is>
          <t>'Name changed' reads 'Your account now reads Tester One.' The 'Name' row and the header show 'Tester One' again.</t>
        </is>
      </c>
      <c r="F140" s="16" t="n"/>
      <c r="G140" s="16" t="n"/>
    </row>
    <row r="141">
      <c r="A141" s="10" t="inlineStr">
        <is>
          <t>ACC-22</t>
        </is>
      </c>
      <c r="B141" s="11" t="inlineStr">
        <is>
          <t>A member of staff corrects her own name on the console, and the change is audited without the name</t>
        </is>
      </c>
      <c r="C141" s="11" t="n">
        <v>1</v>
      </c>
      <c r="D141" s="11" t="inlineStr">
        <is>
          <t>Open http://localhost:3000/sign-in, sign in with dpo@cmp.local and SeedPassw0rd!2026, then enter the code the test coordinator gives you for dpo@cmp.local (from the test outbox) and click 'Verify and continue'.</t>
        </is>
      </c>
      <c r="E141" s="11" t="inlineStr">
        <is>
          <t>The Dashboard opens with the heading 'Good day, Priya'. The header shows 'Priya Menon' with the role badge 'DPO'.</t>
        </is>
      </c>
      <c r="F141" s="16" t="n"/>
      <c r="G141" s="16" t="n"/>
    </row>
    <row r="142">
      <c r="A142" s="10" t="inlineStr">
        <is>
          <t>ACC-22</t>
        </is>
      </c>
      <c r="B142" s="11" t="inlineStr">
        <is>
          <t>A member of staff corrects her own name on the console, and the change is audited without the name</t>
        </is>
      </c>
      <c r="C142" s="11" t="n">
        <v>2</v>
      </c>
      <c r="D142" s="11" t="inlineStr">
        <is>
          <t>Click your name at the top right to open the account menu, then click 'My profile'.</t>
        </is>
      </c>
      <c r="E142" s="11" t="inlineStr">
        <is>
          <t>'My profile' opens. The 'Identity' card shows Name 'Priya Menon' with a 'Change' button beside it, and Role 'DPO'.</t>
        </is>
      </c>
      <c r="F142" s="16" t="n"/>
      <c r="G142" s="16" t="n"/>
    </row>
    <row r="143">
      <c r="A143" s="10" t="inlineStr">
        <is>
          <t>ACC-22</t>
        </is>
      </c>
      <c r="B143" s="11" t="inlineStr">
        <is>
          <t>A member of staff corrects her own name on the console, and the change is audited without the name</t>
        </is>
      </c>
      <c r="C143" s="11" t="n">
        <v>3</v>
      </c>
      <c r="D143" s="11" t="inlineStr">
        <is>
          <t>Click 'Change' beside the name and clear the box completely.</t>
        </is>
      </c>
      <c r="E143" s="11" t="inlineStr">
        <is>
          <t>A 'Name' box with the hint 'As you would like it to appear' and the buttons 'Save' and 'Cancel' is shown. With the box empty, 'Save' is greyed out and cannot be clicked.</t>
        </is>
      </c>
      <c r="F143" s="16" t="n"/>
      <c r="G143" s="16" t="n"/>
    </row>
    <row r="144">
      <c r="A144" s="10" t="inlineStr">
        <is>
          <t>ACC-22</t>
        </is>
      </c>
      <c r="B144" s="11" t="inlineStr">
        <is>
          <t>A member of staff corrects her own name on the console, and the change is audited without the name</t>
        </is>
      </c>
      <c r="C144" s="11" t="n">
        <v>4</v>
      </c>
      <c r="D144" s="11" t="inlineStr">
        <is>
          <t>Type 'Priya S. Menon' and click 'Save'.</t>
        </is>
      </c>
      <c r="E144" s="11" t="inlineStr">
        <is>
          <t>A green message 'Name changed' reads 'Your account now reads Priya S. Menon.' The 'Name' row and the header show 'Priya S. Menon'. The role badge still reads 'DPO': a name changes nothing else.</t>
        </is>
      </c>
      <c r="F144" s="16" t="n"/>
      <c r="G144" s="16" t="n"/>
    </row>
    <row r="145">
      <c r="A145" s="10" t="inlineStr">
        <is>
          <t>ACC-22</t>
        </is>
      </c>
      <c r="B145" s="11" t="inlineStr">
        <is>
          <t>A member of staff corrects her own name on the console, and the change is audited without the name</t>
        </is>
      </c>
      <c r="C145" s="11" t="n">
        <v>5</v>
      </c>
      <c r="D145" s="11" t="inlineStr">
        <is>
          <t>Click 'Dashboard' in the sidebar.</t>
        </is>
      </c>
      <c r="E145" s="11" t="inlineStr">
        <is>
          <t>The heading still reads 'Good day, Priya' (the first name did not change) and the sidebar is unchanged.</t>
        </is>
      </c>
      <c r="F145" s="16" t="n"/>
      <c r="G145" s="16" t="n"/>
    </row>
    <row r="146">
      <c r="A146" s="10" t="inlineStr">
        <is>
          <t>ACC-22</t>
        </is>
      </c>
      <c r="B146" s="11" t="inlineStr">
        <is>
          <t>A member of staff corrects her own name on the console, and the change is audited without the name</t>
        </is>
      </c>
      <c r="C146" s="11" t="n">
        <v>6</v>
      </c>
      <c r="D146" s="11" t="inlineStr">
        <is>
          <t>Under 'Oversight' click 'Users'. Type Menon in 'Search' and click 'Search'.</t>
        </is>
      </c>
      <c r="E146" s="11" t="inlineStr">
        <is>
          <t>The register lists 'Priya S. Menon' (dpo@cmp.local) with Role 'DPO': the corrected name is still found by part of it.</t>
        </is>
      </c>
      <c r="F146" s="16" t="n"/>
      <c r="G146" s="16" t="n"/>
    </row>
    <row r="147">
      <c r="A147" s="10" t="inlineStr">
        <is>
          <t>ACC-22</t>
        </is>
      </c>
      <c r="B147" s="11" t="inlineStr">
        <is>
          <t>A member of staff corrects her own name on the console, and the change is audited without the name</t>
        </is>
      </c>
      <c r="C147" s="11" t="n">
        <v>7</v>
      </c>
      <c r="D147" s="11" t="inlineStr">
        <is>
          <t>Restore the name: open 'My profile' from the account menu, click 'Change', type 'Priya Menon' and click 'Save'.</t>
        </is>
      </c>
      <c r="E147" s="11" t="inlineStr">
        <is>
          <t>'Name changed' reads 'Your account now reads Priya Menon.' The 'Name' row and the header show 'Priya Menon'.</t>
        </is>
      </c>
      <c r="F147" s="16" t="n"/>
      <c r="G147" s="16" t="n"/>
    </row>
    <row r="148">
      <c r="A148" s="10" t="inlineStr">
        <is>
          <t>ACC-22</t>
        </is>
      </c>
      <c r="B148" s="11" t="inlineStr">
        <is>
          <t>A member of staff corrects her own name on the console, and the change is audited without the name</t>
        </is>
      </c>
      <c r="C148" s="11" t="n">
        <v>8</v>
      </c>
      <c r="D148" s="11" t="inlineStr">
        <is>
          <t>Click 'Change' again and, without editing, click 'Save'.</t>
        </is>
      </c>
      <c r="E148" s="11" t="inlineStr">
        <is>
          <t>The box closes; no 'Name changed' message appears and nothing is sent.</t>
        </is>
      </c>
      <c r="F148" s="16" t="n"/>
      <c r="G148" s="16" t="n"/>
    </row>
    <row r="149">
      <c r="A149" s="10" t="inlineStr">
        <is>
          <t>ACC-22</t>
        </is>
      </c>
      <c r="B149" s="11" t="inlineStr">
        <is>
          <t>A member of staff corrects her own name on the console, and the change is audited without the name</t>
        </is>
      </c>
      <c r="C149" s="11" t="n">
        <v>9</v>
      </c>
      <c r="D149" s="11" t="inlineStr">
        <is>
          <t>Click 'Audit trail' under 'Oversight'. In 'Area' choose 'Accounts' and in 'Event' choose 'Updated'. Then set 'About' to 'Member of staff', type Priya and pick 'Priya Menon'.</t>
        </is>
      </c>
      <c r="E149" s="11" t="inlineStr">
        <is>
          <t>The chips 'Event Updated' and 'Actor Priya Menon' are shown. The two newest rows are 'User updated' entries timed at steps 4 and 7; there is no third entry for step 8.</t>
        </is>
      </c>
      <c r="F149" s="16" t="n"/>
      <c r="G149" s="16" t="n"/>
    </row>
    <row r="150">
      <c r="A150" s="10" t="inlineStr">
        <is>
          <t>ACC-22</t>
        </is>
      </c>
      <c r="B150" s="11" t="inlineStr">
        <is>
          <t>A member of staff corrects her own name on the console, and the change is audited without the name</t>
        </is>
      </c>
      <c r="C150" s="11" t="n">
        <v>10</v>
      </c>
      <c r="D150" s="11" t="inlineStr">
        <is>
          <t>Click the newest 'User updated' row, then click 'Show raw JSON'.</t>
        </is>
      </c>
      <c r="E150" s="11" t="inlineStr">
        <is>
          <t>The dialog shows 'Who' Priya Menon with the 'DPO' badge. The recorded details say only that the change was made by the person herself ("self_service": true): neither 'Priya S. Menon' nor any other name or address appears in the details.</t>
        </is>
      </c>
      <c r="F150" s="16" t="n"/>
      <c r="G150" s="16" t="n"/>
    </row>
    <row r="151">
      <c r="A151" s="10" t="inlineStr">
        <is>
          <t>REG-01</t>
        </is>
      </c>
      <c r="B151" s="11" t="inlineStr">
        <is>
          <t>Administrator provisions a new staff account</t>
        </is>
      </c>
      <c r="C151" s="11" t="n">
        <v>1</v>
      </c>
      <c r="D151"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151" s="11" t="inlineStr">
        <is>
          <t>The Dashboard opens. The top-right corner of the header shows 'System Admin' with the role badge 'Administrator'.</t>
        </is>
      </c>
      <c r="F151" s="16" t="n"/>
      <c r="G151" s="16" t="n"/>
    </row>
    <row r="152">
      <c r="A152" s="10" t="inlineStr">
        <is>
          <t>REG-01</t>
        </is>
      </c>
      <c r="B152" s="11" t="inlineStr">
        <is>
          <t>Administrator provisions a new staff account</t>
        </is>
      </c>
      <c r="C152" s="11" t="n">
        <v>2</v>
      </c>
      <c r="D152" s="11" t="inlineStr">
        <is>
          <t>In the left-hand sidebar, under 'Your work', click 'Users'.</t>
        </is>
      </c>
      <c r="E152" s="11" t="inlineStr">
        <is>
          <t>The 'Users' page opens with the register of accounts (columns Name, Role, Person type, Status, Registered, Action) and a 'Provision account' button at the top right.</t>
        </is>
      </c>
      <c r="F152" s="16" t="n"/>
      <c r="G152" s="16" t="n"/>
    </row>
    <row r="153">
      <c r="A153" s="10" t="inlineStr">
        <is>
          <t>REG-01</t>
        </is>
      </c>
      <c r="B153" s="11" t="inlineStr">
        <is>
          <t>Administrator provisions a new staff account</t>
        </is>
      </c>
      <c r="C153" s="11" t="n">
        <v>3</v>
      </c>
      <c r="D153" s="11" t="inlineStr">
        <is>
          <t>Click 'Provision account'.</t>
        </is>
      </c>
      <c r="E153" s="11" t="inlineStr">
        <is>
          <t>A dialog titled 'Provision an account' opens. It says no password is set here and that an email invites the person to choose their own. There is no password field.</t>
        </is>
      </c>
      <c r="F153" s="16" t="n"/>
      <c r="G153" s="16" t="n"/>
    </row>
    <row r="154">
      <c r="A154" s="10" t="inlineStr">
        <is>
          <t>REG-01</t>
        </is>
      </c>
      <c r="B154" s="11" t="inlineStr">
        <is>
          <t>Administrator provisions a new staff account</t>
        </is>
      </c>
      <c r="C154" s="11" t="n">
        <v>4</v>
      </c>
      <c r="D154" s="11" t="inlineStr">
        <is>
          <t>Type 'UAT DCO 01' in 'Full name' and 'uat.dco01@cmp.local' in 'Email'. In 'Role' choose 'Data Collection Owner'. In 'Person type' choose 'Employee'. Leave the 'Data sources' boxes unticked.</t>
        </is>
      </c>
      <c r="E154" s="11" t="inlineStr">
        <is>
          <t>The fields accept the values. Because the role is Data Collection Owner, a 'Data sources' section is shown (optional).</t>
        </is>
      </c>
      <c r="F154" s="16" t="n"/>
      <c r="G154" s="16" t="n"/>
    </row>
    <row r="155">
      <c r="A155" s="10" t="inlineStr">
        <is>
          <t>REG-01</t>
        </is>
      </c>
      <c r="B155" s="11" t="inlineStr">
        <is>
          <t>Administrator provisions a new staff account</t>
        </is>
      </c>
      <c r="C155" s="11" t="n">
        <v>5</v>
      </c>
      <c r="D155" s="11" t="inlineStr">
        <is>
          <t>Click 'Create account'.</t>
        </is>
      </c>
      <c r="E155" s="11" t="inlineStr">
        <is>
          <t>The dialog closes and a green message 'Account created' appears, saying an email is on its way to uat.dco01@cmp.local with a code to set a password and that the account stays pending until they do.</t>
        </is>
      </c>
      <c r="F155" s="16" t="n"/>
      <c r="G155" s="16" t="n"/>
    </row>
    <row r="156">
      <c r="A156" s="10" t="inlineStr">
        <is>
          <t>REG-01</t>
        </is>
      </c>
      <c r="B156" s="11" t="inlineStr">
        <is>
          <t>Administrator provisions a new staff account</t>
        </is>
      </c>
      <c r="C156" s="11" t="n">
        <v>6</v>
      </c>
      <c r="D156" s="11" t="inlineStr">
        <is>
          <t>In the 'Search' box type uat.dco01@cmp.local and click 'Search'.</t>
        </is>
      </c>
      <c r="E156" s="11" t="inlineStr">
        <is>
          <t>The register shows one row: 'UAT DCO 01' (uat.dco01@cmp.local), Role 'Data Collection Owner', Person type 'Employee', Status 'Pending', Registered = today's date.</t>
        </is>
      </c>
      <c r="F156" s="16" t="n"/>
      <c r="G156" s="16" t="n"/>
    </row>
    <row r="157">
      <c r="A157" s="10" t="inlineStr">
        <is>
          <t>REG-01</t>
        </is>
      </c>
      <c r="B157" s="11" t="inlineStr">
        <is>
          <t>Administrator provisions a new staff account</t>
        </is>
      </c>
      <c r="C157" s="11" t="n">
        <v>7</v>
      </c>
      <c r="D157" s="11" t="inlineStr">
        <is>
          <t>Look at the 'Action' column for that row.</t>
        </is>
      </c>
      <c r="E157" s="11" t="inlineStr">
        <is>
          <t>The buttons 'Edit', 'Role', 'Reset MFA', 'Resend invitation' and 'End staff access' are shown.</t>
        </is>
      </c>
      <c r="F157" s="16" t="n"/>
      <c r="G157" s="16" t="n"/>
    </row>
    <row r="158">
      <c r="A158" s="10" t="inlineStr">
        <is>
          <t>REG-01</t>
        </is>
      </c>
      <c r="B158" s="11" t="inlineStr">
        <is>
          <t>Administrator provisions a new staff account</t>
        </is>
      </c>
      <c r="C158" s="11" t="n">
        <v>8</v>
      </c>
      <c r="D158" s="11" t="inlineStr">
        <is>
          <t>Ask the test coordinator to confirm an invitation email was sent to uat.dco01@cmp.local (from the test outbox).</t>
        </is>
      </c>
      <c r="E158" s="11" t="inlineStr">
        <is>
          <t>The coordinator confirms an email with the subject beginning 'Set your password for the' that names the role 'Data Collection Owner', contains a link to the console's password page and a numeric code. No password appears in the email.</t>
        </is>
      </c>
      <c r="F158" s="16" t="n"/>
      <c r="G158" s="16" t="n"/>
    </row>
    <row r="159">
      <c r="A159" s="10" t="inlineStr">
        <is>
          <t>REG-02</t>
        </is>
      </c>
      <c r="B159" s="11" t="inlineStr">
        <is>
          <t>New member of staff sets a password from the invitation, which activates the account</t>
        </is>
      </c>
      <c r="C159" s="11" t="n">
        <v>1</v>
      </c>
      <c r="D159" s="11" t="inlineStr">
        <is>
          <t>Ask the test coordinator for the invitation sent to uat.dco01@cmp.local (from the test outbox). Open the link it contains in the browser.</t>
        </is>
      </c>
      <c r="E159" s="11" t="inlineStr">
        <is>
          <t>A page titled 'Set your password' opens, saying 'Enter the code sent to uat.dco01@cmp.local and choose a password.' It shows the fields 'Code', 'New password' and 'Confirm new password'.</t>
        </is>
      </c>
      <c r="F159" s="16" t="n"/>
      <c r="G159" s="16" t="n"/>
    </row>
    <row r="160">
      <c r="A160" s="10" t="inlineStr">
        <is>
          <t>REG-02</t>
        </is>
      </c>
      <c r="B160" s="11" t="inlineStr">
        <is>
          <t>New member of staff sets a password from the invitation, which activates the account</t>
        </is>
      </c>
      <c r="C160" s="11" t="n">
        <v>2</v>
      </c>
      <c r="D160" s="11" t="inlineStr">
        <is>
          <t>Type the code from the invitation in 'Code', 'UatPassw0rd!2026' in 'New password' and 'UatPassw0rd!2027' in 'Confirm new password'. Click 'Set the new password'.</t>
        </is>
      </c>
      <c r="E160" s="11" t="inlineStr">
        <is>
          <t>The password is not set. The message 'The two passwords do not match' appears under 'Confirm new password'.</t>
        </is>
      </c>
      <c r="F160" s="16" t="n"/>
      <c r="G160" s="16" t="n"/>
    </row>
    <row r="161">
      <c r="A161" s="10" t="inlineStr">
        <is>
          <t>REG-02</t>
        </is>
      </c>
      <c r="B161" s="11" t="inlineStr">
        <is>
          <t>New member of staff sets a password from the invitation, which activates the account</t>
        </is>
      </c>
      <c r="C161" s="11" t="n">
        <v>3</v>
      </c>
      <c r="D161" s="11" t="inlineStr">
        <is>
          <t>Correct 'Confirm new password' to 'UatPassw0rd!2026' and click 'Set the new password'.</t>
        </is>
      </c>
      <c r="E161" s="11" t="inlineStr">
        <is>
          <t>A green panel 'Password changed' appears ('Every other session has been signed out. Taking you to sign in…') and after a few seconds the 'Sign in' page opens.</t>
        </is>
      </c>
      <c r="F161" s="16" t="n"/>
      <c r="G161" s="16" t="n"/>
    </row>
    <row r="162">
      <c r="A162" s="10" t="inlineStr">
        <is>
          <t>REG-02</t>
        </is>
      </c>
      <c r="B162" s="11" t="inlineStr">
        <is>
          <t>New member of staff sets a password from the invitation, which activates the account</t>
        </is>
      </c>
      <c r="C162" s="11" t="n">
        <v>4</v>
      </c>
      <c r="D162" s="11" t="inlineStr">
        <is>
          <t>Open http://localhost:3000. On the 'Sign in' page type uat.dco01@cmp.local in 'Email or username' and UatPassw0rd!2026 in 'Password', then click 'Sign in'. On the 'Verify it is you' page, ask the test coordinator for the sign-in code sent to uat.dco01@cmp.local (from the test outbox), type it in '6-digit code' and click 'Verify and continue'.</t>
        </is>
      </c>
      <c r="E162" s="11" t="inlineStr">
        <is>
          <t>The Dashboard opens. The top-right corner of the header shows 'UAT DCO 01' with the role badge 'Data Collection Owner'.</t>
        </is>
      </c>
      <c r="F162" s="16" t="n"/>
      <c r="G162" s="16" t="n"/>
    </row>
    <row r="163">
      <c r="A163" s="10" t="inlineStr">
        <is>
          <t>REG-02</t>
        </is>
      </c>
      <c r="B163" s="11" t="inlineStr">
        <is>
          <t>New member of staff sets a password from the invitation, which activates the account</t>
        </is>
      </c>
      <c r="C163" s="11" t="n">
        <v>5</v>
      </c>
      <c r="D163" s="11" t="inlineStr">
        <is>
          <t>Look at the left-hand sidebar.</t>
        </is>
      </c>
      <c r="E163" s="11" t="inlineStr">
        <is>
          <t>The sidebar shows the Data Collection Owner's pages (for example 'My projects', 'Collection sites', 'Data sources', 'Delegations') and does NOT show 'Users'.</t>
        </is>
      </c>
      <c r="F163" s="16" t="n"/>
      <c r="G163" s="16" t="n"/>
    </row>
    <row r="164">
      <c r="A164" s="10" t="inlineStr">
        <is>
          <t>REG-02</t>
        </is>
      </c>
      <c r="B164" s="11" t="inlineStr">
        <is>
          <t>New member of staff sets a password from the invitation, which activates the account</t>
        </is>
      </c>
      <c r="C164" s="11" t="n">
        <v>6</v>
      </c>
      <c r="D164" s="11" t="inlineStr">
        <is>
          <t>Click 'Sign out' at the bottom of the left-hand sidebar.</t>
        </is>
      </c>
      <c r="E164" s="11" t="inlineStr">
        <is>
          <t>You are returned to the 'Sign in' page.</t>
        </is>
      </c>
      <c r="F164" s="16" t="n"/>
      <c r="G164" s="16" t="n"/>
    </row>
    <row r="165">
      <c r="A165" s="10" t="inlineStr">
        <is>
          <t>REG-02</t>
        </is>
      </c>
      <c r="B165" s="11" t="inlineStr">
        <is>
          <t>New member of staff sets a password from the invitation, which activates the account</t>
        </is>
      </c>
      <c r="C165" s="11" t="n">
        <v>7</v>
      </c>
      <c r="D165"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165" s="11" t="inlineStr">
        <is>
          <t>The Dashboard opens. The top-right corner of the header shows 'System Admin' with the role badge 'Administrator'.</t>
        </is>
      </c>
      <c r="F165" s="16" t="n"/>
      <c r="G165" s="16" t="n"/>
    </row>
    <row r="166">
      <c r="A166" s="10" t="inlineStr">
        <is>
          <t>REG-02</t>
        </is>
      </c>
      <c r="B166" s="11" t="inlineStr">
        <is>
          <t>New member of staff sets a password from the invitation, which activates the account</t>
        </is>
      </c>
      <c r="C166" s="11" t="n">
        <v>8</v>
      </c>
      <c r="D166" s="11" t="inlineStr">
        <is>
          <t>Click 'Users', search for uat.dco01@cmp.local and click 'Search'.</t>
        </is>
      </c>
      <c r="E166" s="11" t="inlineStr">
        <is>
          <t>UAT DCO 01 now shows Status 'Active'. The 'Resend invitation' button is no longer offered for that row.</t>
        </is>
      </c>
      <c r="F166" s="16" t="n"/>
      <c r="G166" s="16" t="n"/>
    </row>
    <row r="167">
      <c r="A167" s="10" t="inlineStr">
        <is>
          <t>REG-03</t>
        </is>
      </c>
      <c r="B167" s="11" t="inlineStr">
        <is>
          <t>Provisioning refuses a duplicate or incomplete account; invitation can be resent</t>
        </is>
      </c>
      <c r="C167" s="11" t="n">
        <v>1</v>
      </c>
      <c r="D167" s="11" t="inlineStr">
        <is>
          <t>Click 'Users', then 'Provision account'. Leave every field empty and click 'Create account'.</t>
        </is>
      </c>
      <c r="E167" s="11" t="inlineStr">
        <is>
          <t>Nothing is created. Messages appear under the fields, including 'A full name is required' under 'Full name' and 'An email address is required' under 'Email'.</t>
        </is>
      </c>
      <c r="F167" s="16" t="n"/>
      <c r="G167" s="16" t="n"/>
    </row>
    <row r="168">
      <c r="A168" s="10" t="inlineStr">
        <is>
          <t>REG-03</t>
        </is>
      </c>
      <c r="B168" s="11" t="inlineStr">
        <is>
          <t>Provisioning refuses a duplicate or incomplete account; invitation can be resent</t>
        </is>
      </c>
      <c r="C168" s="11" t="n">
        <v>2</v>
      </c>
      <c r="D168" s="11" t="inlineStr">
        <is>
          <t>Type 'UAT DCO 02' in 'Full name' and 'uat.dco02-at-cmp.local' in 'Email'. Click 'Create account'.</t>
        </is>
      </c>
      <c r="E168" s="11" t="inlineStr">
        <is>
          <t>Nothing is created. 'That does not look like an email address' appears under 'Email'.</t>
        </is>
      </c>
      <c r="F168" s="16" t="n"/>
      <c r="G168" s="16" t="n"/>
    </row>
    <row r="169">
      <c r="A169" s="10" t="inlineStr">
        <is>
          <t>REG-03</t>
        </is>
      </c>
      <c r="B169" s="11" t="inlineStr">
        <is>
          <t>Provisioning refuses a duplicate or incomplete account; invitation can be resent</t>
        </is>
      </c>
      <c r="C169" s="11" t="n">
        <v>3</v>
      </c>
      <c r="D169" s="11" t="inlineStr">
        <is>
          <t>Change 'Email' to dco@cmp.local (an address that already has an account) and click 'Create account'.</t>
        </is>
      </c>
      <c r="E169" s="11" t="inlineStr">
        <is>
          <t>Nothing is created. An error at the top of the dialog reads 'An account with that email, username or organisation id exists'.</t>
        </is>
      </c>
      <c r="F169" s="16" t="n"/>
      <c r="G169" s="16" t="n"/>
    </row>
    <row r="170">
      <c r="A170" s="10" t="inlineStr">
        <is>
          <t>REG-03</t>
        </is>
      </c>
      <c r="B170" s="11" t="inlineStr">
        <is>
          <t>Provisioning refuses a duplicate or incomplete account; invitation can be resent</t>
        </is>
      </c>
      <c r="C170" s="11" t="n">
        <v>4</v>
      </c>
      <c r="D170" s="11" t="inlineStr">
        <is>
          <t>Change 'Email' to uat.dco02@cmp.local, keep role 'Data Collection Owner' and click 'Create account'.</t>
        </is>
      </c>
      <c r="E170" s="11" t="inlineStr">
        <is>
          <t>'Account created' appears and UAT DCO 02 is listed with Status 'Pending'.</t>
        </is>
      </c>
      <c r="F170" s="16" t="n"/>
      <c r="G170" s="16" t="n"/>
    </row>
    <row r="171">
      <c r="A171" s="10" t="inlineStr">
        <is>
          <t>REG-03</t>
        </is>
      </c>
      <c r="B171" s="11" t="inlineStr">
        <is>
          <t>Provisioning refuses a duplicate or incomplete account; invitation can be resent</t>
        </is>
      </c>
      <c r="C171" s="11" t="n">
        <v>5</v>
      </c>
      <c r="D171" s="11" t="inlineStr">
        <is>
          <t>On the UAT DCO 02 row click 'Resend invitation'.</t>
        </is>
      </c>
      <c r="E171" s="11" t="inlineStr">
        <is>
          <t>A green message 'Invitation sent' appears, saying a new invitation is on its way to uat.dco02@cmp.local.</t>
        </is>
      </c>
      <c r="F171" s="16" t="n"/>
      <c r="G171" s="16" t="n"/>
    </row>
    <row r="172">
      <c r="A172" s="10" t="inlineStr">
        <is>
          <t>REG-03</t>
        </is>
      </c>
      <c r="B172" s="11" t="inlineStr">
        <is>
          <t>Provisioning refuses a duplicate or incomplete account; invitation can be resent</t>
        </is>
      </c>
      <c r="C172" s="11" t="n">
        <v>6</v>
      </c>
      <c r="D172" s="11" t="inlineStr">
        <is>
          <t>Ask the test coordinator to confirm (from the test outbox) that uat.dco02@cmp.local received two invitation emails.</t>
        </is>
      </c>
      <c r="E172" s="11" t="inlineStr">
        <is>
          <t>The coordinator confirms two invitation emails for uat.dco02@cmp.local, the second carrying a new code.</t>
        </is>
      </c>
      <c r="F172" s="16" t="n"/>
      <c r="G172" s="16" t="n"/>
    </row>
    <row r="173">
      <c r="A173" s="10" t="inlineStr">
        <is>
          <t>REG-04</t>
        </is>
      </c>
      <c r="B173" s="11" t="inlineStr">
        <is>
          <t>Roles that may not administer users cannot provision or manage accounts</t>
        </is>
      </c>
      <c r="C173" s="11" t="n">
        <v>1</v>
      </c>
      <c r="D173"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173" s="11" t="inlineStr">
        <is>
          <t>The Dashboard opens. The top-right corner of the header shows 'Priya Menon' with the role badge 'DPO'.</t>
        </is>
      </c>
      <c r="F173" s="16" t="n"/>
      <c r="G173" s="16" t="n"/>
    </row>
    <row r="174">
      <c r="A174" s="10" t="inlineStr">
        <is>
          <t>REG-04</t>
        </is>
      </c>
      <c r="B174" s="11" t="inlineStr">
        <is>
          <t>Roles that may not administer users cannot provision or manage accounts</t>
        </is>
      </c>
      <c r="C174" s="11" t="n">
        <v>2</v>
      </c>
      <c r="D174" s="11" t="inlineStr">
        <is>
          <t>Click 'Users' in the sidebar (under 'Oversight').</t>
        </is>
      </c>
      <c r="E174" s="11" t="inlineStr">
        <is>
          <t>The 'Users' register opens read-only: a blue note says 'You can read the register. Provisioning, role changes and deactivation are restricted to administrators.' There is NO 'Provision account' button, and the 'Action' column of every row is empty (no 'Edit', 'Role', 'Reset MFA', 'Resend invitation' or 'End staff access').</t>
        </is>
      </c>
      <c r="F174" s="16" t="n"/>
      <c r="G174" s="16" t="n"/>
    </row>
    <row r="175">
      <c r="A175" s="10" t="inlineStr">
        <is>
          <t>REG-04</t>
        </is>
      </c>
      <c r="B175" s="11" t="inlineStr">
        <is>
          <t>Roles that may not administer users cannot provision or manage accounts</t>
        </is>
      </c>
      <c r="C175" s="11" t="n">
        <v>3</v>
      </c>
      <c r="D175" s="11" t="inlineStr">
        <is>
          <t>Click 'Sign out' at the bottom of the left-hand sidebar.</t>
        </is>
      </c>
      <c r="E175" s="11" t="inlineStr">
        <is>
          <t>You are returned to the 'Sign in' page.</t>
        </is>
      </c>
      <c r="F175" s="16" t="n"/>
      <c r="G175" s="16" t="n"/>
    </row>
    <row r="176">
      <c r="A176" s="10" t="inlineStr">
        <is>
          <t>REG-04</t>
        </is>
      </c>
      <c r="B176" s="11" t="inlineStr">
        <is>
          <t>Roles that may not administer users cannot provision or manage accounts</t>
        </is>
      </c>
      <c r="C176" s="11" t="n">
        <v>4</v>
      </c>
      <c r="D176" s="11" t="inlineStr">
        <is>
          <t>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t>
        </is>
      </c>
      <c r="E176" s="11" t="inlineStr">
        <is>
          <t>The Dashboard opens. The top-right corner of the header shows 'Arun Shetty' with the role badge 'Data Collection Owner'.</t>
        </is>
      </c>
      <c r="F176" s="16" t="n"/>
      <c r="G176" s="16" t="n"/>
    </row>
    <row r="177">
      <c r="A177" s="10" t="inlineStr">
        <is>
          <t>REG-04</t>
        </is>
      </c>
      <c r="B177" s="11" t="inlineStr">
        <is>
          <t>Roles that may not administer users cannot provision or manage accounts</t>
        </is>
      </c>
      <c r="C177" s="11" t="n">
        <v>5</v>
      </c>
      <c r="D177" s="11" t="inlineStr">
        <is>
          <t>Look through the left-hand sidebar.</t>
        </is>
      </c>
      <c r="E177" s="11" t="inlineStr">
        <is>
          <t>There is no 'Users' entry and no 'Message templates' entry.</t>
        </is>
      </c>
      <c r="F177" s="16" t="n"/>
      <c r="G177" s="16" t="n"/>
    </row>
    <row r="178">
      <c r="A178" s="10" t="inlineStr">
        <is>
          <t>REG-04</t>
        </is>
      </c>
      <c r="B178" s="11" t="inlineStr">
        <is>
          <t>Roles that may not administer users cannot provision or manage accounts</t>
        </is>
      </c>
      <c r="C178" s="11" t="n">
        <v>6</v>
      </c>
      <c r="D178" s="11" t="inlineStr">
        <is>
          <t>Type http://localhost:3000/users in the browser address bar and press Enter.</t>
        </is>
      </c>
      <c r="E178" s="11" t="inlineStr">
        <is>
          <t>No register is shown. A panel titled 'Not part of your account' says the section belongs to a different role, with a 'Back to your dashboard' button.</t>
        </is>
      </c>
      <c r="F178" s="16" t="n"/>
      <c r="G178" s="16" t="n"/>
    </row>
    <row r="179">
      <c r="A179" s="10" t="inlineStr">
        <is>
          <t>REG-04</t>
        </is>
      </c>
      <c r="B179" s="11" t="inlineStr">
        <is>
          <t>Roles that may not administer users cannot provision or manage accounts</t>
        </is>
      </c>
      <c r="C179" s="11" t="n">
        <v>7</v>
      </c>
      <c r="D179" s="11" t="inlineStr">
        <is>
          <t>Type http://localhost:3000/messages in the address bar and press Enter.</t>
        </is>
      </c>
      <c r="E179" s="11" t="inlineStr">
        <is>
          <t>The same 'Not part of your account' panel is shown; no message templates are visible.</t>
        </is>
      </c>
      <c r="F179" s="16" t="n"/>
      <c r="G179" s="16" t="n"/>
    </row>
    <row r="180">
      <c r="A180" s="10" t="inlineStr">
        <is>
          <t>REG-04</t>
        </is>
      </c>
      <c r="B180" s="11" t="inlineStr">
        <is>
          <t>Roles that may not administer users cannot provision or manage accounts</t>
        </is>
      </c>
      <c r="C180" s="11" t="n">
        <v>8</v>
      </c>
      <c r="D180" s="11" t="inlineStr">
        <is>
          <t>Click 'Sign out' at the bottom of the left-hand sidebar.</t>
        </is>
      </c>
      <c r="E180" s="11" t="inlineStr">
        <is>
          <t>You are returned to the 'Sign in' page.</t>
        </is>
      </c>
      <c r="F180" s="16" t="n"/>
      <c r="G180" s="16" t="n"/>
    </row>
    <row r="181">
      <c r="A181" s="10" t="inlineStr">
        <is>
          <t>REG-04</t>
        </is>
      </c>
      <c r="B181" s="11" t="inlineStr">
        <is>
          <t>Roles that may not administer users cannot provision or manage accounts</t>
        </is>
      </c>
      <c r="C181" s="11" t="n">
        <v>9</v>
      </c>
      <c r="D181" s="11" t="inlineStr">
        <is>
          <t>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t>
        </is>
      </c>
      <c r="E181" s="11" t="inlineStr">
        <is>
          <t>The Dashboard opens. The top-right corner of the header shows 'Kavya Rao' with the role badge 'R&amp;D User'.</t>
        </is>
      </c>
      <c r="F181" s="16" t="n"/>
      <c r="G181" s="16" t="n"/>
    </row>
    <row r="182">
      <c r="A182" s="10" t="inlineStr">
        <is>
          <t>REG-04</t>
        </is>
      </c>
      <c r="B182" s="11" t="inlineStr">
        <is>
          <t>Roles that may not administer users cannot provision or manage accounts</t>
        </is>
      </c>
      <c r="C182" s="11" t="n">
        <v>10</v>
      </c>
      <c r="D182" s="11" t="inlineStr">
        <is>
          <t>Look through the sidebar, then open http://localhost:3000/users directly.</t>
        </is>
      </c>
      <c r="E182" s="11" t="inlineStr">
        <is>
          <t>No 'Users' entry in the sidebar; the address shows 'Not part of your account'.</t>
        </is>
      </c>
      <c r="F182" s="16" t="n"/>
      <c r="G182" s="16" t="n"/>
    </row>
    <row r="183">
      <c r="A183" s="10" t="inlineStr">
        <is>
          <t>REG-05</t>
        </is>
      </c>
      <c r="B183" s="11" t="inlineStr">
        <is>
          <t>DPO drafts a purpose, edits the draft and activates it</t>
        </is>
      </c>
      <c r="C183" s="11" t="n">
        <v>1</v>
      </c>
      <c r="D183"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183" s="11" t="inlineStr">
        <is>
          <t>The Dashboard opens. The top-right corner of the header shows 'Priya Menon' with the role badge 'DPO'.</t>
        </is>
      </c>
      <c r="F183" s="16" t="n"/>
      <c r="G183" s="16" t="n"/>
    </row>
    <row r="184">
      <c r="A184" s="10" t="inlineStr">
        <is>
          <t>REG-05</t>
        </is>
      </c>
      <c r="B184" s="11" t="inlineStr">
        <is>
          <t>DPO drafts a purpose, edits the draft and activates it</t>
        </is>
      </c>
      <c r="C184" s="11" t="n">
        <v>2</v>
      </c>
      <c r="D184" s="11" t="inlineStr">
        <is>
          <t>In the sidebar under 'Governance' click 'Purposes'.</t>
        </is>
      </c>
      <c r="E184" s="11" t="inlineStr">
        <is>
          <t>The 'Purposes' page opens with the list (columns Purpose, Status, Lawful basis, Data collected, Retention, Actions) and a 'New purpose' button.</t>
        </is>
      </c>
      <c r="F184" s="16" t="n"/>
      <c r="G184" s="16" t="n"/>
    </row>
    <row r="185">
      <c r="A185" s="10" t="inlineStr">
        <is>
          <t>REG-05</t>
        </is>
      </c>
      <c r="B185" s="11" t="inlineStr">
        <is>
          <t>DPO drafts a purpose, edits the draft and activates it</t>
        </is>
      </c>
      <c r="C185" s="11" t="n">
        <v>3</v>
      </c>
      <c r="D185" s="11" t="inlineStr">
        <is>
          <t>Click 'New purpose'.</t>
        </is>
      </c>
      <c r="E185" s="11" t="inlineStr">
        <is>
          <t>A dialog titled 'New purpose' opens with fields Code, Name, Description, What this allows, Data collected (tick boxes), Lawful basis, Retention (days), Retention basis, Erasure trigger, Consent validity (days), When consent lapses, and two tick boxes: 'Transfer outside India is permitted for this purpose' and 'May be used for data of children'.</t>
        </is>
      </c>
      <c r="F185" s="16" t="n"/>
      <c r="G185" s="16" t="n"/>
    </row>
    <row r="186">
      <c r="A186" s="10" t="inlineStr">
        <is>
          <t>REG-05</t>
        </is>
      </c>
      <c r="B186" s="11" t="inlineStr">
        <is>
          <t>DPO drafts a purpose, edits the draft and activates it</t>
        </is>
      </c>
      <c r="C186" s="11" t="n">
        <v>4</v>
      </c>
      <c r="D186" s="11" t="inlineStr">
        <is>
          <t>Fill in the form with the test data (tick 'Name' and 'Email address' under 'Data collected'; choose 'Consent (s.6)' as 'Lawful basis'; tick 'Transfer outside India is permitted for this purpose'; leave 'May be used for data of children' unticked). Click 'Create purpose'.</t>
        </is>
      </c>
      <c r="E186" s="11" t="inlineStr">
        <is>
          <t>The dialog closes and 'Purpose created' appears ('It must be activated before a notice can use it.').</t>
        </is>
      </c>
      <c r="F186" s="16" t="n"/>
      <c r="G186" s="16" t="n"/>
    </row>
    <row r="187">
      <c r="A187" s="10" t="inlineStr">
        <is>
          <t>REG-05</t>
        </is>
      </c>
      <c r="B187" s="11" t="inlineStr">
        <is>
          <t>DPO drafts a purpose, edits the draft and activates it</t>
        </is>
      </c>
      <c r="C187" s="11" t="n">
        <v>5</v>
      </c>
      <c r="D187" s="11" t="inlineStr">
        <is>
          <t>Type PUR-UAT-01 in the 'Search' box (the list updates as you type; Enter searches at once).</t>
        </is>
      </c>
      <c r="E187" s="11" t="inlineStr">
        <is>
          <t>The row 'UAT Purpose 01' (code PUR-UAT-01) shows Status 'Draft', Lawful basis 'Consent s.6', Data collected 'Name, Email', Retention '365 days', and the buttons 'Edit' and 'Activate'.</t>
        </is>
      </c>
      <c r="F187" s="16" t="n"/>
      <c r="G187" s="16" t="n"/>
    </row>
    <row r="188">
      <c r="A188" s="10" t="inlineStr">
        <is>
          <t>REG-05</t>
        </is>
      </c>
      <c r="B188" s="11" t="inlineStr">
        <is>
          <t>DPO drafts a purpose, edits the draft and activates it</t>
        </is>
      </c>
      <c r="C188" s="11" t="n">
        <v>6</v>
      </c>
      <c r="D188" s="11" t="inlineStr">
        <is>
          <t>Click 'Edit'. In the 'Edit purpose' dialog, change 'Name' to 'UAT Purpose 01 (edited)'. Note that 'Code' cannot be changed. Click 'Save changes'.</t>
        </is>
      </c>
      <c r="E188" s="11" t="inlineStr">
        <is>
          <t>'Purpose updated' appears and the row now reads 'UAT Purpose 01 (edited)'.</t>
        </is>
      </c>
      <c r="F188" s="16" t="n"/>
      <c r="G188" s="16" t="n"/>
    </row>
    <row r="189">
      <c r="A189" s="10" t="inlineStr">
        <is>
          <t>REG-05</t>
        </is>
      </c>
      <c r="B189" s="11" t="inlineStr">
        <is>
          <t>DPO drafts a purpose, edits the draft and activates it</t>
        </is>
      </c>
      <c r="C189" s="11" t="n">
        <v>7</v>
      </c>
      <c r="D189" s="11" t="inlineStr">
        <is>
          <t>Click 'Activate' on the row.</t>
        </is>
      </c>
      <c r="E189" s="11" t="inlineStr">
        <is>
          <t>'Purpose activated' appears ('Notices can now use it.'). Status changes to 'Active'; 'Edit' and 'Activate' disappear and a 'Retire' button is shown.</t>
        </is>
      </c>
      <c r="F189" s="16" t="n"/>
      <c r="G189" s="16" t="n"/>
    </row>
    <row r="190">
      <c r="A190" s="10" t="inlineStr">
        <is>
          <t>REG-05</t>
        </is>
      </c>
      <c r="B190" s="11" t="inlineStr">
        <is>
          <t>DPO drafts a purpose, edits the draft and activates it</t>
        </is>
      </c>
      <c r="C190" s="11" t="n">
        <v>8</v>
      </c>
      <c r="D190" s="11" t="inlineStr">
        <is>
          <t>Click the purpose name to open it.</t>
        </is>
      </c>
      <c r="E190" s="11" t="inlineStr">
        <is>
          <t>The purpose page shows 'What was promised' (Description, Uses, Data categories Name and Email) and 'Terms' (Code PUR-UAT-01, Lawful basis, Retention). 'Notices using this purpose' shows 'Not attached to any notice'.</t>
        </is>
      </c>
      <c r="F190" s="16" t="n"/>
      <c r="G190" s="16" t="n"/>
    </row>
    <row r="191">
      <c r="A191" s="10" t="inlineStr">
        <is>
          <t>REG-06</t>
        </is>
      </c>
      <c r="B191" s="11" t="inlineStr">
        <is>
          <t>Purpose form refuses incomplete or inconsistent purposes</t>
        </is>
      </c>
      <c r="C191" s="11" t="n">
        <v>1</v>
      </c>
      <c r="D191" s="11" t="inlineStr">
        <is>
          <t>Open 'Purposes' and click 'New purpose'. Without filling anything, click 'Create purpose'.</t>
        </is>
      </c>
      <c r="E191" s="11" t="inlineStr">
        <is>
          <t>Nothing is saved. Messages appear, including 'A code is required', 'A name is required', 'Describe what this purpose is', 'State what this purpose lets you actually do' and 'Rule 3(b)(i): itemise at least one category'.</t>
        </is>
      </c>
      <c r="F191" s="16" t="n"/>
      <c r="G191" s="16" t="n"/>
    </row>
    <row r="192">
      <c r="A192" s="10" t="inlineStr">
        <is>
          <t>REG-06</t>
        </is>
      </c>
      <c r="B192" s="11" t="inlineStr">
        <is>
          <t>Purpose form refuses incomplete or inconsistent purposes</t>
        </is>
      </c>
      <c r="C192" s="11" t="n">
        <v>2</v>
      </c>
      <c r="D192" s="11" t="inlineStr">
        <is>
          <t>Fill Code 'PUR-UAT-02', Name 'UAT Purpose 02', a Description and 'What this allows', tick 'Name' under 'Data collected'. Set 'Lawful basis' to 'Certain Legitimate Uses (s.7)'.</t>
        </is>
      </c>
      <c r="E192" s="11" t="inlineStr">
        <is>
          <t>A new field 'Section 7 clause' appears, showing 'Choose a clause…'.</t>
        </is>
      </c>
      <c r="F192" s="16" t="n"/>
      <c r="G192" s="16" t="n"/>
    </row>
    <row r="193">
      <c r="A193" s="10" t="inlineStr">
        <is>
          <t>REG-06</t>
        </is>
      </c>
      <c r="B193" s="11" t="inlineStr">
        <is>
          <t>Purpose form refuses incomplete or inconsistent purposes</t>
        </is>
      </c>
      <c r="C193" s="11" t="n">
        <v>3</v>
      </c>
      <c r="D193" s="11" t="inlineStr">
        <is>
          <t>Leave 'Section 7 clause' on 'Choose a clause…' and click 'Create purpose'.</t>
        </is>
      </c>
      <c r="E193" s="11" t="inlineStr">
        <is>
          <t>Nothing is saved. 'An s.7 purpose must name the clause it relies on' appears under 'Section 7 clause'.</t>
        </is>
      </c>
      <c r="F193" s="16" t="n"/>
      <c r="G193" s="16" t="n"/>
    </row>
    <row r="194">
      <c r="A194" s="10" t="inlineStr">
        <is>
          <t>REG-06</t>
        </is>
      </c>
      <c r="B194" s="11" t="inlineStr">
        <is>
          <t>Purpose form refuses incomplete or inconsistent purposes</t>
        </is>
      </c>
      <c r="C194" s="11" t="n">
        <v>4</v>
      </c>
      <c r="D194" s="11" t="inlineStr">
        <is>
          <t>Set 'Retention (days)' to 0 and click 'Create purpose'.</t>
        </is>
      </c>
      <c r="E194" s="11" t="inlineStr">
        <is>
          <t>Nothing is saved; 'At least one day' appears under 'Retention (days)'.</t>
        </is>
      </c>
      <c r="F194" s="16" t="n"/>
      <c r="G194" s="16" t="n"/>
    </row>
    <row r="195">
      <c r="A195" s="10" t="inlineStr">
        <is>
          <t>REG-06</t>
        </is>
      </c>
      <c r="B195" s="11" t="inlineStr">
        <is>
          <t>Purpose form refuses incomplete or inconsistent purposes</t>
        </is>
      </c>
      <c r="C195" s="11" t="n">
        <v>5</v>
      </c>
      <c r="D195" s="11" t="inlineStr">
        <is>
          <t>Set 'Retention (days)' back to 365, choose 's.7(a) - voluntarily provided' as 'Section 7 clause', and change 'Code' to PUR-GAIT-TRAIN (already used). Click 'Create purpose'.</t>
        </is>
      </c>
      <c r="E195" s="11" t="inlineStr">
        <is>
          <t>Nothing is saved. An error at the top of the dialog reads 'That purpose code already exists'.</t>
        </is>
      </c>
      <c r="F195" s="16" t="n"/>
      <c r="G195" s="16" t="n"/>
    </row>
    <row r="196">
      <c r="A196" s="10" t="inlineStr">
        <is>
          <t>REG-06</t>
        </is>
      </c>
      <c r="B196" s="11" t="inlineStr">
        <is>
          <t>Purpose form refuses incomplete or inconsistent purposes</t>
        </is>
      </c>
      <c r="C196" s="11" t="n">
        <v>6</v>
      </c>
      <c r="D196" s="11" t="inlineStr">
        <is>
          <t>Click 'Cancel'.</t>
        </is>
      </c>
      <c r="E196" s="11" t="inlineStr">
        <is>
          <t>The dialog closes; no purpose PUR-UAT-02 appears in the list.</t>
        </is>
      </c>
      <c r="F196" s="16" t="n"/>
      <c r="G196" s="16" t="n"/>
    </row>
    <row r="197">
      <c r="A197" s="10" t="inlineStr">
        <is>
          <t>REG-07</t>
        </is>
      </c>
      <c r="B197" s="11" t="inlineStr">
        <is>
          <t>DPO retires a purpose that is no longer in use</t>
        </is>
      </c>
      <c r="C197" s="11" t="n">
        <v>1</v>
      </c>
      <c r="D197" s="11" t="inlineStr">
        <is>
          <t>Open 'Purposes', search PUR-UAT-01 and click 'Retire' on its row.</t>
        </is>
      </c>
      <c r="E197" s="11" t="inlineStr">
        <is>
          <t>A confirmation dialog titled 'Retire UAT Purpose 01 (edited)?' opens, explaining it can no longer be attached to a notice. It has 'Cancel' and 'Retire purpose' buttons.</t>
        </is>
      </c>
      <c r="F197" s="16" t="n"/>
      <c r="G197" s="16" t="n"/>
    </row>
    <row r="198">
      <c r="A198" s="10" t="inlineStr">
        <is>
          <t>REG-07</t>
        </is>
      </c>
      <c r="B198" s="11" t="inlineStr">
        <is>
          <t>DPO retires a purpose that is no longer in use</t>
        </is>
      </c>
      <c r="C198" s="11" t="n">
        <v>2</v>
      </c>
      <c r="D198" s="11" t="inlineStr">
        <is>
          <t>Click 'Cancel'.</t>
        </is>
      </c>
      <c r="E198" s="11" t="inlineStr">
        <is>
          <t>The dialog closes; the purpose is still 'Active'.</t>
        </is>
      </c>
      <c r="F198" s="16" t="n"/>
      <c r="G198" s="16" t="n"/>
    </row>
    <row r="199">
      <c r="A199" s="10" t="inlineStr">
        <is>
          <t>REG-07</t>
        </is>
      </c>
      <c r="B199" s="11" t="inlineStr">
        <is>
          <t>DPO retires a purpose that is no longer in use</t>
        </is>
      </c>
      <c r="C199" s="11" t="n">
        <v>3</v>
      </c>
      <c r="D199" s="11" t="inlineStr">
        <is>
          <t>Click 'Retire' again, then 'Retire purpose'.</t>
        </is>
      </c>
      <c r="E199" s="11" t="inlineStr">
        <is>
          <t>'Purpose retired' appears. The row's Status is now 'Retired' and no action buttons remain on it.</t>
        </is>
      </c>
      <c r="F199" s="16" t="n"/>
      <c r="G199" s="16" t="n"/>
    </row>
    <row r="200">
      <c r="A200" s="10" t="inlineStr">
        <is>
          <t>REG-07</t>
        </is>
      </c>
      <c r="B200" s="11" t="inlineStr">
        <is>
          <t>DPO retires a purpose that is no longer in use</t>
        </is>
      </c>
      <c r="C200" s="11" t="n">
        <v>4</v>
      </c>
      <c r="D200" s="11" t="inlineStr">
        <is>
          <t>Set the 'Status' filter to 'Retired'.</t>
        </is>
      </c>
      <c r="E200" s="11" t="inlineStr">
        <is>
          <t>The list shows 'UAT Purpose 01 (edited)' among the retired purposes.</t>
        </is>
      </c>
      <c r="F200" s="16" t="n"/>
      <c r="G200" s="16" t="n"/>
    </row>
    <row r="201">
      <c r="A201" s="10" t="inlineStr">
        <is>
          <t>REG-07</t>
        </is>
      </c>
      <c r="B201" s="11" t="inlineStr">
        <is>
          <t>DPO retires a purpose that is no longer in use</t>
        </is>
      </c>
      <c r="C201" s="11" t="n">
        <v>5</v>
      </c>
      <c r="D201" s="11" t="inlineStr">
        <is>
          <t>Set the 'Status' filter to 'Active'.</t>
        </is>
      </c>
      <c r="E201" s="11" t="inlineStr">
        <is>
          <t>PUR-UAT-01 is not in the active list (it can no longer be offered on a new notice).</t>
        </is>
      </c>
      <c r="F201" s="16" t="n"/>
      <c r="G201" s="16" t="n"/>
    </row>
    <row r="202">
      <c r="A202" s="10" t="inlineStr">
        <is>
          <t>REG-08</t>
        </is>
      </c>
      <c r="B202" s="11" t="inlineStr">
        <is>
          <t>A purpose used by a published notice cannot be retired</t>
        </is>
      </c>
      <c r="C202" s="11" t="n">
        <v>1</v>
      </c>
      <c r="D202" s="11" t="inlineStr">
        <is>
          <t>Open 'Purposes' and click the name 'Gait model training'.</t>
        </is>
      </c>
      <c r="E202" s="11" t="inlineStr">
        <is>
          <t>The purpose page opens. A blue note says 'This purpose is attached to a published notice, so it cannot be retired.' The card 'Notices using this purpose' lists NTC-GAIT-2026 with status Published.</t>
        </is>
      </c>
      <c r="F202" s="16" t="n"/>
      <c r="G202" s="16" t="n"/>
    </row>
    <row r="203">
      <c r="A203" s="10" t="inlineStr">
        <is>
          <t>REG-08</t>
        </is>
      </c>
      <c r="B203" s="11" t="inlineStr">
        <is>
          <t>A purpose used by a published notice cannot be retired</t>
        </is>
      </c>
      <c r="C203" s="11" t="n">
        <v>2</v>
      </c>
      <c r="D203" s="11" t="inlineStr">
        <is>
          <t>Go back to 'Purposes', find 'Gait model training' and click 'Retire'.</t>
        </is>
      </c>
      <c r="E203" s="11" t="inlineStr">
        <is>
          <t>The confirmation dialog 'Retire Gait model training?' opens, warning that the server will refuse if a published notice references it.</t>
        </is>
      </c>
      <c r="F203" s="16" t="n"/>
      <c r="G203" s="16" t="n"/>
    </row>
    <row r="204">
      <c r="A204" s="10" t="inlineStr">
        <is>
          <t>REG-08</t>
        </is>
      </c>
      <c r="B204" s="11" t="inlineStr">
        <is>
          <t>A purpose used by a published notice cannot be retired</t>
        </is>
      </c>
      <c r="C204" s="11" t="n">
        <v>3</v>
      </c>
      <c r="D204" s="11" t="inlineStr">
        <is>
          <t>Click 'Retire purpose'.</t>
        </is>
      </c>
      <c r="E204" s="11" t="inlineStr">
        <is>
          <t>A red message 'Could not retire' appears: 'This purpose is attached to a published notice and cannot be retired'.</t>
        </is>
      </c>
      <c r="F204" s="16" t="n"/>
      <c r="G204" s="16" t="n"/>
    </row>
    <row r="205">
      <c r="A205" s="10" t="inlineStr">
        <is>
          <t>REG-08</t>
        </is>
      </c>
      <c r="B205" s="11" t="inlineStr">
        <is>
          <t>A purpose used by a published notice cannot be retired</t>
        </is>
      </c>
      <c r="C205" s="11" t="n">
        <v>4</v>
      </c>
      <c r="D205" s="11" t="inlineStr">
        <is>
          <t>Close the dialog (Cancel) and look at the row.</t>
        </is>
      </c>
      <c r="E205" s="11" t="inlineStr">
        <is>
          <t>'Gait model training' is still 'Active'.</t>
        </is>
      </c>
      <c r="F205" s="16" t="n"/>
      <c r="G205" s="16" t="n"/>
    </row>
    <row r="206">
      <c r="A206" s="10" t="inlineStr">
        <is>
          <t>REG-09</t>
        </is>
      </c>
      <c r="B206" s="11" t="inlineStr">
        <is>
          <t>Register a third-party processor abroad and an in-house team</t>
        </is>
      </c>
      <c r="C206" s="11" t="n">
        <v>1</v>
      </c>
      <c r="D206"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206" s="11" t="inlineStr">
        <is>
          <t>The Dashboard opens. The top-right corner of the header shows 'Priya Menon' with the role badge 'DPO'.</t>
        </is>
      </c>
      <c r="F206" s="16" t="n"/>
      <c r="G206" s="16" t="n"/>
    </row>
    <row r="207">
      <c r="A207" s="10" t="inlineStr">
        <is>
          <t>REG-09</t>
        </is>
      </c>
      <c r="B207" s="11" t="inlineStr">
        <is>
          <t>Register a third-party processor abroad and an in-house team</t>
        </is>
      </c>
      <c r="C207" s="11" t="n">
        <v>2</v>
      </c>
      <c r="D207" s="11" t="inlineStr">
        <is>
          <t>In the sidebar under 'Registry' click 'Processors'.</t>
        </is>
      </c>
      <c r="E207" s="11" t="inlineStr">
        <is>
          <t>The 'Processors' page opens with columns Legal name, Type, Country, Contract, Security confirmed, Status, Action. Seeded SEED, SRIB and Pune Motion Lab Pvt Ltd show Country 'IN'. A 'Register processor' button is at the top right.</t>
        </is>
      </c>
      <c r="F207" s="16" t="n"/>
      <c r="G207" s="16" t="n"/>
    </row>
    <row r="208">
      <c r="A208" s="10" t="inlineStr">
        <is>
          <t>REG-09</t>
        </is>
      </c>
      <c r="B208" s="11" t="inlineStr">
        <is>
          <t>Register a third-party processor abroad and an in-house team</t>
        </is>
      </c>
      <c r="C208" s="11" t="n">
        <v>3</v>
      </c>
      <c r="D208" s="11" t="inlineStr">
        <is>
          <t>Click 'Register processor'.</t>
        </is>
      </c>
      <c r="E208" s="11" t="inlineStr">
        <is>
          <t>A dialog 'Register a processor' opens with 'Registered legal name', 'Type', 'Contract reference', 'Country' (hint: two-letter code, IN for India), 'Security confirmed on' and a tick box 'We collect this ourselves'.</t>
        </is>
      </c>
      <c r="F208" s="16" t="n"/>
      <c r="G208" s="16" t="n"/>
    </row>
    <row r="209">
      <c r="A209" s="10" t="inlineStr">
        <is>
          <t>REG-09</t>
        </is>
      </c>
      <c r="B209" s="11" t="inlineStr">
        <is>
          <t>Register a third-party processor abroad and an in-house team</t>
        </is>
      </c>
      <c r="C209" s="11" t="n">
        <v>4</v>
      </c>
      <c r="D209" s="11" t="inlineStr">
        <is>
          <t>Enter Processor A's data (type 'sg' in 'Country', leave 'We collect this ourselves' unticked) and click 'Register processor'.</t>
        </is>
      </c>
      <c r="E209" s="11" t="inlineStr">
        <is>
          <t>'Processor registered' appears: 'Projects naming it go to the DCO Admin to be assigned once approved.'</t>
        </is>
      </c>
      <c r="F209" s="16" t="n"/>
      <c r="G209" s="16" t="n"/>
    </row>
    <row r="210">
      <c r="A210" s="10" t="inlineStr">
        <is>
          <t>REG-09</t>
        </is>
      </c>
      <c r="B210" s="11" t="inlineStr">
        <is>
          <t>Register a third-party processor abroad and an in-house team</t>
        </is>
      </c>
      <c r="C210" s="11" t="n">
        <v>5</v>
      </c>
      <c r="D210" s="11" t="inlineStr">
        <is>
          <t>Type 'UAT Lab 01' in the 'Search' box (the list updates as you type).</t>
        </is>
      </c>
      <c r="E210" s="11" t="inlineStr">
        <is>
          <t>The row shows Type 'Lab', Country 'SG' (converted to capitals), Contract 'CTR-UAT-001', Security confirmed 1 Sep 2026 (date format may vary), Status 'Active', and buttons 'Respondents', 'Edit', 'Suspend'.</t>
        </is>
      </c>
      <c r="F210" s="16" t="n"/>
      <c r="G210" s="16" t="n"/>
    </row>
    <row r="211">
      <c r="A211" s="10" t="inlineStr">
        <is>
          <t>REG-09</t>
        </is>
      </c>
      <c r="B211" s="11" t="inlineStr">
        <is>
          <t>Register a third-party processor abroad and an in-house team</t>
        </is>
      </c>
      <c r="C211" s="11" t="n">
        <v>6</v>
      </c>
      <c r="D211" s="11" t="inlineStr">
        <is>
          <t>Click 'Register processor' again, enter Processor B's data and TICK 'We collect this ourselves'. Click 'Register processor'.</t>
        </is>
      </c>
      <c r="E211" s="11" t="inlineStr">
        <is>
          <t>'Processor registered' appears, this time saying 'Projects naming it come back to their author to assign sources and an RCO.'</t>
        </is>
      </c>
      <c r="F211" s="16" t="n"/>
      <c r="G211" s="16" t="n"/>
    </row>
    <row r="212">
      <c r="A212" s="10" t="inlineStr">
        <is>
          <t>REG-09</t>
        </is>
      </c>
      <c r="B212" s="11" t="inlineStr">
        <is>
          <t>Register a third-party processor abroad and an in-house team</t>
        </is>
      </c>
      <c r="C212" s="11" t="n">
        <v>7</v>
      </c>
      <c r="D212" s="11" t="inlineStr">
        <is>
          <t>Search 'UAT In-house Team 01'.</t>
        </is>
      </c>
      <c r="E212" s="11" t="inlineStr">
        <is>
          <t>The row shows Type 'Other', Country 'IN', Status 'Active'.</t>
        </is>
      </c>
      <c r="F212" s="16" t="n"/>
      <c r="G212" s="16" t="n"/>
    </row>
    <row r="213">
      <c r="A213" s="10" t="inlineStr">
        <is>
          <t>REG-10</t>
        </is>
      </c>
      <c r="B213" s="11" t="inlineStr">
        <is>
          <t>Processor with no country shows 'not recorded'; edit sets the country; then suspend it</t>
        </is>
      </c>
      <c r="C213" s="11" t="n">
        <v>1</v>
      </c>
      <c r="D213" s="11" t="inlineStr">
        <is>
          <t>On 'Processors' click 'Register processor', enter the test data leaving 'Country' empty, and click 'Register processor'.</t>
        </is>
      </c>
      <c r="E213" s="11" t="inlineStr">
        <is>
          <t>'Processor registered' appears.</t>
        </is>
      </c>
      <c r="F213" s="16" t="n"/>
      <c r="G213" s="16" t="n"/>
    </row>
    <row r="214">
      <c r="A214" s="10" t="inlineStr">
        <is>
          <t>REG-10</t>
        </is>
      </c>
      <c r="B214" s="11" t="inlineStr">
        <is>
          <t>Processor with no country shows 'not recorded'; edit sets the country; then suspend it</t>
        </is>
      </c>
      <c r="C214" s="11" t="n">
        <v>2</v>
      </c>
      <c r="D214" s="11" t="inlineStr">
        <is>
          <t>Search 'UAT Lab 02'.</t>
        </is>
      </c>
      <c r="E214" s="11" t="inlineStr">
        <is>
          <t>The Country column shows 'not recorded' (in warning colour). Hovering over it explains that an export to this processor is refused until its country is recorded.</t>
        </is>
      </c>
      <c r="F214" s="16" t="n"/>
      <c r="G214" s="16" t="n"/>
    </row>
    <row r="215">
      <c r="A215" s="10" t="inlineStr">
        <is>
          <t>REG-10</t>
        </is>
      </c>
      <c r="B215" s="11" t="inlineStr">
        <is>
          <t>Processor with no country shows 'not recorded'; edit sets the country; then suspend it</t>
        </is>
      </c>
      <c r="C215" s="11" t="n">
        <v>3</v>
      </c>
      <c r="D215" s="11" t="inlineStr">
        <is>
          <t>Click 'Edit' on the UAT Lab 02 row.</t>
        </is>
      </c>
      <c r="E215" s="11" t="inlineStr">
        <is>
          <t>A dialog 'Edit processor' opens with the saved values. 'Type' cannot be changed.</t>
        </is>
      </c>
      <c r="F215" s="16" t="n"/>
      <c r="G215" s="16" t="n"/>
    </row>
    <row r="216">
      <c r="A216" s="10" t="inlineStr">
        <is>
          <t>REG-10</t>
        </is>
      </c>
      <c r="B216" s="11" t="inlineStr">
        <is>
          <t>Processor with no country shows 'not recorded'; edit sets the country; then suspend it</t>
        </is>
      </c>
      <c r="C216" s="11" t="n">
        <v>4</v>
      </c>
      <c r="D216" s="11" t="inlineStr">
        <is>
          <t>Type 'DE' in 'Country' and click 'Save changes'.</t>
        </is>
      </c>
      <c r="E216" s="11" t="inlineStr">
        <is>
          <t>'Processor updated' appears and the dialog closes.</t>
        </is>
      </c>
      <c r="F216" s="16" t="n"/>
      <c r="G216" s="16" t="n"/>
    </row>
    <row r="217">
      <c r="A217" s="10" t="inlineStr">
        <is>
          <t>REG-10</t>
        </is>
      </c>
      <c r="B217" s="11" t="inlineStr">
        <is>
          <t>Processor with no country shows 'not recorded'; edit sets the country; then suspend it</t>
        </is>
      </c>
      <c r="C217" s="11" t="n">
        <v>5</v>
      </c>
      <c r="D217" s="11" t="inlineStr">
        <is>
          <t>Look at the UAT Lab 02 row.</t>
        </is>
      </c>
      <c r="E217" s="11" t="inlineStr">
        <is>
          <t>Country now shows 'DE' instead of 'not recorded'.</t>
        </is>
      </c>
      <c r="F217" s="16" t="n"/>
      <c r="G217" s="16" t="n"/>
    </row>
    <row r="218">
      <c r="A218" s="10" t="inlineStr">
        <is>
          <t>REG-10</t>
        </is>
      </c>
      <c r="B218" s="11" t="inlineStr">
        <is>
          <t>Processor with no country shows 'not recorded'; edit sets the country; then suspend it</t>
        </is>
      </c>
      <c r="C218" s="11" t="n">
        <v>6</v>
      </c>
      <c r="D218" s="11" t="inlineStr">
        <is>
          <t>Click 'Suspend' on the UAT Lab 02 row.</t>
        </is>
      </c>
      <c r="E218" s="11" t="inlineStr">
        <is>
          <t>'Processor suspended' appears: 'UAT Lab 02 can no longer be assigned to a site.' Status changes to 'Suspended' and the 'Suspend' button disappears from the row.</t>
        </is>
      </c>
      <c r="F218" s="16" t="n"/>
      <c r="G218" s="16" t="n"/>
    </row>
    <row r="219">
      <c r="A219" s="10" t="inlineStr">
        <is>
          <t>REG-10</t>
        </is>
      </c>
      <c r="B219" s="11" t="inlineStr">
        <is>
          <t>Processor with no country shows 'not recorded'; edit sets the country; then suspend it</t>
        </is>
      </c>
      <c r="C219" s="11" t="n">
        <v>7</v>
      </c>
      <c r="D219" s="11" t="inlineStr">
        <is>
          <t>Set the 'Status' filter to 'Suspended'.</t>
        </is>
      </c>
      <c r="E219" s="11" t="inlineStr">
        <is>
          <t>UAT Lab 02 is listed; the active processors are not.</t>
        </is>
      </c>
      <c r="F219" s="16" t="n"/>
      <c r="G219" s="16" t="n"/>
    </row>
    <row r="220">
      <c r="A220" s="10" t="inlineStr">
        <is>
          <t>REG-11</t>
        </is>
      </c>
      <c r="B220" s="11" t="inlineStr">
        <is>
          <t>Processor form refuses a future security date and an invalid country code</t>
        </is>
      </c>
      <c r="C220" s="11" t="n">
        <v>1</v>
      </c>
      <c r="D220"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220" s="11" t="inlineStr">
        <is>
          <t>The Dashboard opens. The top-right corner of the header shows 'System Admin' with the role badge 'Administrator'.</t>
        </is>
      </c>
      <c r="F220" s="16" t="n"/>
      <c r="G220" s="16" t="n"/>
    </row>
    <row r="221">
      <c r="A221" s="10" t="inlineStr">
        <is>
          <t>REG-11</t>
        </is>
      </c>
      <c r="B221" s="11" t="inlineStr">
        <is>
          <t>Processor form refuses a future security date and an invalid country code</t>
        </is>
      </c>
      <c r="C221" s="11" t="n">
        <v>2</v>
      </c>
      <c r="D221" s="11" t="inlineStr">
        <is>
          <t>Click 'Processors', then 'Register processor'. Leave everything blank and click 'Register processor'.</t>
        </is>
      </c>
      <c r="E221" s="11" t="inlineStr">
        <is>
          <t>Nothing is saved. 'The registered legal name is required' and 'A contract reference is required' appear under their fields, and 'The security confirmation date has to be a date' appears under 'Security confirmed on'.</t>
        </is>
      </c>
      <c r="F221" s="16" t="n"/>
      <c r="G221" s="16" t="n"/>
    </row>
    <row r="222">
      <c r="A222" s="10" t="inlineStr">
        <is>
          <t>REG-11</t>
        </is>
      </c>
      <c r="B222" s="11" t="inlineStr">
        <is>
          <t>Processor form refuses a future security date and an invalid country code</t>
        </is>
      </c>
      <c r="C222" s="11" t="n">
        <v>3</v>
      </c>
      <c r="D222" s="11" t="inlineStr">
        <is>
          <t>Fill 'Registered legal name' UAT Lab 03 and 'Contract reference' CTR-UAT-003. In 'Security confirmed on' pick a future date (e.g. 31 Dec 2026). Click 'Register processor'.</t>
        </is>
      </c>
      <c r="E222" s="11" t="inlineStr">
        <is>
          <t>Nothing is saved. 'The security confirmation date cannot be in the future' appears under 'Security confirmed on'.</t>
        </is>
      </c>
      <c r="F222" s="16" t="n"/>
      <c r="G222" s="16" t="n"/>
    </row>
    <row r="223">
      <c r="A223" s="10" t="inlineStr">
        <is>
          <t>REG-11</t>
        </is>
      </c>
      <c r="B223" s="11" t="inlineStr">
        <is>
          <t>Processor form refuses a future security date and an invalid country code</t>
        </is>
      </c>
      <c r="C223" s="11" t="n">
        <v>4</v>
      </c>
      <c r="D223" s="11" t="inlineStr">
        <is>
          <t>Change 'Security confirmed on' to today's date. Type '1N' in 'Country' and click 'Register processor'.</t>
        </is>
      </c>
      <c r="E223" s="11" t="inlineStr">
        <is>
          <t>Nothing is saved. 'Two letters: the ISO country code, e.g. IN' appears under 'Country'.</t>
        </is>
      </c>
      <c r="F223" s="16" t="n"/>
      <c r="G223" s="16" t="n"/>
    </row>
    <row r="224">
      <c r="A224" s="10" t="inlineStr">
        <is>
          <t>REG-11</t>
        </is>
      </c>
      <c r="B224" s="11" t="inlineStr">
        <is>
          <t>Processor form refuses a future security date and an invalid country code</t>
        </is>
      </c>
      <c r="C224" s="11" t="n">
        <v>5</v>
      </c>
      <c r="D224" s="11" t="inlineStr">
        <is>
          <t>Change 'Country' to 'I' (one letter) and click 'Register processor'.</t>
        </is>
      </c>
      <c r="E224" s="11" t="inlineStr">
        <is>
          <t>The same message 'Two letters: the ISO country code, e.g. IN' appears; nothing is saved. (Typing a third letter is not possible - the field accepts at most two characters.)</t>
        </is>
      </c>
      <c r="F224" s="16" t="n"/>
      <c r="G224" s="16" t="n"/>
    </row>
    <row r="225">
      <c r="A225" s="10" t="inlineStr">
        <is>
          <t>REG-11</t>
        </is>
      </c>
      <c r="B225" s="11" t="inlineStr">
        <is>
          <t>Processor form refuses a future security date and an invalid country code</t>
        </is>
      </c>
      <c r="C225" s="11" t="n">
        <v>6</v>
      </c>
      <c r="D225" s="11" t="inlineStr">
        <is>
          <t>Click 'Cancel' and search 'UAT Lab 03'.</t>
        </is>
      </c>
      <c r="E225" s="11" t="inlineStr">
        <is>
          <t>No processor named UAT Lab 03 exists.</t>
        </is>
      </c>
      <c r="F225" s="16" t="n"/>
      <c r="G225" s="16" t="n"/>
    </row>
    <row r="226">
      <c r="A226" s="10" t="inlineStr">
        <is>
          <t>REG-12</t>
        </is>
      </c>
      <c r="B226" s="11" t="inlineStr">
        <is>
          <t>Name the respondents who answer rights tickets for a processor</t>
        </is>
      </c>
      <c r="C226" s="11" t="n">
        <v>1</v>
      </c>
      <c r="D226"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226" s="11" t="inlineStr">
        <is>
          <t>The Dashboard opens. The top-right corner of the header shows 'Priya Menon' with the role badge 'DPO'.</t>
        </is>
      </c>
      <c r="F226" s="16" t="n"/>
      <c r="G226" s="16" t="n"/>
    </row>
    <row r="227">
      <c r="A227" s="10" t="inlineStr">
        <is>
          <t>REG-12</t>
        </is>
      </c>
      <c r="B227" s="11" t="inlineStr">
        <is>
          <t>Name the respondents who answer rights tickets for a processor</t>
        </is>
      </c>
      <c r="C227" s="11" t="n">
        <v>2</v>
      </c>
      <c r="D227" s="11" t="inlineStr">
        <is>
          <t>Open 'Processors' and click 'Respondents' on the SEED row.</t>
        </is>
      </c>
      <c r="E227" s="11" t="inlineStr">
        <is>
          <t>A dialog 'Respondents · SEED' opens. A blue note explains a third party's respondent is usually a name and an address there, mailed and tracked by hand, or one of our own accounts whose ticket goes to their console. Existing respondents are listed, or 'Nobody yet. Until somebody is named, the DPO types who answers on each request.'</t>
        </is>
      </c>
      <c r="F227" s="16" t="n"/>
      <c r="G227" s="16" t="n"/>
    </row>
    <row r="228">
      <c r="A228" s="10" t="inlineStr">
        <is>
          <t>REG-12</t>
        </is>
      </c>
      <c r="B228" s="11" t="inlineStr">
        <is>
          <t>Name the respondents who answer rights tickets for a processor</t>
        </is>
      </c>
      <c r="C228" s="11" t="n">
        <v>3</v>
      </c>
      <c r="D228" s="11" t="inlineStr">
        <is>
          <t>Under 'Who answers for them' (choices 'Somebody at the third party, by email' and 'One of our own accounts, in the console') keep 'Somebody at the third party, by email' selected. Type 'UAT Respondent 01' in 'Name' and uat.respondent01@cmp.local in 'Email address'. Click 'Add respondent'.</t>
        </is>
      </c>
      <c r="E228" s="11" t="inlineStr">
        <is>
          <t>'Respondent added' appears. The list shows 'UAT Respondent 01' with a 'by email' badge and the email address below.</t>
        </is>
      </c>
      <c r="F228" s="16" t="n"/>
      <c r="G228" s="16" t="n"/>
    </row>
    <row r="229">
      <c r="A229" s="10" t="inlineStr">
        <is>
          <t>REG-12</t>
        </is>
      </c>
      <c r="B229" s="11" t="inlineStr">
        <is>
          <t>Name the respondents who answer rights tickets for a processor</t>
        </is>
      </c>
      <c r="C229" s="11" t="n">
        <v>4</v>
      </c>
      <c r="D229" s="11" t="inlineStr">
        <is>
          <t>Close the dialog and click 'Respondents' on the SRIB row.</t>
        </is>
      </c>
      <c r="E229" s="11" t="inlineStr">
        <is>
          <t>A dialog 'Respondents · SRIB' opens, saying for an in-house processor a respondent is a CMP account. There is no 'Who answers for them' choice - only an 'Account' drop-down.</t>
        </is>
      </c>
      <c r="F229" s="16" t="n"/>
      <c r="G229" s="16" t="n"/>
    </row>
    <row r="230">
      <c r="A230" s="10" t="inlineStr">
        <is>
          <t>REG-12</t>
        </is>
      </c>
      <c r="B230" s="11" t="inlineStr">
        <is>
          <t>Name the respondents who answer rights tickets for a processor</t>
        </is>
      </c>
      <c r="C230" s="11" t="n">
        <v>5</v>
      </c>
      <c r="D230" s="11" t="inlineStr">
        <is>
          <t>In 'Account' choose 'Meera Iyer · Rco · rco@cmp.local' and click 'Add respondent'.</t>
        </is>
      </c>
      <c r="E230" s="11" t="inlineStr">
        <is>
          <t>'Respondent added' appears. Meera Iyer is listed with the badge 'in the console · Rco'.</t>
        </is>
      </c>
      <c r="F230" s="16" t="n"/>
      <c r="G230" s="16" t="n"/>
    </row>
    <row r="231">
      <c r="A231" s="10" t="inlineStr">
        <is>
          <t>REG-12</t>
        </is>
      </c>
      <c r="B231" s="11" t="inlineStr">
        <is>
          <t>Name the respondents who answer rights tickets for a processor</t>
        </is>
      </c>
      <c r="C231" s="11" t="n">
        <v>6</v>
      </c>
      <c r="D231" s="11" t="inlineStr">
        <is>
          <t>Click 'Remove' next to Meera Iyer.</t>
        </is>
      </c>
      <c r="E231" s="11" t="inlineStr">
        <is>
          <t>'Respondent removed' appears and she is no longer listed.</t>
        </is>
      </c>
      <c r="F231" s="16" t="n"/>
      <c r="G231" s="16" t="n"/>
    </row>
    <row r="232">
      <c r="A232" s="10" t="inlineStr">
        <is>
          <t>REG-12</t>
        </is>
      </c>
      <c r="B232" s="11" t="inlineStr">
        <is>
          <t>Name the respondents who answer rights tickets for a processor</t>
        </is>
      </c>
      <c r="C232" s="11" t="n">
        <v>7</v>
      </c>
      <c r="D232" s="11" t="inlineStr">
        <is>
          <t>Click 'Sign out' at the bottom of the left-hand sidebar.</t>
        </is>
      </c>
      <c r="E232" s="11" t="inlineStr">
        <is>
          <t>You are returned to the 'Sign in' page.</t>
        </is>
      </c>
      <c r="F232" s="16" t="n"/>
      <c r="G232" s="16" t="n"/>
    </row>
    <row r="233">
      <c r="A233" s="10" t="inlineStr">
        <is>
          <t>REG-12</t>
        </is>
      </c>
      <c r="B233" s="11" t="inlineStr">
        <is>
          <t>Name the respondents who answer rights tickets for a processor</t>
        </is>
      </c>
      <c r="C233" s="11" t="n">
        <v>8</v>
      </c>
      <c r="D233" s="11" t="inlineStr">
        <is>
          <t>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t>
        </is>
      </c>
      <c r="E233" s="11" t="inlineStr">
        <is>
          <t>The Dashboard opens. The top-right corner of the header shows 'Kavya Rao' with the role badge 'R&amp;D User'.</t>
        </is>
      </c>
      <c r="F233" s="16" t="n"/>
      <c r="G233" s="16" t="n"/>
    </row>
    <row r="234">
      <c r="A234" s="10" t="inlineStr">
        <is>
          <t>REG-12</t>
        </is>
      </c>
      <c r="B234" s="11" t="inlineStr">
        <is>
          <t>Name the respondents who answer rights tickets for a processor</t>
        </is>
      </c>
      <c r="C234" s="11" t="n">
        <v>9</v>
      </c>
      <c r="D234" s="11" t="inlineStr">
        <is>
          <t>Open 'Processors' and click 'Respondents' on the SEED row.</t>
        </is>
      </c>
      <c r="E234" s="11" t="inlineStr">
        <is>
          <t>The dialog lists UAT Respondent 01 ('by email') but offers no 'Add respondent' form and no 'Remove' buttons (read-only).</t>
        </is>
      </c>
      <c r="F234" s="16" t="n"/>
      <c r="G234" s="16" t="n"/>
    </row>
    <row r="235">
      <c r="A235" s="10" t="inlineStr">
        <is>
          <t>REG-13</t>
        </is>
      </c>
      <c r="B235" s="11" t="inlineStr">
        <is>
          <t>Register a data source, make somebody accountable, edit and suspend it</t>
        </is>
      </c>
      <c r="C235" s="11" t="n">
        <v>1</v>
      </c>
      <c r="D235"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235" s="11" t="inlineStr">
        <is>
          <t>The Dashboard opens. The top-right corner of the header shows 'Priya Menon' with the role badge 'DPO'.</t>
        </is>
      </c>
      <c r="F235" s="16" t="n"/>
      <c r="G235" s="16" t="n"/>
    </row>
    <row r="236">
      <c r="A236" s="10" t="inlineStr">
        <is>
          <t>REG-13</t>
        </is>
      </c>
      <c r="B236" s="11" t="inlineStr">
        <is>
          <t>Register a data source, make somebody accountable, edit and suspend it</t>
        </is>
      </c>
      <c r="C236" s="11" t="n">
        <v>2</v>
      </c>
      <c r="D236" s="11" t="inlineStr">
        <is>
          <t>In the sidebar under 'Registry' click 'Data sources', then 'Register source'.</t>
        </is>
      </c>
      <c r="E236" s="11" t="inlineStr">
        <is>
          <t>A dialog 'Register a data source' opens with Code, Name, Role, Exchange mode, Identifier scheme, Operated by and 'Authoritative for' tick boxes.</t>
        </is>
      </c>
      <c r="F236" s="16" t="n"/>
      <c r="G236" s="16" t="n"/>
    </row>
    <row r="237">
      <c r="A237" s="10" t="inlineStr">
        <is>
          <t>REG-13</t>
        </is>
      </c>
      <c r="B237" s="11" t="inlineStr">
        <is>
          <t>Register a data source, make somebody accountable, edit and suspend it</t>
        </is>
      </c>
      <c r="C237" s="11" t="n">
        <v>3</v>
      </c>
      <c r="D237" s="11" t="inlineStr">
        <is>
          <t>Enter the test data (Operated by 'SEED'; tick 'Name' under 'Authoritative for') and click 'Register source'.</t>
        </is>
      </c>
      <c r="E237" s="11" t="inlineStr">
        <is>
          <t>'Source registered' appears.</t>
        </is>
      </c>
      <c r="F237" s="16" t="n"/>
      <c r="G237" s="16" t="n"/>
    </row>
    <row r="238">
      <c r="A238" s="10" t="inlineStr">
        <is>
          <t>REG-13</t>
        </is>
      </c>
      <c r="B238" s="11" t="inlineStr">
        <is>
          <t>Register a data source, make somebody accountable, edit and suspend it</t>
        </is>
      </c>
      <c r="C238" s="11" t="n">
        <v>4</v>
      </c>
      <c r="D238" s="11" t="inlineStr">
        <is>
          <t>Tick the filter 'Nobody accountable', then search 'SRC-UAT-01'.</t>
        </is>
      </c>
      <c r="E238" s="11" t="inlineStr">
        <is>
          <t>UAT Rig 01 (SRC-UAT-01) is listed with Processor 'SEED', Accountable 'nobody yet', Role 'Collection', Exchange 'Manual upload', Authoritative for 'Name', Status 'Active', and buttons 'Assign', 'Edit', 'Suspend'.</t>
        </is>
      </c>
      <c r="F238" s="16" t="n"/>
      <c r="G238" s="16" t="n"/>
    </row>
    <row r="239">
      <c r="A239" s="10" t="inlineStr">
        <is>
          <t>REG-13</t>
        </is>
      </c>
      <c r="B239" s="11" t="inlineStr">
        <is>
          <t>Register a data source, make somebody accountable, edit and suspend it</t>
        </is>
      </c>
      <c r="C239" s="11" t="n">
        <v>5</v>
      </c>
      <c r="D239" s="11" t="inlineStr">
        <is>
          <t>Click 'Assign'.</t>
        </is>
      </c>
      <c r="E239" s="11" t="inlineStr">
        <is>
          <t>A dialog 'Who is accountable for UAT Rig 01?' opens with a 'Data Collection Owner' drop-down (third-party source, so a DCO is accountable).</t>
        </is>
      </c>
      <c r="F239" s="16" t="n"/>
      <c r="G239" s="16" t="n"/>
    </row>
    <row r="240">
      <c r="A240" s="10" t="inlineStr">
        <is>
          <t>REG-13</t>
        </is>
      </c>
      <c r="B240" s="11" t="inlineStr">
        <is>
          <t>Register a data source, make somebody accountable, edit and suspend it</t>
        </is>
      </c>
      <c r="C240" s="11" t="n">
        <v>6</v>
      </c>
      <c r="D240" s="11" t="inlineStr">
        <is>
          <t>Choose 'Arun Shetty · dco@cmp.local' and click 'Assign'.</t>
        </is>
      </c>
      <c r="E240" s="11" t="inlineStr">
        <is>
          <t>'Source assigned' appears with 'No project is currently collecting from it.' Untick 'Nobody accountable': the row now shows Accountable 'Arun Shetty' and the button reads 'Reassign'.</t>
        </is>
      </c>
      <c r="F240" s="16" t="n"/>
      <c r="G240" s="16" t="n"/>
    </row>
    <row r="241">
      <c r="A241" s="10" t="inlineStr">
        <is>
          <t>REG-13</t>
        </is>
      </c>
      <c r="B241" s="11" t="inlineStr">
        <is>
          <t>Register a data source, make somebody accountable, edit and suspend it</t>
        </is>
      </c>
      <c r="C241" s="11" t="n">
        <v>7</v>
      </c>
      <c r="D241" s="11" t="inlineStr">
        <is>
          <t>Click 'Edit'. In 'Edit data source' note that Code, Role, Exchange mode and Operated by cannot be changed. Change 'Name' to 'UAT Rig 01 renamed' and click 'Save changes'.</t>
        </is>
      </c>
      <c r="E241" s="11" t="inlineStr">
        <is>
          <t>'Source updated' appears and the row shows the new name.</t>
        </is>
      </c>
      <c r="F241" s="16" t="n"/>
      <c r="G241" s="16" t="n"/>
    </row>
    <row r="242">
      <c r="A242" s="10" t="inlineStr">
        <is>
          <t>REG-13</t>
        </is>
      </c>
      <c r="B242" s="11" t="inlineStr">
        <is>
          <t>Register a data source, make somebody accountable, edit and suspend it</t>
        </is>
      </c>
      <c r="C242" s="11" t="n">
        <v>8</v>
      </c>
      <c r="D242" s="11" t="inlineStr">
        <is>
          <t>Click 'Suspend' on the row.</t>
        </is>
      </c>
      <c r="E242" s="11" t="inlineStr">
        <is>
          <t>'Source suspended' appears: 'Imports from UAT Rig 01 renamed are now refused.' Status is 'Suspended' and the 'Reassign' and 'Suspend' buttons are gone.</t>
        </is>
      </c>
      <c r="F242" s="16" t="n"/>
      <c r="G242" s="16" t="n"/>
    </row>
    <row r="243">
      <c r="A243" s="10" t="inlineStr">
        <is>
          <t>REG-14</t>
        </is>
      </c>
      <c r="B243" s="11" t="inlineStr">
        <is>
          <t>A DCO registers a data source only under a third party's processor</t>
        </is>
      </c>
      <c r="C243" s="11" t="n">
        <v>1</v>
      </c>
      <c r="D243" s="11" t="inlineStr">
        <is>
          <t>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t>
        </is>
      </c>
      <c r="E243" s="11" t="inlineStr">
        <is>
          <t>The Dashboard opens. The top-right corner of the header shows 'Arun Shetty' with the role badge 'Data Collection Owner'.</t>
        </is>
      </c>
      <c r="F243" s="16" t="n"/>
      <c r="G243" s="16" t="n"/>
    </row>
    <row r="244">
      <c r="A244" s="10" t="inlineStr">
        <is>
          <t>REG-14</t>
        </is>
      </c>
      <c r="B244" s="11" t="inlineStr">
        <is>
          <t>A DCO registers a data source only under a third party's processor</t>
        </is>
      </c>
      <c r="C244" s="11" t="n">
        <v>2</v>
      </c>
      <c r="D244" s="11" t="inlineStr">
        <is>
          <t>Click 'Data sources' in the sidebar.</t>
        </is>
      </c>
      <c r="E244" s="11" t="inlineStr">
        <is>
          <t>The 'Data sources' page opens with a 'Register source' button. Rows show no 'Edit', 'Suspend' or 'Assign' buttons for this role.</t>
        </is>
      </c>
      <c r="F244" s="16" t="n"/>
      <c r="G244" s="16" t="n"/>
    </row>
    <row r="245">
      <c r="A245" s="10" t="inlineStr">
        <is>
          <t>REG-14</t>
        </is>
      </c>
      <c r="B245" s="11" t="inlineStr">
        <is>
          <t>A DCO registers a data source only under a third party's processor</t>
        </is>
      </c>
      <c r="C245" s="11" t="n">
        <v>3</v>
      </c>
      <c r="D245" s="11" t="inlineStr">
        <is>
          <t>Click 'Register source' and open the 'Operated by' drop-down.</t>
        </is>
      </c>
      <c r="E245" s="11" t="inlineStr">
        <is>
          <t>'Operated by' is marked required and starts at 'Choose a processor…'. It lists third-party processors (e.g. SEED, Pune Motion Lab Pvt Ltd) but NOT the in-house SRIB.</t>
        </is>
      </c>
      <c r="F245" s="16" t="n"/>
      <c r="G245" s="16" t="n"/>
    </row>
    <row r="246">
      <c r="A246" s="10" t="inlineStr">
        <is>
          <t>REG-14</t>
        </is>
      </c>
      <c r="B246" s="11" t="inlineStr">
        <is>
          <t>A DCO registers a data source only under a third party's processor</t>
        </is>
      </c>
      <c r="C246" s="11" t="n">
        <v>4</v>
      </c>
      <c r="D246" s="11" t="inlineStr">
        <is>
          <t>Enter the test data, choosing 'SEED' in 'Operated by', and click 'Register source'.</t>
        </is>
      </c>
      <c r="E246" s="11" t="inlineStr">
        <is>
          <t>'Source registered' appears.</t>
        </is>
      </c>
      <c r="F246" s="16" t="n"/>
      <c r="G246" s="16" t="n"/>
    </row>
    <row r="247">
      <c r="A247" s="10" t="inlineStr">
        <is>
          <t>REG-14</t>
        </is>
      </c>
      <c r="B247" s="11" t="inlineStr">
        <is>
          <t>A DCO registers a data source only under a third party's processor</t>
        </is>
      </c>
      <c r="C247" s="11" t="n">
        <v>5</v>
      </c>
      <c r="D247" s="11" t="inlineStr">
        <is>
          <t>Search 'SRC-UAT-02'.</t>
        </is>
      </c>
      <c r="E247" s="11" t="inlineStr">
        <is>
          <t>UAT Rig 02 is listed with Processor 'SEED' and Status 'Active'.</t>
        </is>
      </c>
      <c r="F247" s="16" t="n"/>
      <c r="G247" s="16" t="n"/>
    </row>
    <row r="248">
      <c r="A248" s="10" t="inlineStr">
        <is>
          <t>REG-14</t>
        </is>
      </c>
      <c r="B248" s="11" t="inlineStr">
        <is>
          <t>A DCO registers a data source only under a third party's processor</t>
        </is>
      </c>
      <c r="C248" s="11" t="n">
        <v>6</v>
      </c>
      <c r="D248" s="11" t="inlineStr">
        <is>
          <t>Look for the sidebar entry 'Processors'.</t>
        </is>
      </c>
      <c r="E248" s="11" t="inlineStr">
        <is>
          <t>There is no 'Processors' entry for a DCO (the processor register is kept by the DPO and Administrator).</t>
        </is>
      </c>
      <c r="F248" s="16" t="n"/>
      <c r="G248" s="16" t="n"/>
    </row>
    <row r="249">
      <c r="A249" s="10" t="inlineStr">
        <is>
          <t>REG-15</t>
        </is>
      </c>
      <c r="B249" s="11" t="inlineStr">
        <is>
          <t>DPO lists a restricted country with its notification, is stopped from listing it twice, and lifts it</t>
        </is>
      </c>
      <c r="C249" s="11" t="n">
        <v>1</v>
      </c>
      <c r="D249"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249" s="11" t="inlineStr">
        <is>
          <t>The Dashboard opens. The top-right corner of the header shows 'Priya Menon' with the role badge 'DPO'.</t>
        </is>
      </c>
      <c r="F249" s="16" t="n"/>
      <c r="G249" s="16" t="n"/>
    </row>
    <row r="250">
      <c r="A250" s="10" t="inlineStr">
        <is>
          <t>REG-15</t>
        </is>
      </c>
      <c r="B250" s="11" t="inlineStr">
        <is>
          <t>DPO lists a restricted country with its notification, is stopped from listing it twice, and lifts it</t>
        </is>
      </c>
      <c r="C250" s="11" t="n">
        <v>2</v>
      </c>
      <c r="D250" s="11" t="inlineStr">
        <is>
          <t>Click 'Processors' and scroll below the list of processors.</t>
        </is>
      </c>
      <c r="E250" s="11" t="inlineStr">
        <is>
          <t>A card 'Restricted countries (s.16)' is shown, explaining exports to a processor in a listed country are refused. It lists current restrictions or says 'No country is restricted.' It has 'Country' and 'Notification' fields and a 'Restrict' button.</t>
        </is>
      </c>
      <c r="F250" s="16" t="n"/>
      <c r="G250" s="16" t="n"/>
    </row>
    <row r="251">
      <c r="A251" s="10" t="inlineStr">
        <is>
          <t>REG-15</t>
        </is>
      </c>
      <c r="B251" s="11" t="inlineStr">
        <is>
          <t>DPO lists a restricted country with its notification, is stopped from listing it twice, and lifts it</t>
        </is>
      </c>
      <c r="C251" s="11" t="n">
        <v>3</v>
      </c>
      <c r="D251" s="11" t="inlineStr">
        <is>
          <t>Type 'fj' in 'Country' only, leaving 'Notification' empty.</t>
        </is>
      </c>
      <c r="E251" s="11" t="inlineStr">
        <is>
          <t>The 'Restrict' button stays disabled until a notification is entered.</t>
        </is>
      </c>
      <c r="F251" s="16" t="n"/>
      <c r="G251" s="16" t="n"/>
    </row>
    <row r="252">
      <c r="A252" s="10" t="inlineStr">
        <is>
          <t>REG-15</t>
        </is>
      </c>
      <c r="B252" s="11" t="inlineStr">
        <is>
          <t>DPO lists a restricted country with its notification, is stopped from listing it twice, and lifts it</t>
        </is>
      </c>
      <c r="C252" s="11" t="n">
        <v>4</v>
      </c>
      <c r="D252" s="11" t="inlineStr">
        <is>
          <t>Type 'UAT G.S.R. 001(E)' in 'Notification' and click 'Restrict'.</t>
        </is>
      </c>
      <c r="E252" s="11" t="inlineStr">
        <is>
          <t>'Country restricted' appears: 'Exports whose rows would go there are refused from now on.' The list shows 'FJ' (in capitals), 'UAT G.S.R. 001(E)', 'since &lt;today&gt;' and a 'Lift' button. The fields are cleared.</t>
        </is>
      </c>
      <c r="F252" s="16" t="n"/>
      <c r="G252" s="16" t="n"/>
    </row>
    <row r="253">
      <c r="A253" s="10" t="inlineStr">
        <is>
          <t>REG-15</t>
        </is>
      </c>
      <c r="B253" s="11" t="inlineStr">
        <is>
          <t>DPO lists a restricted country with its notification, is stopped from listing it twice, and lifts it</t>
        </is>
      </c>
      <c r="C253" s="11" t="n">
        <v>5</v>
      </c>
      <c r="D253" s="11" t="inlineStr">
        <is>
          <t>Type 'FJ' in 'Country' and 'UAT G.S.R. 002(E)' in 'Notification' and click 'Restrict' again.</t>
        </is>
      </c>
      <c r="E253" s="11" t="inlineStr">
        <is>
          <t>A red message 'Not restricted' appears: 'FJ is already restricted'. FJ is still listed once.</t>
        </is>
      </c>
      <c r="F253" s="16" t="n"/>
      <c r="G253" s="16" t="n"/>
    </row>
    <row r="254">
      <c r="A254" s="10" t="inlineStr">
        <is>
          <t>REG-15</t>
        </is>
      </c>
      <c r="B254" s="11" t="inlineStr">
        <is>
          <t>DPO lists a restricted country with its notification, is stopped from listing it twice, and lifts it</t>
        </is>
      </c>
      <c r="C254" s="11" t="n">
        <v>6</v>
      </c>
      <c r="D254" s="11" t="inlineStr">
        <is>
          <t>Click 'Lift' next to FJ.</t>
        </is>
      </c>
      <c r="E254" s="11" t="inlineStr">
        <is>
          <t>'FJ lifted' appears: 'Exports there are judged by the purposes again.' FJ is removed from the card.</t>
        </is>
      </c>
      <c r="F254" s="16" t="n"/>
      <c r="G254" s="16" t="n"/>
    </row>
    <row r="255">
      <c r="A255" s="10" t="inlineStr">
        <is>
          <t>REG-15</t>
        </is>
      </c>
      <c r="B255" s="11" t="inlineStr">
        <is>
          <t>DPO lists a restricted country with its notification, is stopped from listing it twice, and lifts it</t>
        </is>
      </c>
      <c r="C255" s="11" t="n">
        <v>7</v>
      </c>
      <c r="D255" s="11" t="inlineStr">
        <is>
          <t>Ask the test coordinator (or an Administrator/DPO via 'Audit trail') to confirm the restriction and the lift were recorded.</t>
        </is>
      </c>
      <c r="E255" s="11" t="inlineStr">
        <is>
          <t>Both the restriction and the lift of FJ appear in the audit trail, attributed to Priya Menon.</t>
        </is>
      </c>
      <c r="F255" s="16" t="n"/>
      <c r="G255" s="16" t="n"/>
    </row>
    <row r="256">
      <c r="A256" s="10" t="inlineStr">
        <is>
          <t>REG-16</t>
        </is>
      </c>
      <c r="B256" s="11" t="inlineStr">
        <is>
          <t>India cannot be restricted, bad country codes are refused, and only the DPO sees the restricted list</t>
        </is>
      </c>
      <c r="C256" s="11" t="n">
        <v>1</v>
      </c>
      <c r="D256"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256" s="11" t="inlineStr">
        <is>
          <t>The Dashboard opens. The top-right corner of the header shows 'Priya Menon' with the role badge 'DPO'.</t>
        </is>
      </c>
      <c r="F256" s="16" t="n"/>
      <c r="G256" s="16" t="n"/>
    </row>
    <row r="257">
      <c r="A257" s="10" t="inlineStr">
        <is>
          <t>REG-16</t>
        </is>
      </c>
      <c r="B257" s="11" t="inlineStr">
        <is>
          <t>India cannot be restricted, bad country codes are refused, and only the DPO sees the restricted list</t>
        </is>
      </c>
      <c r="C257" s="11" t="n">
        <v>2</v>
      </c>
      <c r="D257" s="11" t="inlineStr">
        <is>
          <t>On 'Processors', in 'Restricted countries (s.16)', type 'IN' in 'Country' and 'UAT G.S.R. 003(E)' in 'Notification'. Click 'Restrict'.</t>
        </is>
      </c>
      <c r="E257" s="11" t="inlineStr">
        <is>
          <t>A red message 'Not restricted' appears: 'India cannot be restricted for transfers out of India'. IN is not added to the list.</t>
        </is>
      </c>
      <c r="F257" s="16" t="n"/>
      <c r="G257" s="16" t="n"/>
    </row>
    <row r="258">
      <c r="A258" s="10" t="inlineStr">
        <is>
          <t>REG-16</t>
        </is>
      </c>
      <c r="B258" s="11" t="inlineStr">
        <is>
          <t>India cannot be restricted, bad country codes are refused, and only the DPO sees the restricted list</t>
        </is>
      </c>
      <c r="C258" s="11" t="n">
        <v>3</v>
      </c>
      <c r="D258" s="11" t="inlineStr">
        <is>
          <t>Change 'Country' to '1A', 'Notification' to 'UAT G.S.R. 004(E)', and click 'Restrict'.</t>
        </is>
      </c>
      <c r="E258" s="11" t="inlineStr">
        <is>
          <t>A red 'Not restricted' message appears refusing the code; nothing is added to the list.</t>
        </is>
      </c>
      <c r="F258" s="16" t="n"/>
      <c r="G258" s="16" t="n"/>
    </row>
    <row r="259">
      <c r="A259" s="10" t="inlineStr">
        <is>
          <t>REG-16</t>
        </is>
      </c>
      <c r="B259" s="11" t="inlineStr">
        <is>
          <t>India cannot be restricted, bad country codes are refused, and only the DPO sees the restricted list</t>
        </is>
      </c>
      <c r="C259" s="11" t="n">
        <v>4</v>
      </c>
      <c r="D259" s="11" t="inlineStr">
        <is>
          <t>Click 'Sign out' at the bottom of the left-hand sidebar.</t>
        </is>
      </c>
      <c r="E259" s="11" t="inlineStr">
        <is>
          <t>You are returned to the 'Sign in' page.</t>
        </is>
      </c>
      <c r="F259" s="16" t="n"/>
      <c r="G259" s="16" t="n"/>
    </row>
    <row r="260">
      <c r="A260" s="10" t="inlineStr">
        <is>
          <t>REG-16</t>
        </is>
      </c>
      <c r="B260" s="11" t="inlineStr">
        <is>
          <t>India cannot be restricted, bad country codes are refused, and only the DPO sees the restricted list</t>
        </is>
      </c>
      <c r="C260" s="11" t="n">
        <v>5</v>
      </c>
      <c r="D260"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260" s="11" t="inlineStr">
        <is>
          <t>The Dashboard opens. The top-right corner of the header shows 'System Admin' with the role badge 'Administrator'.</t>
        </is>
      </c>
      <c r="F260" s="16" t="n"/>
      <c r="G260" s="16" t="n"/>
    </row>
    <row r="261">
      <c r="A261" s="10" t="inlineStr">
        <is>
          <t>REG-16</t>
        </is>
      </c>
      <c r="B261" s="11" t="inlineStr">
        <is>
          <t>India cannot be restricted, bad country codes are refused, and only the DPO sees the restricted list</t>
        </is>
      </c>
      <c r="C261" s="11" t="n">
        <v>6</v>
      </c>
      <c r="D261" s="11" t="inlineStr">
        <is>
          <t>Click 'Processors' and scroll to the bottom of the page.</t>
        </is>
      </c>
      <c r="E261" s="11" t="inlineStr">
        <is>
          <t>The processor list and 'Register processor' button are shown, but there is NO 'Restricted countries (s.16)' card.</t>
        </is>
      </c>
      <c r="F261" s="16" t="n"/>
      <c r="G261" s="16" t="n"/>
    </row>
    <row r="262">
      <c r="A262" s="10" t="inlineStr">
        <is>
          <t>REG-16</t>
        </is>
      </c>
      <c r="B262" s="11" t="inlineStr">
        <is>
          <t>India cannot be restricted, bad country codes are refused, and only the DPO sees the restricted list</t>
        </is>
      </c>
      <c r="C262" s="11" t="n">
        <v>7</v>
      </c>
      <c r="D262" s="11" t="inlineStr">
        <is>
          <t>Click 'Sign out' at the bottom of the left-hand sidebar.</t>
        </is>
      </c>
      <c r="E262" s="11" t="inlineStr">
        <is>
          <t>You are returned to the 'Sign in' page.</t>
        </is>
      </c>
      <c r="F262" s="16" t="n"/>
      <c r="G262" s="16" t="n"/>
    </row>
    <row r="263">
      <c r="A263" s="10" t="inlineStr">
        <is>
          <t>REG-16</t>
        </is>
      </c>
      <c r="B263" s="11" t="inlineStr">
        <is>
          <t>India cannot be restricted, bad country codes are refused, and only the DPO sees the restricted list</t>
        </is>
      </c>
      <c r="C263" s="11" t="n">
        <v>8</v>
      </c>
      <c r="D263" s="11" t="inlineStr">
        <is>
          <t>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t>
        </is>
      </c>
      <c r="E263" s="11" t="inlineStr">
        <is>
          <t>The Dashboard opens. The top-right corner of the header shows 'Kavya Rao' with the role badge 'R&amp;D User'.</t>
        </is>
      </c>
      <c r="F263" s="16" t="n"/>
      <c r="G263" s="16" t="n"/>
    </row>
    <row r="264">
      <c r="A264" s="10" t="inlineStr">
        <is>
          <t>REG-16</t>
        </is>
      </c>
      <c r="B264" s="11" t="inlineStr">
        <is>
          <t>India cannot be restricted, bad country codes are refused, and only the DPO sees the restricted list</t>
        </is>
      </c>
      <c r="C264" s="11" t="n">
        <v>9</v>
      </c>
      <c r="D264" s="11" t="inlineStr">
        <is>
          <t>Click 'Processors' and scroll to the bottom of the page.</t>
        </is>
      </c>
      <c r="E264" s="11" t="inlineStr">
        <is>
          <t>The processor list is read-only (no 'Register processor', 'Edit' or 'Suspend'), and there is NO 'Restricted countries (s.16)' card.</t>
        </is>
      </c>
      <c r="F264" s="16" t="n"/>
      <c r="G264" s="16" t="n"/>
    </row>
    <row r="265">
      <c r="A265" s="10" t="inlineStr">
        <is>
          <t>REG-17</t>
        </is>
      </c>
      <c r="B265" s="11" t="inlineStr">
        <is>
          <t>The office rewords the staff invitation email, previews, saves and resets it</t>
        </is>
      </c>
      <c r="C265" s="11" t="n">
        <v>1</v>
      </c>
      <c r="D265"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265" s="11" t="inlineStr">
        <is>
          <t>The Dashboard opens. The top-right corner of the header shows 'System Admin' with the role badge 'Administrator'.</t>
        </is>
      </c>
      <c r="F265" s="16" t="n"/>
      <c r="G265" s="16" t="n"/>
    </row>
    <row r="266">
      <c r="A266" s="10" t="inlineStr">
        <is>
          <t>REG-17</t>
        </is>
      </c>
      <c r="B266" s="11" t="inlineStr">
        <is>
          <t>The office rewords the staff invitation email, previews, saves and resets it</t>
        </is>
      </c>
      <c r="C266" s="11" t="n">
        <v>2</v>
      </c>
      <c r="D266" s="11" t="inlineStr">
        <is>
          <t>In the sidebar under 'Your work' click 'Message templates'.</t>
        </is>
      </c>
      <c r="E266" s="11" t="inlineStr">
        <is>
          <t>The 'Message templates' page opens with messages grouped under the headings 'Sign-in', 'Consent', 'Rights', 'Staff', 'Breach', 'Projects' and 'Accounts', in that order.</t>
        </is>
      </c>
      <c r="F266" s="16" t="n"/>
      <c r="G266" s="16" t="n"/>
    </row>
    <row r="267">
      <c r="A267" s="10" t="inlineStr">
        <is>
          <t>REG-17</t>
        </is>
      </c>
      <c r="B267" s="11" t="inlineStr">
        <is>
          <t>The office rewords the staff invitation email, previews, saves and resets it</t>
        </is>
      </c>
      <c r="C267" s="11" t="n">
        <v>3</v>
      </c>
      <c r="D267" s="11" t="inlineStr">
        <is>
          <t>Under 'Sign-in' find the card 'Staff account invitation'.</t>
        </is>
      </c>
      <c r="E267" s="11" t="inlineStr">
        <is>
          <t>The card has no 'Copy to' box: a line with a padlock reads 'Never copied: it carries a code or a link, or a person's own record, and a copy would hand it to somebody else.' Below it are a 'Default words' badge, a 'Subject' field, a 'Body' field, the list 'Variables this message can use (click to insert)' (including {full_name}, {code}, {reset_url}) and the buttons 'Save' (disabled) and 'Preview'.</t>
        </is>
      </c>
      <c r="F267" s="16" t="n"/>
      <c r="G267" s="16" t="n"/>
    </row>
    <row r="268">
      <c r="A268" s="10" t="inlineStr">
        <is>
          <t>REG-17</t>
        </is>
      </c>
      <c r="B268" s="11" t="inlineStr">
        <is>
          <t>The office rewords the staff invitation email, previews, saves and resets it</t>
        </is>
      </c>
      <c r="C268" s="11" t="n">
        <v>4</v>
      </c>
      <c r="D268" s="11" t="inlineStr">
        <is>
          <t>Click at the end of 'Body', press Enter twice and type 'UAT check: welcome aboard, '. Then click the variable chip '{full_name}' and type '.'</t>
        </is>
      </c>
      <c r="E268" s="11" t="inlineStr">
        <is>
          <t>The text '{full_name}' is inserted where the cursor was. The 'Save' button becomes enabled.</t>
        </is>
      </c>
      <c r="F268" s="16" t="n"/>
      <c r="G268" s="16" t="n"/>
    </row>
    <row r="269">
      <c r="A269" s="10" t="inlineStr">
        <is>
          <t>REG-17</t>
        </is>
      </c>
      <c r="B269" s="11" t="inlineStr">
        <is>
          <t>The office rewords the staff invitation email, previews, saves and resets it</t>
        </is>
      </c>
      <c r="C269" s="11" t="n">
        <v>5</v>
      </c>
      <c r="D269" s="11" t="inlineStr">
        <is>
          <t>Click 'Preview'.</t>
        </is>
      </c>
      <c r="E269" s="11" t="inlineStr">
        <is>
          <t>A 'Preview, with sample values' box shows the email with sample values filled in, ending 'UAT check: welcome aboard, Asha Rao.'</t>
        </is>
      </c>
      <c r="F269" s="16" t="n"/>
      <c r="G269" s="16" t="n"/>
    </row>
    <row r="270">
      <c r="A270" s="10" t="inlineStr">
        <is>
          <t>REG-17</t>
        </is>
      </c>
      <c r="B270" s="11" t="inlineStr">
        <is>
          <t>The office rewords the staff invitation email, previews, saves and resets it</t>
        </is>
      </c>
      <c r="C270" s="11" t="n">
        <v>6</v>
      </c>
      <c r="D270" s="11" t="inlineStr">
        <is>
          <t>Click 'Save'.</t>
        </is>
      </c>
      <c r="E270" s="11" t="inlineStr">
        <is>
          <t>'Words saved' appears ('Staff account invitation (Email) now sends what you wrote.'). The card now shows a 'Customised' badge 'by System Admin on &lt;today&gt;'.</t>
        </is>
      </c>
      <c r="F270" s="16" t="n"/>
      <c r="G270" s="16" t="n"/>
    </row>
    <row r="271">
      <c r="A271" s="10" t="inlineStr">
        <is>
          <t>REG-17</t>
        </is>
      </c>
      <c r="B271" s="11" t="inlineStr">
        <is>
          <t>The office rewords the staff invitation email, previews, saves and resets it</t>
        </is>
      </c>
      <c r="C271" s="11" t="n">
        <v>7</v>
      </c>
      <c r="D271" s="11" t="inlineStr">
        <is>
          <t>Click 'Reset to default'.</t>
        </is>
      </c>
      <c r="E271" s="11" t="inlineStr">
        <is>
          <t>Two buttons appear: 'Yes, use the default words' and 'Keep mine'.</t>
        </is>
      </c>
      <c r="F271" s="16" t="n"/>
      <c r="G271" s="16" t="n"/>
    </row>
    <row r="272">
      <c r="A272" s="10" t="inlineStr">
        <is>
          <t>REG-17</t>
        </is>
      </c>
      <c r="B272" s="11" t="inlineStr">
        <is>
          <t>The office rewords the staff invitation email, previews, saves and resets it</t>
        </is>
      </c>
      <c r="C272" s="11" t="n">
        <v>8</v>
      </c>
      <c r="D272" s="11" t="inlineStr">
        <is>
          <t>Click 'Yes, use the default words'.</t>
        </is>
      </c>
      <c r="E272" s="11" t="inlineStr">
        <is>
          <t>'Back to the default' appears. The card shows 'Default words' again and the added line is gone.</t>
        </is>
      </c>
      <c r="F272" s="16" t="n"/>
      <c r="G272" s="16" t="n"/>
    </row>
    <row r="273">
      <c r="A273" s="10" t="inlineStr">
        <is>
          <t>REG-18</t>
        </is>
      </c>
      <c r="B273" s="11" t="inlineStr">
        <is>
          <t>A message that uses a variable it does not provide is refused</t>
        </is>
      </c>
      <c r="C273" s="11" t="n">
        <v>1</v>
      </c>
      <c r="D273" s="11" t="inlineStr">
        <is>
          <t>In the sidebar under 'Oversight' click 'Message templates' and find the card 'Staff sign-in code' under 'Sign-in'.</t>
        </is>
      </c>
      <c r="E273" s="11" t="inlineStr">
        <is>
          <t>The card shows the line 'Never copied: it carries a code or a link, or a person's own record, and a copy would hand it to somebody else.' (no 'Copy to' box), then its 'Subject', 'Body' and the variables it can use. {full_name} is NOT in its variable list.</t>
        </is>
      </c>
      <c r="F273" s="16" t="n"/>
      <c r="G273" s="16" t="n"/>
    </row>
    <row r="274">
      <c r="A274" s="10" t="inlineStr">
        <is>
          <t>REG-18</t>
        </is>
      </c>
      <c r="B274" s="11" t="inlineStr">
        <is>
          <t>A message that uses a variable it does not provide is refused</t>
        </is>
      </c>
      <c r="C274" s="11" t="n">
        <v>2</v>
      </c>
      <c r="D274" s="11" t="inlineStr">
        <is>
          <t>Replace the whole 'Body' with 'Dear {full_name}, your code is {code}.' and click 'Save'.</t>
        </is>
      </c>
      <c r="E274" s="11" t="inlineStr">
        <is>
          <t>The words are not saved. A red message in the card refuses the save, naming {full_name} and listing the variables that are allowed (including {code}).</t>
        </is>
      </c>
      <c r="F274" s="16" t="n"/>
      <c r="G274" s="16" t="n"/>
    </row>
    <row r="275">
      <c r="A275" s="10" t="inlineStr">
        <is>
          <t>REG-18</t>
        </is>
      </c>
      <c r="B275" s="11" t="inlineStr">
        <is>
          <t>A message that uses a variable it does not provide is refused</t>
        </is>
      </c>
      <c r="C275" s="11" t="n">
        <v>3</v>
      </c>
      <c r="D275" s="11" t="inlineStr">
        <is>
          <t>Change the 'Body' to 'Your code is {code}.' (only an allowed variable) and click 'Preview' - do NOT click 'Save'.</t>
        </is>
      </c>
      <c r="E275" s="11" t="inlineStr">
        <is>
          <t>The red message goes away and 'Preview, with sample values' shows 'Your code is 482913.' (a sample code).</t>
        </is>
      </c>
      <c r="F275" s="16" t="n"/>
      <c r="G275" s="16" t="n"/>
    </row>
    <row r="276">
      <c r="A276" s="10" t="inlineStr">
        <is>
          <t>REG-18</t>
        </is>
      </c>
      <c r="B276" s="11" t="inlineStr">
        <is>
          <t>A message that uses a variable it does not provide is refused</t>
        </is>
      </c>
      <c r="C276" s="11" t="n">
        <v>4</v>
      </c>
      <c r="D276" s="11" t="inlineStr">
        <is>
          <t>Reload the page and look at the 'Staff sign-in code' card.</t>
        </is>
      </c>
      <c r="E276" s="11" t="inlineStr">
        <is>
          <t>It still shows 'Default words' and the original body.</t>
        </is>
      </c>
      <c r="F276" s="16" t="n"/>
      <c r="G276" s="16" t="n"/>
    </row>
    <row r="277">
      <c r="A277" s="10" t="inlineStr">
        <is>
          <t>REG-19</t>
        </is>
      </c>
      <c r="B277" s="11" t="inlineStr">
        <is>
          <t>A Data Collection Owner delegates their work to a colleague for a period and ends it</t>
        </is>
      </c>
      <c r="C277" s="11" t="n">
        <v>1</v>
      </c>
      <c r="D277" s="11" t="inlineStr">
        <is>
          <t>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t>
        </is>
      </c>
      <c r="E277" s="11" t="inlineStr">
        <is>
          <t>The Dashboard opens. The top-right corner of the header shows 'Arun Shetty' with the role badge 'Data Collection Owner'.</t>
        </is>
      </c>
      <c r="F277" s="16" t="n"/>
      <c r="G277" s="16" t="n"/>
    </row>
    <row r="278">
      <c r="A278" s="10" t="inlineStr">
        <is>
          <t>REG-19</t>
        </is>
      </c>
      <c r="B278" s="11" t="inlineStr">
        <is>
          <t>A Data Collection Owner delegates their work to a colleague for a period and ends it</t>
        </is>
      </c>
      <c r="C278" s="11" t="n">
        <v>2</v>
      </c>
      <c r="D278" s="11" t="inlineStr">
        <is>
          <t>In the sidebar under 'Oversight' click 'Delegations'.</t>
        </is>
      </c>
      <c r="E278" s="11" t="inlineStr">
        <is>
          <t>The 'Delegations' page opens with a 'Delegate my work' button and the cards 'My delegations' ('You have not delegated your work to anybody') and 'Work delegated to me'.</t>
        </is>
      </c>
      <c r="F278" s="16" t="n"/>
      <c r="G278" s="16" t="n"/>
    </row>
    <row r="279">
      <c r="A279" s="10" t="inlineStr">
        <is>
          <t>REG-19</t>
        </is>
      </c>
      <c r="B279" s="11" t="inlineStr">
        <is>
          <t>A Data Collection Owner delegates their work to a colleague for a period and ends it</t>
        </is>
      </c>
      <c r="C279" s="11" t="n">
        <v>3</v>
      </c>
      <c r="D279" s="11" t="inlineStr">
        <is>
          <t>Click 'Delegate my work' and open the 'Who takes over' drop-down.</t>
        </is>
      </c>
      <c r="E279" s="11" t="inlineStr">
        <is>
          <t>A dialog 'Delegate my work' opens. 'Who takes over' lists colleagues in the same role, including 'UAT DCO 01 · uat.dco01@cmp.local'.</t>
        </is>
      </c>
      <c r="F279" s="16" t="n"/>
      <c r="G279" s="16" t="n"/>
    </row>
    <row r="280">
      <c r="A280" s="10" t="inlineStr">
        <is>
          <t>REG-19</t>
        </is>
      </c>
      <c r="B280" s="11" t="inlineStr">
        <is>
          <t>A Data Collection Owner delegates their work to a colleague for a period and ends it</t>
        </is>
      </c>
      <c r="C280" s="11" t="n">
        <v>4</v>
      </c>
      <c r="D280" s="11" t="inlineStr">
        <is>
          <t>Choose UAT DCO 01, set 'Until' to 7 days from today, type 'UAT - annual leave cover' in 'Why' and click 'Delegate'.</t>
        </is>
      </c>
      <c r="E280" s="11" t="inlineStr">
        <is>
          <t>'Work delegated' appears. 'My delegations' lists UAT DCO 01 with 'until &lt;date&gt;' and the quoted reason, and an 'End now' button.</t>
        </is>
      </c>
      <c r="F280" s="16" t="n"/>
      <c r="G280" s="16" t="n"/>
    </row>
    <row r="281">
      <c r="A281" s="10" t="inlineStr">
        <is>
          <t>REG-19</t>
        </is>
      </c>
      <c r="B281" s="11" t="inlineStr">
        <is>
          <t>A Data Collection Owner delegates their work to a colleague for a period and ends it</t>
        </is>
      </c>
      <c r="C281" s="11" t="n">
        <v>5</v>
      </c>
      <c r="D281" s="11" t="inlineStr">
        <is>
          <t>Click 'Sign out' at the bottom of the left-hand sidebar.</t>
        </is>
      </c>
      <c r="E281" s="11" t="inlineStr">
        <is>
          <t>You are returned to the 'Sign in' page.</t>
        </is>
      </c>
      <c r="F281" s="16" t="n"/>
      <c r="G281" s="16" t="n"/>
    </row>
    <row r="282">
      <c r="A282" s="10" t="inlineStr">
        <is>
          <t>REG-19</t>
        </is>
      </c>
      <c r="B282" s="11" t="inlineStr">
        <is>
          <t>A Data Collection Owner delegates their work to a colleague for a period and ends it</t>
        </is>
      </c>
      <c r="C282" s="11" t="n">
        <v>6</v>
      </c>
      <c r="D282" s="11" t="inlineStr">
        <is>
          <t>Open http://localhost:3000. On the 'Sign in' page type uat.dco01@cmp.local in 'Email or username' and UatPassw0rd!2026 in 'Password', then click 'Sign in'. On the 'Verify it is you' page, ask the test coordinator for the sign-in code sent to uat.dco01@cmp.local (from the test outbox), type it in '6-digit code' and click 'Verify and continue'.</t>
        </is>
      </c>
      <c r="E282" s="11" t="inlineStr">
        <is>
          <t>The Dashboard opens. The top-right corner of the header shows 'UAT DCO 01' with the role badge 'Data Collection Owner'.</t>
        </is>
      </c>
      <c r="F282" s="16" t="n"/>
      <c r="G282" s="16" t="n"/>
    </row>
    <row r="283">
      <c r="A283" s="10" t="inlineStr">
        <is>
          <t>REG-19</t>
        </is>
      </c>
      <c r="B283" s="11" t="inlineStr">
        <is>
          <t>A Data Collection Owner delegates their work to a colleague for a period and ends it</t>
        </is>
      </c>
      <c r="C283" s="11" t="n">
        <v>7</v>
      </c>
      <c r="D283" s="11" t="inlineStr">
        <is>
          <t>Click 'Delegations' in the sidebar.</t>
        </is>
      </c>
      <c r="E283" s="11" t="inlineStr">
        <is>
          <t>'Work delegated to me' lists Arun Shetty with the end date.</t>
        </is>
      </c>
      <c r="F283" s="16" t="n"/>
      <c r="G283" s="16" t="n"/>
    </row>
    <row r="284">
      <c r="A284" s="10" t="inlineStr">
        <is>
          <t>REG-19</t>
        </is>
      </c>
      <c r="B284" s="11" t="inlineStr">
        <is>
          <t>A Data Collection Owner delegates their work to a colleague for a period and ends it</t>
        </is>
      </c>
      <c r="C284" s="11" t="n">
        <v>8</v>
      </c>
      <c r="D284" s="11" t="inlineStr">
        <is>
          <t>Click 'Sign out' at the bottom of the left-hand sidebar.</t>
        </is>
      </c>
      <c r="E284" s="11" t="inlineStr">
        <is>
          <t>You are returned to the 'Sign in' page.</t>
        </is>
      </c>
      <c r="F284" s="16" t="n"/>
      <c r="G284" s="16" t="n"/>
    </row>
    <row r="285">
      <c r="A285" s="10" t="inlineStr">
        <is>
          <t>REG-19</t>
        </is>
      </c>
      <c r="B285" s="11" t="inlineStr">
        <is>
          <t>A Data Collection Owner delegates their work to a colleague for a period and ends it</t>
        </is>
      </c>
      <c r="C285" s="11" t="n">
        <v>9</v>
      </c>
      <c r="D285" s="11" t="inlineStr">
        <is>
          <t>Open http://localhost:3000. On the 'Sign in' page type dco@cmp.local in 'Email or username' and SeedPassw0rd!2026 in 'Password', then click 'Sign in'. On the 'Verify it is you' page, ask the test coordinator for the sign-in code sent to dco@cmp.local (from the test outbox), type it in '6-digit code' and click 'Verify and continue'.</t>
        </is>
      </c>
      <c r="E285" s="11" t="inlineStr">
        <is>
          <t>The Dashboard opens. The top-right corner of the header shows 'Arun Shetty' with the role badge 'Data Collection Owner'.</t>
        </is>
      </c>
      <c r="F285" s="16" t="n"/>
      <c r="G285" s="16" t="n"/>
    </row>
    <row r="286">
      <c r="A286" s="10" t="inlineStr">
        <is>
          <t>REG-19</t>
        </is>
      </c>
      <c r="B286" s="11" t="inlineStr">
        <is>
          <t>A Data Collection Owner delegates their work to a colleague for a period and ends it</t>
        </is>
      </c>
      <c r="C286" s="11" t="n">
        <v>10</v>
      </c>
      <c r="D286" s="11" t="inlineStr">
        <is>
          <t>Click 'Delegations' and click 'End now' on the UAT DCO 01 arrangement.</t>
        </is>
      </c>
      <c r="E286" s="11" t="inlineStr">
        <is>
          <t>'Delegation ended' appears. The arrangement is no longer live (marked 'ended' or removed, with no 'End now' button).</t>
        </is>
      </c>
      <c r="F286" s="16" t="n"/>
      <c r="G286" s="16" t="n"/>
    </row>
    <row r="287">
      <c r="A287" s="10" t="inlineStr">
        <is>
          <t>REG-20</t>
        </is>
      </c>
      <c r="B287" s="11" t="inlineStr">
        <is>
          <t>Delegation is not offered where it does not apply</t>
        </is>
      </c>
      <c r="C287" s="11" t="n">
        <v>1</v>
      </c>
      <c r="D287" s="11" t="inlineStr">
        <is>
          <t>Open http://localhost:3000. On the 'Sign in' page type rnd@cmp.local in 'Email or username' and SeedPassw0rd!2026 in 'Password', then click 'Sign in'. On the 'Verify it is you' page, ask the test coordinator for the sign-in code sent to rnd@cmp.local (from the test outbox), type it in '6-digit code' and click 'Verify and continue'.</t>
        </is>
      </c>
      <c r="E287" s="11" t="inlineStr">
        <is>
          <t>The Dashboard opens. The top-right corner of the header shows 'Kavya Rao' with the role badge 'R&amp;D User'.</t>
        </is>
      </c>
      <c r="F287" s="16" t="n"/>
      <c r="G287" s="16" t="n"/>
    </row>
    <row r="288">
      <c r="A288" s="10" t="inlineStr">
        <is>
          <t>REG-20</t>
        </is>
      </c>
      <c r="B288" s="11" t="inlineStr">
        <is>
          <t>Delegation is not offered where it does not apply</t>
        </is>
      </c>
      <c r="C288" s="11" t="n">
        <v>2</v>
      </c>
      <c r="D288" s="11" t="inlineStr">
        <is>
          <t>Look through the sidebar, then open http://localhost:3000/delegate directly.</t>
        </is>
      </c>
      <c r="E288" s="11" t="inlineStr">
        <is>
          <t>There is no 'Delegations' entry; the address shows 'Not part of your account' with 'Back to your dashboard'.</t>
        </is>
      </c>
      <c r="F288" s="16" t="n"/>
      <c r="G288" s="16" t="n"/>
    </row>
    <row r="289">
      <c r="A289" s="10" t="inlineStr">
        <is>
          <t>REG-20</t>
        </is>
      </c>
      <c r="B289" s="11" t="inlineStr">
        <is>
          <t>Delegation is not offered where it does not apply</t>
        </is>
      </c>
      <c r="C289" s="11" t="n">
        <v>3</v>
      </c>
      <c r="D289" s="11" t="inlineStr">
        <is>
          <t>Click 'Sign out' at the bottom of the left-hand sidebar.</t>
        </is>
      </c>
      <c r="E289" s="11" t="inlineStr">
        <is>
          <t>You are returned to the 'Sign in' page.</t>
        </is>
      </c>
      <c r="F289" s="16" t="n"/>
      <c r="G289" s="16" t="n"/>
    </row>
    <row r="290">
      <c r="A290" s="10" t="inlineStr">
        <is>
          <t>REG-20</t>
        </is>
      </c>
      <c r="B290" s="11" t="inlineStr">
        <is>
          <t>Delegation is not offered where it does not apply</t>
        </is>
      </c>
      <c r="C290" s="11" t="n">
        <v>4</v>
      </c>
      <c r="D290"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290" s="11" t="inlineStr">
        <is>
          <t>The Dashboard opens. The top-right corner of the header shows 'System Admin' with the role badge 'Administrator'.</t>
        </is>
      </c>
      <c r="F290" s="16" t="n"/>
      <c r="G290" s="16" t="n"/>
    </row>
    <row r="291">
      <c r="A291" s="10" t="inlineStr">
        <is>
          <t>REG-20</t>
        </is>
      </c>
      <c r="B291" s="11" t="inlineStr">
        <is>
          <t>Delegation is not offered where it does not apply</t>
        </is>
      </c>
      <c r="C291" s="11" t="n">
        <v>5</v>
      </c>
      <c r="D291" s="11" t="inlineStr">
        <is>
          <t>Under 'Oversight' click 'Delegations'.</t>
        </is>
      </c>
      <c r="E291" s="11" t="inlineStr">
        <is>
          <t>The page shows NO 'Delegate my work' button; a blue note explains delegation applies to roles whose access is defined by assignment. An 'Everyone, right now' card shows live arrangements across the organisation (or 'No delegation is in place').</t>
        </is>
      </c>
      <c r="F291" s="16" t="n"/>
      <c r="G291" s="16" t="n"/>
    </row>
    <row r="292">
      <c r="A292" s="10" t="inlineStr">
        <is>
          <t>REG-20</t>
        </is>
      </c>
      <c r="B292" s="11" t="inlineStr">
        <is>
          <t>Delegation is not offered where it does not apply</t>
        </is>
      </c>
      <c r="C292" s="11" t="n">
        <v>6</v>
      </c>
      <c r="D292" s="11" t="inlineStr">
        <is>
          <t>Click 'Sign out' at the bottom of the left-hand sidebar.</t>
        </is>
      </c>
      <c r="E292" s="11" t="inlineStr">
        <is>
          <t>You are returned to the 'Sign in' page.</t>
        </is>
      </c>
      <c r="F292" s="16" t="n"/>
      <c r="G292" s="16" t="n"/>
    </row>
    <row r="293">
      <c r="A293" s="10" t="inlineStr">
        <is>
          <t>REG-20</t>
        </is>
      </c>
      <c r="B293" s="11" t="inlineStr">
        <is>
          <t>Delegation is not offered where it does not apply</t>
        </is>
      </c>
      <c r="C293" s="11" t="n">
        <v>7</v>
      </c>
      <c r="D293" s="11" t="inlineStr">
        <is>
          <t>Open http://localhost:3000. On the 'Sign in' page type dpo@cmp.local in 'Email or username' and SeedPassw0rd!2026 in 'Password', then click 'Sign in'. On the 'Verify it is you' page, ask the test coordinator for the sign-in code sent to dpo@cmp.local (from the test outbox), type it in '6-digit code' and click 'Verify and continue'.</t>
        </is>
      </c>
      <c r="E293" s="11" t="inlineStr">
        <is>
          <t>The Dashboard opens. The top-right corner of the header shows 'Priya Menon' with the role badge 'DPO'.</t>
        </is>
      </c>
      <c r="F293" s="16" t="n"/>
      <c r="G293" s="16" t="n"/>
    </row>
    <row r="294">
      <c r="A294" s="10" t="inlineStr">
        <is>
          <t>REG-20</t>
        </is>
      </c>
      <c r="B294" s="11" t="inlineStr">
        <is>
          <t>Delegation is not offered where it does not apply</t>
        </is>
      </c>
      <c r="C294" s="11" t="n">
        <v>8</v>
      </c>
      <c r="D294" s="11" t="inlineStr">
        <is>
          <t>Under 'Oversight' click 'Delegations', then 'Delegate my work'.</t>
        </is>
      </c>
      <c r="E294" s="11" t="inlineStr">
        <is>
          <t>The dialog shows 'There is nobody else in your role to delegate to…'. 'Who takes over' is disabled and the 'Delegate' button cannot be clicked.</t>
        </is>
      </c>
      <c r="F294" s="16" t="n"/>
      <c r="G294" s="16" t="n"/>
    </row>
    <row r="295">
      <c r="A295" s="10" t="inlineStr">
        <is>
          <t>REG-21</t>
        </is>
      </c>
      <c r="B295" s="11" t="inlineStr">
        <is>
          <t>The office copies a message to up to five addresses; codes and links are never copied</t>
        </is>
      </c>
      <c r="C295" s="11" t="n">
        <v>1</v>
      </c>
      <c r="D295" s="11" t="inlineStr">
        <is>
          <t>Open http://localhost:3000. On the 'Sign in' page type admin@cmp.local in 'Email or username' and SeedPassw0rd!2026 in 'Password', then click 'Sign in'. On the 'Verify it is you' page, ask the test coordinator for the sign-in code sent to admin@cmp.local (from the test outbox), type it in '6-digit code' and click 'Verify and continue'.</t>
        </is>
      </c>
      <c r="E295" s="11" t="inlineStr">
        <is>
          <t>The Dashboard opens. The top-right corner of the header shows 'System Admin' with the role badge 'Administrator'.</t>
        </is>
      </c>
      <c r="F295" s="16" t="n"/>
      <c r="G295" s="16" t="n"/>
    </row>
    <row r="296">
      <c r="A296" s="10" t="inlineStr">
        <is>
          <t>REG-21</t>
        </is>
      </c>
      <c r="B296" s="11" t="inlineStr">
        <is>
          <t>The office copies a message to up to five addresses; codes and links are never copied</t>
        </is>
      </c>
      <c r="C296" s="11" t="n">
        <v>2</v>
      </c>
      <c r="D296" s="11" t="inlineStr">
        <is>
          <t>In the sidebar under 'Your work' click 'Message templates'. Under 'Sign-in' look at the cards 'Staff sign-in code', 'Password reset code' and 'Staff account invitation'.</t>
        </is>
      </c>
      <c r="E296" s="11" t="inlineStr">
        <is>
          <t>None of the three has a 'Copy to' box. Each shows, with a padlock, the line 'Never copied: it carries a code or a link, or a person's own record, and a copy would hand it to somebody else.' A code or a link is never copied.</t>
        </is>
      </c>
      <c r="F296" s="16" t="n"/>
      <c r="G296" s="16" t="n"/>
    </row>
    <row r="297">
      <c r="A297" s="10" t="inlineStr">
        <is>
          <t>REG-21</t>
        </is>
      </c>
      <c r="B297" s="11" t="inlineStr">
        <is>
          <t>The office copies a message to up to five addresses; codes and links are never copied</t>
        </is>
      </c>
      <c r="C297" s="11" t="n">
        <v>3</v>
      </c>
      <c r="D297" s="11" t="inlineStr">
        <is>
          <t>Scroll to the heading 'Accounts' and find the card 'Your role has changed'.</t>
        </is>
      </c>
      <c r="E297" s="11" t="inlineStr">
        <is>
          <t>The card shows a 'Copy to' box with the hint 'Email only. Up to 5 addresses, one per line - a team mailbox, an approvals inbox. Each copy gets the same email, in Cc.' The box is empty (grey example approvals@example.org) and the 'Save copies' button is greyed out.</t>
        </is>
      </c>
      <c r="F297" s="16" t="n"/>
      <c r="G297" s="16" t="n"/>
    </row>
    <row r="298">
      <c r="A298" s="10" t="inlineStr">
        <is>
          <t>REG-21</t>
        </is>
      </c>
      <c r="B298" s="11" t="inlineStr">
        <is>
          <t>The office copies a message to up to five addresses; codes and links are never copied</t>
        </is>
      </c>
      <c r="C298" s="11" t="n">
        <v>4</v>
      </c>
      <c r="D298" s="11" t="inlineStr">
        <is>
          <t>In 'Copy to' type the six addresses from the test data, one per line.</t>
        </is>
      </c>
      <c r="E298" s="11" t="inlineStr">
        <is>
          <t>'Save copies' stays greyed out: more than five addresses cannot be saved.</t>
        </is>
      </c>
      <c r="F298" s="16" t="n"/>
      <c r="G298" s="16" t="n"/>
    </row>
    <row r="299">
      <c r="A299" s="10" t="inlineStr">
        <is>
          <t>REG-21</t>
        </is>
      </c>
      <c r="B299" s="11" t="inlineStr">
        <is>
          <t>The office copies a message to up to five addresses; codes and links are never copied</t>
        </is>
      </c>
      <c r="C299" s="11" t="n">
        <v>5</v>
      </c>
      <c r="D299" s="11" t="inlineStr">
        <is>
          <t>Delete the sixth line (uat.copy06@example.org) and replace the second line with not-an-address. Click 'Save copies'.</t>
        </is>
      </c>
      <c r="E299" s="11" t="inlineStr">
        <is>
          <t>A red message 'Not saved' reads 'Not an email address: not-an-address'. Nothing is saved.</t>
        </is>
      </c>
      <c r="F299" s="16" t="n"/>
      <c r="G299" s="16" t="n"/>
    </row>
    <row r="300">
      <c r="A300" s="10" t="inlineStr">
        <is>
          <t>REG-21</t>
        </is>
      </c>
      <c r="B300" s="11" t="inlineStr">
        <is>
          <t>The office copies a message to up to five addresses; codes and links are never copied</t>
        </is>
      </c>
      <c r="C300" s="11" t="n">
        <v>6</v>
      </c>
      <c r="D300" s="11" t="inlineStr">
        <is>
          <t>Reload the page and find the 'Your role has changed' card again.</t>
        </is>
      </c>
      <c r="E300" s="11" t="inlineStr">
        <is>
          <t>'Copy to' is empty again: the refused list was not kept.</t>
        </is>
      </c>
      <c r="F300" s="16" t="n"/>
      <c r="G300" s="16" t="n"/>
    </row>
    <row r="301">
      <c r="A301" s="10" t="inlineStr">
        <is>
          <t>REG-21</t>
        </is>
      </c>
      <c r="B301" s="11" t="inlineStr">
        <is>
          <t>The office copies a message to up to five addresses; codes and links are never copied</t>
        </is>
      </c>
      <c r="C301" s="11" t="n">
        <v>7</v>
      </c>
      <c r="D301" s="11" t="inlineStr">
        <is>
          <t>Type uat.copy01@example.org and uat.copy02@example.org in 'Copy to', one per line, and click 'Save copies'. Reload the page.</t>
        </is>
      </c>
      <c r="E301" s="11" t="inlineStr">
        <is>
          <t>A green message 'Copied to 2 addresses' appears. After the reload the card's 'Copy to' box still lists both addresses.</t>
        </is>
      </c>
      <c r="F301" s="16" t="n"/>
      <c r="G301" s="16" t="n"/>
    </row>
    <row r="302">
      <c r="A302" s="10" t="inlineStr">
        <is>
          <t>REG-21</t>
        </is>
      </c>
      <c r="B302" s="11" t="inlineStr">
        <is>
          <t>The office copies a message to up to five addresses; codes and links are never copied</t>
        </is>
      </c>
      <c r="C302" s="11" t="n">
        <v>8</v>
      </c>
      <c r="D302" s="11" t="inlineStr">
        <is>
          <t>Click 'Users', type uat.dco01@cmp.local in 'Search' and click 'Search'. Click 'Role' on the UAT DCO 01 row. In the 'Change role' dialog choose 'DCO Admin' in 'New role', type 'UAT - copy check' in 'Reason' and click 'Change role'.</t>
        </is>
      </c>
      <c r="E302" s="11" t="inlineStr">
        <is>
          <t>A green message 'Role changed' appears and the row shows Role 'DCO Admin'.</t>
        </is>
      </c>
      <c r="F302" s="16" t="n"/>
      <c r="G302" s="16" t="n"/>
    </row>
    <row r="303">
      <c r="A303" s="10" t="inlineStr">
        <is>
          <t>REG-21</t>
        </is>
      </c>
      <c r="B303" s="11" t="inlineStr">
        <is>
          <t>The office copies a message to up to five addresses; codes and links are never copied</t>
        </is>
      </c>
      <c r="C303" s="11" t="n">
        <v>9</v>
      </c>
      <c r="D303" s="11" t="inlineStr">
        <is>
          <t>Ask the test coordinator for the newest email to uat.dco01@cmp.local in the test outbox.</t>
        </is>
      </c>
      <c r="E303" s="11" t="inlineStr">
        <is>
          <t>The coordinator finds one email whose subject ends 'console role is now DCO Admin', saying the role changed from Data Collection Owner to DCO Admin. Directly under its 'to:' line, a 'cc:' line lists uat.copy01@example.org and uat.copy02@example.org: the copies went with the same email, not as separate messages.</t>
        </is>
      </c>
      <c r="F303" s="16" t="n"/>
      <c r="G303" s="16" t="n"/>
    </row>
    <row r="304">
      <c r="A304" s="10" t="inlineStr">
        <is>
          <t>REG-21</t>
        </is>
      </c>
      <c r="B304" s="11" t="inlineStr">
        <is>
          <t>The office copies a message to up to five addresses; codes and links are never copied</t>
        </is>
      </c>
      <c r="C304" s="11" t="n">
        <v>10</v>
      </c>
      <c r="D304" s="11" t="inlineStr">
        <is>
          <t>Back on 'Users', click 'Role' on the UAT DCO 01 row again, choose 'Data Collection Owner' in 'New role' and click 'Change role'.</t>
        </is>
      </c>
      <c r="E304" s="11" t="inlineStr">
        <is>
          <t>'Role changed' appears and the row shows Role 'Data Collection Owner' again (this email is copied too).</t>
        </is>
      </c>
      <c r="F304" s="16" t="n"/>
      <c r="G304" s="16" t="n"/>
    </row>
    <row r="305">
      <c r="A305" s="10" t="inlineStr">
        <is>
          <t>REG-21</t>
        </is>
      </c>
      <c r="B305" s="11" t="inlineStr">
        <is>
          <t>The office copies a message to up to five addresses; codes and links are never copied</t>
        </is>
      </c>
      <c r="C305" s="11" t="n">
        <v>11</v>
      </c>
      <c r="D305" s="11" t="inlineStr">
        <is>
          <t>Return to 'Message templates', clear the 'Copy to' box of 'Your role has changed' and click 'Save copies'.</t>
        </is>
      </c>
      <c r="E305" s="11" t="inlineStr">
        <is>
          <t>A green message 'No longer copied' appears and the box stays empty after a reload.</t>
        </is>
      </c>
      <c r="F305" s="16" t="n"/>
      <c r="G305" s="16" t="n"/>
    </row>
    <row r="306">
      <c r="A306" s="10" t="inlineStr">
        <is>
          <t>REG-21</t>
        </is>
      </c>
      <c r="B306" s="11" t="inlineStr">
        <is>
          <t>The office copies a message to up to five addresses; codes and links are never copied</t>
        </is>
      </c>
      <c r="C306" s="11" t="n">
        <v>12</v>
      </c>
      <c r="D306" s="11" t="inlineStr">
        <is>
          <t>Click 'Audit trail'. In 'Area' choose 'Messages' and in 'Event' choose 'Copies updated'. Click the newest row, then 'Show raw JSON'.</t>
        </is>
      </c>
      <c r="E306" s="11" t="inlineStr">
        <is>
          <t>The two newest rows are 'Message template copies updated' by 'System Admin' with the 'Administrator' badge, timed at the two saves (the refused save is not there). The newest one's details name the message ("message": "staff_role_changed") and how many addresses it is copied to ("copies": 0); no email address appears anywhere in the entry.</t>
        </is>
      </c>
      <c r="F306" s="16" t="n"/>
      <c r="G306" s="16" t="n"/>
    </row>
    <row r="307">
      <c r="A307" s="10" t="inlineStr">
        <is>
          <t>PRJ-01</t>
        </is>
      </c>
      <c r="B307" s="11" t="inlineStr">
        <is>
          <t>R&amp;D User registers a new project naming a third-party and an in-house collector</t>
        </is>
      </c>
      <c r="C307" s="11" t="n">
        <v>1</v>
      </c>
      <c r="D307" s="11" t="inlineStr">
        <is>
          <t>In the left sidebar click 'Projects'.</t>
        </is>
      </c>
      <c r="E307" s="11" t="inlineStr">
        <is>
          <t>The 'Projects' page opens with the columns Project, Status, Data Collection Owner, Created by, Updated, and a 'Register a project' button at the top right.</t>
        </is>
      </c>
      <c r="F307" s="16" t="n"/>
      <c r="G307" s="16" t="n"/>
    </row>
    <row r="308">
      <c r="A308" s="10" t="inlineStr">
        <is>
          <t>PRJ-01</t>
        </is>
      </c>
      <c r="B308" s="11" t="inlineStr">
        <is>
          <t>R&amp;D User registers a new project naming a third-party and an in-house collector</t>
        </is>
      </c>
      <c r="C308" s="11" t="n">
        <v>2</v>
      </c>
      <c r="D308" s="11" t="inlineStr">
        <is>
          <t>Click 'Register a project'.</t>
        </is>
      </c>
      <c r="E308" s="11" t="inlineStr">
        <is>
          <t>A dialog titled 'Register a project' opens with the fields 'Project name', 'Description', 'Internal name', 'Requesting team' and a 'Who will collect' section listing processors as tick boxes (each marked 'collected in-house' or 'collected by a third party').</t>
        </is>
      </c>
      <c r="F308" s="16" t="n"/>
      <c r="G308" s="16" t="n"/>
    </row>
    <row r="309">
      <c r="A309" s="10" t="inlineStr">
        <is>
          <t>PRJ-01</t>
        </is>
      </c>
      <c r="B309" s="11" t="inlineStr">
        <is>
          <t>R&amp;D User registers a new project naming a third-party and an in-house collector</t>
        </is>
      </c>
      <c r="C309" s="11" t="n">
        <v>3</v>
      </c>
      <c r="D309" s="11" t="inlineStr">
        <is>
          <t>Type the Project name, Description, Internal name and Requesting team from the test data.</t>
        </is>
      </c>
      <c r="E309" s="11" t="inlineStr">
        <is>
          <t>The text appears in each field; no error messages are shown.</t>
        </is>
      </c>
      <c r="F309" s="16" t="n"/>
      <c r="G309" s="16" t="n"/>
    </row>
    <row r="310">
      <c r="A310" s="10" t="inlineStr">
        <is>
          <t>PRJ-01</t>
        </is>
      </c>
      <c r="B310" s="11" t="inlineStr">
        <is>
          <t>R&amp;D User registers a new project naming a third-party and an in-house collector</t>
        </is>
      </c>
      <c r="C310" s="11" t="n">
        <v>4</v>
      </c>
      <c r="D310" s="11" t="inlineStr">
        <is>
          <t>Under 'Who will collect', tick 'SEED' (collected by a third party).</t>
        </is>
      </c>
      <c r="E310" s="11" t="inlineStr">
        <is>
          <t>A blue note appears: 'Once the DPO approves this, the DCO Admin assigns the data sources for the third-party collection.'</t>
        </is>
      </c>
      <c r="F310" s="16" t="n"/>
      <c r="G310" s="16" t="n"/>
    </row>
    <row r="311">
      <c r="A311" s="10" t="inlineStr">
        <is>
          <t>PRJ-01</t>
        </is>
      </c>
      <c r="B311" s="11" t="inlineStr">
        <is>
          <t>R&amp;D User registers a new project naming a third-party and an in-house collector</t>
        </is>
      </c>
      <c r="C311" s="11" t="n">
        <v>5</v>
      </c>
      <c r="D311" s="11" t="inlineStr">
        <is>
          <t>Also tick 'SRIB' (collected in-house).</t>
        </is>
      </c>
      <c r="E311" s="11" t="inlineStr">
        <is>
          <t>The note now covers both: '...the DCO Admin assigns the data sources for the third-party collection, and it comes back to you to name the data sources and an R&amp;D Collection Owner.'</t>
        </is>
      </c>
      <c r="F311" s="16" t="n"/>
      <c r="G311" s="16" t="n"/>
    </row>
    <row r="312">
      <c r="A312" s="10" t="inlineStr">
        <is>
          <t>PRJ-01</t>
        </is>
      </c>
      <c r="B312" s="11" t="inlineStr">
        <is>
          <t>R&amp;D User registers a new project naming a third-party and an in-house collector</t>
        </is>
      </c>
      <c r="C312" s="11" t="n">
        <v>6</v>
      </c>
      <c r="D312" s="11" t="inlineStr">
        <is>
          <t>Click 'Register project'.</t>
        </is>
      </c>
      <c r="E312" s="11" t="inlineStr">
        <is>
          <t>The dialog closes and a green toast 'Project registered' says 'It starts in draft. Attach a notice and an approval, then send it to the DPO.'</t>
        </is>
      </c>
      <c r="F312" s="16" t="n"/>
      <c r="G312" s="16" t="n"/>
    </row>
    <row r="313">
      <c r="A313" s="10" t="inlineStr">
        <is>
          <t>PRJ-01</t>
        </is>
      </c>
      <c r="B313" s="11" t="inlineStr">
        <is>
          <t>R&amp;D User registers a new project naming a third-party and an in-house collector</t>
        </is>
      </c>
      <c r="C313" s="11" t="n">
        <v>7</v>
      </c>
      <c r="D313" s="11" t="inlineStr">
        <is>
          <t>Look at the page that opens.</t>
        </is>
      </c>
      <c r="E313" s="11" t="inlineStr">
        <is>
          <t>The project's own page opens with the heading 'UAT Study 01', status badge 'In Draft', and the progress bar showing In Draft &gt; Pending Approval &gt; Approved.</t>
        </is>
      </c>
      <c r="F313" s="16" t="n"/>
      <c r="G313" s="16" t="n"/>
    </row>
    <row r="314">
      <c r="A314" s="10" t="inlineStr">
        <is>
          <t>PRJ-01</t>
        </is>
      </c>
      <c r="B314" s="11" t="inlineStr">
        <is>
          <t>R&amp;D User registers a new project naming a third-party and an in-house collector</t>
        </is>
      </c>
      <c r="C314" s="11" t="n">
        <v>8</v>
      </c>
      <c r="D314" s="11" t="inlineStr">
        <is>
          <t>Look at the 'Details' card at the top right, beside 'What happens next'.</t>
        </is>
      </c>
      <c r="E314" s="11" t="inlineStr">
        <is>
          <t>Internal name 'UAT-01', Requesting team 'Computer Vision', Data Collection Owner 'Not assigned', Created by 'Kavya Rao'.</t>
        </is>
      </c>
      <c r="F314" s="16" t="n"/>
      <c r="G314" s="16" t="n"/>
    </row>
    <row r="315">
      <c r="A315" s="10" t="inlineStr">
        <is>
          <t>PRJ-01</t>
        </is>
      </c>
      <c r="B315" s="11" t="inlineStr">
        <is>
          <t>R&amp;D User registers a new project naming a third-party and an in-house collector</t>
        </is>
      </c>
      <c r="C315" s="11" t="n">
        <v>9</v>
      </c>
      <c r="D315" s="11" t="inlineStr">
        <is>
          <t>Look at the tabs under it, then click 'Setup' and look at the 'Who is collecting' card.</t>
        </is>
      </c>
      <c r="E315" s="11" t="inlineStr">
        <is>
          <t>The tabs read 'Overview' (selected), 'Setup', 'Consent', 'Collections &amp; exchanges' and 'Activity'. In 'Setup', SEED and SRIB are both listed with the chip 'approved'; SEED says 'collected by a third party' and SRIB says 'collected in-house'.</t>
        </is>
      </c>
      <c r="F315" s="16" t="n"/>
      <c r="G315" s="16" t="n"/>
    </row>
    <row r="316">
      <c r="A316" s="10" t="inlineStr">
        <is>
          <t>PRJ-01</t>
        </is>
      </c>
      <c r="B316" s="11" t="inlineStr">
        <is>
          <t>R&amp;D User registers a new project naming a third-party and an in-house collector</t>
        </is>
      </c>
      <c r="C316" s="11" t="n">
        <v>10</v>
      </c>
      <c r="D316" s="11" t="inlineStr">
        <is>
          <t>Click 'All projects' at the top of the page.</t>
        </is>
      </c>
      <c r="E316" s="11" t="inlineStr">
        <is>
          <t>The Projects list shows 'UAT Study 01' with status 'In Draft' and Created by 'Kavya Rao'.</t>
        </is>
      </c>
      <c r="F316" s="16" t="n"/>
      <c r="G316" s="16" t="n"/>
    </row>
    <row r="317">
      <c r="A317" s="10" t="inlineStr">
        <is>
          <t>PRJ-02</t>
        </is>
      </c>
      <c r="B317" s="11" t="inlineStr">
        <is>
          <t>Registering a project with missing required information is refused field by field</t>
        </is>
      </c>
      <c r="C317" s="11" t="n">
        <v>1</v>
      </c>
      <c r="D317" s="11" t="inlineStr">
        <is>
          <t>Click 'Projects' in the sidebar, then 'Register a project'.</t>
        </is>
      </c>
      <c r="E317" s="11" t="inlineStr">
        <is>
          <t>The 'Register a project' dialog opens.</t>
        </is>
      </c>
      <c r="F317" s="16" t="n"/>
      <c r="G317" s="16" t="n"/>
    </row>
    <row r="318">
      <c r="A318" s="10" t="inlineStr">
        <is>
          <t>PRJ-02</t>
        </is>
      </c>
      <c r="B318" s="11" t="inlineStr">
        <is>
          <t>Registering a project with missing required information is refused field by field</t>
        </is>
      </c>
      <c r="C318" s="11" t="n">
        <v>2</v>
      </c>
      <c r="D318" s="11" t="inlineStr">
        <is>
          <t>Leave every field empty and click 'Register project'.</t>
        </is>
      </c>
      <c r="E318" s="11" t="inlineStr">
        <is>
          <t>The dialog stays open. Under 'Project name' the message 'A project name is required' appears, and under 'Description' the message 'Describe what this project collects and why' appears.</t>
        </is>
      </c>
      <c r="F318" s="16" t="n"/>
      <c r="G318" s="16" t="n"/>
    </row>
    <row r="319">
      <c r="A319" s="10" t="inlineStr">
        <is>
          <t>PRJ-02</t>
        </is>
      </c>
      <c r="B319" s="11" t="inlineStr">
        <is>
          <t>Registering a project with missing required information is refused field by field</t>
        </is>
      </c>
      <c r="C319" s="11" t="n">
        <v>3</v>
      </c>
      <c r="D319" s="11" t="inlineStr">
        <is>
          <t>Type 'UAT Incomplete 01' in 'Project name' and click 'Register project' again.</t>
        </is>
      </c>
      <c r="E319" s="11" t="inlineStr">
        <is>
          <t>The dialog stays open; the name error is gone but 'Describe what this project collects and why' is still shown under 'Description'.</t>
        </is>
      </c>
      <c r="F319" s="16" t="n"/>
      <c r="G319" s="16" t="n"/>
    </row>
    <row r="320">
      <c r="A320" s="10" t="inlineStr">
        <is>
          <t>PRJ-02</t>
        </is>
      </c>
      <c r="B320" s="11" t="inlineStr">
        <is>
          <t>Registering a project with missing required information is refused field by field</t>
        </is>
      </c>
      <c r="C320" s="11" t="n">
        <v>4</v>
      </c>
      <c r="D320" s="11" t="inlineStr">
        <is>
          <t>Type 'Test only' in 'Description', tick no processor, and click 'Register project'.</t>
        </is>
      </c>
      <c r="E320" s="11" t="inlineStr">
        <is>
          <t>The dialog stays open and 'Choose at least one processor' appears under the 'Who will collect' list. No routing note is shown because nothing is ticked.</t>
        </is>
      </c>
      <c r="F320" s="16" t="n"/>
      <c r="G320" s="16" t="n"/>
    </row>
    <row r="321">
      <c r="A321" s="10" t="inlineStr">
        <is>
          <t>PRJ-02</t>
        </is>
      </c>
      <c r="B321" s="11" t="inlineStr">
        <is>
          <t>Registering a project with missing required information is refused field by field</t>
        </is>
      </c>
      <c r="C321" s="11" t="n">
        <v>5</v>
      </c>
      <c r="D321" s="11" t="inlineStr">
        <is>
          <t>Click 'Cancel'.</t>
        </is>
      </c>
      <c r="E321" s="11" t="inlineStr">
        <is>
          <t>The dialog closes. 'UAT Incomplete 01' does NOT appear in the Projects list.</t>
        </is>
      </c>
      <c r="F321" s="16" t="n"/>
      <c r="G321" s="16" t="n"/>
    </row>
    <row r="322">
      <c r="A322" s="10" t="inlineStr">
        <is>
          <t>PRJ-03</t>
        </is>
      </c>
      <c r="B322" s="11" t="inlineStr">
        <is>
          <t>Submitting a fresh draft is blocked and the panel names every missing prerequisite</t>
        </is>
      </c>
      <c r="C322" s="11" t="n">
        <v>1</v>
      </c>
      <c r="D322" s="11" t="inlineStr">
        <is>
          <t>Click 'Projects' in the sidebar, type 'UAT Study 01' in 'Search' (the list updates as you type). Click 'UAT Study 01'.</t>
        </is>
      </c>
      <c r="E322" s="11" t="inlineStr">
        <is>
          <t>The project page opens with status 'In Draft'.</t>
        </is>
      </c>
      <c r="F322" s="16" t="n"/>
      <c r="G322" s="16" t="n"/>
    </row>
    <row r="323">
      <c r="A323" s="10" t="inlineStr">
        <is>
          <t>PRJ-03</t>
        </is>
      </c>
      <c r="B323" s="11" t="inlineStr">
        <is>
          <t>Submitting a fresh draft is blocked and the panel names every missing prerequisite</t>
        </is>
      </c>
      <c r="C323" s="11" t="n">
        <v>2</v>
      </c>
      <c r="D323" s="11" t="inlineStr">
        <is>
          <t>Find the card titled 'What happens next'.</t>
        </is>
      </c>
      <c r="E323" s="11" t="inlineStr">
        <is>
          <t>It reads 'Currently In Draft. These are the moves your role can make from here.' and shows one row 'Moves the project to Pending Approval' with a 'Submit for approval' button.</t>
        </is>
      </c>
      <c r="F323" s="16" t="n"/>
      <c r="G323" s="16" t="n"/>
    </row>
    <row r="324">
      <c r="A324" s="10" t="inlineStr">
        <is>
          <t>PRJ-03</t>
        </is>
      </c>
      <c r="B324" s="11" t="inlineStr">
        <is>
          <t>Submitting a fresh draft is blocked and the panel names every missing prerequisite</t>
        </is>
      </c>
      <c r="C324" s="11" t="n">
        <v>3</v>
      </c>
      <c r="D324" s="11" t="inlineStr">
        <is>
          <t>Read the warning lines under 'Moves the project to Pending Approval'.</t>
        </is>
      </c>
      <c r="E324" s="11" t="inlineStr">
        <is>
          <t>All six missing items are listed at once, each with a warning icon: 'The project has no notice'; 'The notice has no purposes attached'; 'The notice is missing required Rule 3 elements'; 'The notice does not say who it applies to'; 'The notice has no text yet - add at least one language'; 'No approval with a proof file'.</t>
        </is>
      </c>
      <c r="F324" s="16" t="n"/>
      <c r="G324" s="16" t="n"/>
    </row>
    <row r="325">
      <c r="A325" s="10" t="inlineStr">
        <is>
          <t>PRJ-03</t>
        </is>
      </c>
      <c r="B325" s="11" t="inlineStr">
        <is>
          <t>Submitting a fresh draft is blocked and the panel names every missing prerequisite</t>
        </is>
      </c>
      <c r="C325" s="11" t="n">
        <v>4</v>
      </c>
      <c r="D325" s="11" t="inlineStr">
        <is>
          <t>Try to click the 'Submit for approval' button on that row.</t>
        </is>
      </c>
      <c r="E325" s="11" t="inlineStr">
        <is>
          <t>The button is greyed out (disabled); nothing happens and the status stays 'In Draft'.</t>
        </is>
      </c>
      <c r="F325" s="16" t="n"/>
      <c r="G325" s="16" t="n"/>
    </row>
    <row r="326">
      <c r="A326" s="10" t="inlineStr">
        <is>
          <t>PRJ-03</t>
        </is>
      </c>
      <c r="B326" s="11" t="inlineStr">
        <is>
          <t>Submitting a fresh draft is blocked and the panel names every missing prerequisite</t>
        </is>
      </c>
      <c r="C326" s="11" t="n">
        <v>5</v>
      </c>
      <c r="D326" s="11" t="inlineStr">
        <is>
          <t>Click the 'Setup' tab and look at the 'Notices' card.</t>
        </is>
      </c>
      <c r="E326" s="11" t="inlineStr">
        <is>
          <t>It shows 'No notice yet' with the buttons 'Upload a notice document', 'Copy an existing notice' and 'Use a notice template'. There is NO 'New notice' button.</t>
        </is>
      </c>
      <c r="F326" s="16" t="n"/>
      <c r="G326" s="16" t="n"/>
    </row>
    <row r="327">
      <c r="A327" s="10" t="inlineStr">
        <is>
          <t>PRJ-03</t>
        </is>
      </c>
      <c r="B327" s="11" t="inlineStr">
        <is>
          <t>Submitting a fresh draft is blocked and the panel names every missing prerequisite</t>
        </is>
      </c>
      <c r="C327" s="11" t="n">
        <v>6</v>
      </c>
      <c r="D327" s="11" t="inlineStr">
        <is>
          <t>Look at the 'Approvals' card.</t>
        </is>
      </c>
      <c r="E327" s="11" t="inlineStr">
        <is>
          <t>It shows count 0, 'No approval uploaded', the text 'A security approval with its proof file is what unlocks the move to pending approval.' and an 'Upload an approval' button.</t>
        </is>
      </c>
      <c r="F327" s="16" t="n"/>
      <c r="G327" s="16" t="n"/>
    </row>
    <row r="328">
      <c r="A328" s="10" t="inlineStr">
        <is>
          <t>PRJ-03</t>
        </is>
      </c>
      <c r="B328" s="11" t="inlineStr">
        <is>
          <t>Submitting a fresh draft is blocked and the panel names every missing prerequisite</t>
        </is>
      </c>
      <c r="C328" s="11" t="n">
        <v>7</v>
      </c>
      <c r="D328" s="11" t="inlineStr">
        <is>
          <t>Look at the buttons at the top of the page.</t>
        </is>
      </c>
      <c r="E328" s="11" t="inlineStr">
        <is>
          <t>Only the status badge 'In Draft' and 'Edit' are shown. Adding a notice, an approval or a site is done on its own card in the tabs, not here.</t>
        </is>
      </c>
      <c r="F328" s="16" t="n"/>
      <c r="G328" s="16" t="n"/>
    </row>
    <row r="329">
      <c r="A329" s="10" t="inlineStr">
        <is>
          <t>PRJ-04</t>
        </is>
      </c>
      <c r="B329" s="11" t="inlineStr">
        <is>
          <t>Uploading the notice template with placeholders still in it is refused</t>
        </is>
      </c>
      <c r="C329" s="11" t="n">
        <v>1</v>
      </c>
      <c r="D329" s="11" t="inlineStr">
        <is>
          <t>Open project 'UAT Study 01' (Projects &gt; search &gt; click the name).</t>
        </is>
      </c>
      <c r="E329" s="11" t="inlineStr">
        <is>
          <t>The project page opens, status 'In Draft'.</t>
        </is>
      </c>
      <c r="F329" s="16" t="n"/>
      <c r="G329" s="16" t="n"/>
    </row>
    <row r="330">
      <c r="A330" s="10" t="inlineStr">
        <is>
          <t>PRJ-04</t>
        </is>
      </c>
      <c r="B330" s="11" t="inlineStr">
        <is>
          <t>Uploading the notice template with placeholders still in it is refused</t>
        </is>
      </c>
      <c r="C330" s="11" t="n">
        <v>2</v>
      </c>
      <c r="D330" s="11" t="inlineStr">
        <is>
          <t>Click the 'Setup' tab, then 'Upload a notice document' in the 'Notices' card.</t>
        </is>
      </c>
      <c r="E330" s="11" t="inlineStr">
        <is>
          <t>A dialog 'Upload a notice document' opens: 'The filled-in .docx template. Its purpose table becomes the notice's purposes, which the DPO then activates.' It shows 'Need the template? Download it', a 'Notice document' file chooser, a disabled 'Check the document' button and a disabled 'Create the notice' button.</t>
        </is>
      </c>
      <c r="F330" s="16" t="n"/>
      <c r="G330" s="16" t="n"/>
    </row>
    <row r="331">
      <c r="A331" s="10" t="inlineStr">
        <is>
          <t>PRJ-04</t>
        </is>
      </c>
      <c r="B331" s="11" t="inlineStr">
        <is>
          <t>Uploading the notice template with placeholders still in it is refused</t>
        </is>
      </c>
      <c r="C331" s="11" t="n">
        <v>3</v>
      </c>
      <c r="D331" s="11" t="inlineStr">
        <is>
          <t>Click 'Download it'.</t>
        </is>
      </c>
      <c r="E331" s="11" t="inlineStr">
        <is>
          <t>The browser saves the blank template file (DPDP_Consent_Notice_Template...docx).</t>
        </is>
      </c>
      <c r="F331" s="16" t="n"/>
      <c r="G331" s="16" t="n"/>
    </row>
    <row r="332">
      <c r="A332" s="10" t="inlineStr">
        <is>
          <t>PRJ-04</t>
        </is>
      </c>
      <c r="B332" s="11" t="inlineStr">
        <is>
          <t>Uploading the notice template with placeholders still in it is refused</t>
        </is>
      </c>
      <c r="C332" s="11" t="n">
        <v>4</v>
      </c>
      <c r="D332" s="11" t="inlineStr">
        <is>
          <t>Under 'Notice document' use the browser's file chooser ('Choose File') to pick the blank template you just downloaded.</t>
        </is>
      </c>
      <c r="E332" s="11" t="inlineStr">
        <is>
          <t>The file name and size appear under the chooser; 'Check the document' becomes clickable. 'Create the notice' stays disabled.</t>
        </is>
      </c>
      <c r="F332" s="16" t="n"/>
      <c r="G332" s="16" t="n"/>
    </row>
    <row r="333">
      <c r="A333" s="10" t="inlineStr">
        <is>
          <t>PRJ-04</t>
        </is>
      </c>
      <c r="B333" s="11" t="inlineStr">
        <is>
          <t>Uploading the notice template with placeholders still in it is refused</t>
        </is>
      </c>
      <c r="C333" s="11" t="n">
        <v>5</v>
      </c>
      <c r="D333" s="11" t="inlineStr">
        <is>
          <t>Click 'Check the document'.</t>
        </is>
      </c>
      <c r="E333" s="11" t="inlineStr">
        <is>
          <t>A red message appears starting with the number of placeholders, e.g. '... placeholder(s) are still unfilled: ...' and ending 'Fill the document in before uploading it - a notice served with a placeholder in it is one nobody read.' 'Create the notice' stays disabled.</t>
        </is>
      </c>
      <c r="F333" s="16" t="n"/>
      <c r="G333" s="16" t="n"/>
    </row>
    <row r="334">
      <c r="A334" s="10" t="inlineStr">
        <is>
          <t>PRJ-04</t>
        </is>
      </c>
      <c r="B334" s="11" t="inlineStr">
        <is>
          <t>Uploading the notice template with placeholders still in it is refused</t>
        </is>
      </c>
      <c r="C334" s="11" t="n">
        <v>6</v>
      </c>
      <c r="D334" s="11" t="inlineStr">
        <is>
          <t>(Optional) Pick a PDF file instead and click 'Check the document'.</t>
        </is>
      </c>
      <c r="E334" s="11" t="inlineStr">
        <is>
          <t>The chooser only offers .docx; if a PDF is forced through, the message 'This is not a readable Word document. Upload the .docx template, not a PDF or a scan of one.' appears.</t>
        </is>
      </c>
      <c r="F334" s="16" t="n"/>
      <c r="G334" s="16" t="n"/>
    </row>
    <row r="335">
      <c r="A335" s="10" t="inlineStr">
        <is>
          <t>PRJ-04</t>
        </is>
      </c>
      <c r="B335" s="11" t="inlineStr">
        <is>
          <t>Uploading the notice template with placeholders still in it is refused</t>
        </is>
      </c>
      <c r="C335" s="11" t="n">
        <v>7</v>
      </c>
      <c r="D335" s="11" t="inlineStr">
        <is>
          <t>Click 'Cancel'.</t>
        </is>
      </c>
      <c r="E335" s="11" t="inlineStr">
        <is>
          <t>The dialog closes; the 'Notices' card still says 'No notice yet'.</t>
        </is>
      </c>
      <c r="F335" s="16" t="n"/>
      <c r="G335" s="16" t="n"/>
    </row>
    <row r="336">
      <c r="A336" s="10" t="inlineStr">
        <is>
          <t>PRJ-05</t>
        </is>
      </c>
      <c r="B336" s="11" t="inlineStr">
        <is>
          <t>R&amp;D User brings the notice by uploading the filled DPDP notice template</t>
        </is>
      </c>
      <c r="C336" s="11" t="n">
        <v>1</v>
      </c>
      <c r="D336" s="11" t="inlineStr">
        <is>
          <t>Open project 'UAT Study 01', click the 'Setup' tab and in the 'Notices' card click 'Upload a notice document'.</t>
        </is>
      </c>
      <c r="E336" s="11" t="inlineStr">
        <is>
          <t>The 'Upload a notice document' dialog opens with 'Check the document' and 'Create the notice' disabled.</t>
        </is>
      </c>
      <c r="F336" s="16" t="n"/>
      <c r="G336" s="16" t="n"/>
    </row>
    <row r="337">
      <c r="A337" s="10" t="inlineStr">
        <is>
          <t>PRJ-05</t>
        </is>
      </c>
      <c r="B337" s="11" t="inlineStr">
        <is>
          <t>R&amp;D User brings the notice by uploading the filled DPDP notice template</t>
        </is>
      </c>
      <c r="C337" s="11" t="n">
        <v>2</v>
      </c>
      <c r="D337" s="11" t="inlineStr">
        <is>
          <t>Under 'Notice document' choose the filled .docx.</t>
        </is>
      </c>
      <c r="E337" s="11" t="inlineStr">
        <is>
          <t>The file name and size are shown; 'Check the document' becomes clickable.</t>
        </is>
      </c>
      <c r="F337" s="16" t="n"/>
      <c r="G337" s="16" t="n"/>
    </row>
    <row r="338">
      <c r="A338" s="10" t="inlineStr">
        <is>
          <t>PRJ-05</t>
        </is>
      </c>
      <c r="B338" s="11" t="inlineStr">
        <is>
          <t>R&amp;D User brings the notice by uploading the filled DPDP notice template</t>
        </is>
      </c>
      <c r="C338" s="11" t="n">
        <v>3</v>
      </c>
      <c r="D338" s="11" t="inlineStr">
        <is>
          <t>Click 'Check the document'.</t>
        </is>
      </c>
      <c r="E338" s="11" t="inlineStr">
        <is>
          <t>A green box reads 'Read 9 purposes and 7 data categories, in english. Nothing has been written yet.' (numbers match your file). A 'Purposes' table lists each row with the columns In document, Name, Data categories, Retention, Consent (badges 'Required' or 'Declinable').</t>
        </is>
      </c>
      <c r="F338" s="16" t="n"/>
      <c r="G338" s="16" t="n"/>
    </row>
    <row r="339">
      <c r="A339" s="10" t="inlineStr">
        <is>
          <t>PRJ-05</t>
        </is>
      </c>
      <c r="B339" s="11" t="inlineStr">
        <is>
          <t>R&amp;D User brings the notice by uploading the filled DPDP notice template</t>
        </is>
      </c>
      <c r="C339" s="11" t="n">
        <v>4</v>
      </c>
      <c r="D339" s="11" t="inlineStr">
        <is>
          <t>Read any yellow warnings under the green box.</t>
        </is>
      </c>
      <c r="E339" s="11" t="inlineStr">
        <is>
          <t>If the document names a different project (the example file names 'Gait Identification Study 2026') a warning says 'The document names the project ... but this project is 'UAT Study 01'. Check you are uploading to the right one.' This is expected with the example file.</t>
        </is>
      </c>
      <c r="F339" s="16" t="n"/>
      <c r="G339" s="16" t="n"/>
    </row>
    <row r="340">
      <c r="A340" s="10" t="inlineStr">
        <is>
          <t>PRJ-05</t>
        </is>
      </c>
      <c r="B340" s="11" t="inlineStr">
        <is>
          <t>R&amp;D User brings the notice by uploading the filled DPDP notice template</t>
        </is>
      </c>
      <c r="C340" s="11" t="n">
        <v>5</v>
      </c>
      <c r="D340" s="11" t="inlineStr">
        <is>
          <t>Click 'The text a data subject will read (... characters)' to expand it.</t>
        </is>
      </c>
      <c r="E340" s="11" t="inlineStr">
        <is>
          <t>An excerpt of the notice wording is shown.</t>
        </is>
      </c>
      <c r="F340" s="16" t="n"/>
      <c r="G340" s="16" t="n"/>
    </row>
    <row r="341">
      <c r="A341" s="10" t="inlineStr">
        <is>
          <t>PRJ-05</t>
        </is>
      </c>
      <c r="B341" s="11" t="inlineStr">
        <is>
          <t>R&amp;D User brings the notice by uploading the filled DPDP notice template</t>
        </is>
      </c>
      <c r="C341" s="11" t="n">
        <v>6</v>
      </c>
      <c r="D341" s="11" t="inlineStr">
        <is>
          <t>Click 'Create the notice'.</t>
        </is>
      </c>
      <c r="E341" s="11" t="inlineStr">
        <is>
          <t>The dialog closes and a green toast 'Notice created' says 'NTC-UAT-STUDY-01-2026 carries 9 purposes. The DPO activates them before it can be published.'</t>
        </is>
      </c>
      <c r="F341" s="16" t="n"/>
      <c r="G341" s="16" t="n"/>
    </row>
    <row r="342">
      <c r="A342" s="10" t="inlineStr">
        <is>
          <t>PRJ-05</t>
        </is>
      </c>
      <c r="B342" s="11" t="inlineStr">
        <is>
          <t>R&amp;D User brings the notice by uploading the filled DPDP notice template</t>
        </is>
      </c>
      <c r="C342" s="11" t="n">
        <v>7</v>
      </c>
      <c r="D342" s="11" t="inlineStr">
        <is>
          <t>Look at the 'Notices' card.</t>
        </is>
      </c>
      <c r="E342" s="11" t="inlineStr">
        <is>
          <t>It lists 'NTC-UAT-STUDY-01-2026 v1' with '9 purposes · 1 language(s)' and the status badge 'Draft'.</t>
        </is>
      </c>
      <c r="F342" s="16" t="n"/>
      <c r="G342" s="16" t="n"/>
    </row>
    <row r="343">
      <c r="A343" s="10" t="inlineStr">
        <is>
          <t>PRJ-05</t>
        </is>
      </c>
      <c r="B343" s="11" t="inlineStr">
        <is>
          <t>R&amp;D User brings the notice by uploading the filled DPDP notice template</t>
        </is>
      </c>
      <c r="C343" s="11" t="n">
        <v>8</v>
      </c>
      <c r="D343" s="11" t="inlineStr">
        <is>
          <t>Look at the 'What happens next' card.</t>
        </is>
      </c>
      <c r="E343" s="11" t="inlineStr">
        <is>
          <t>Under 'Moves the project to Pending Approval' only one line remains: 'No approval with a proof file'. The 'Submit for approval' button is still disabled.</t>
        </is>
      </c>
      <c r="F343" s="16" t="n"/>
      <c r="G343" s="16" t="n"/>
    </row>
    <row r="344">
      <c r="A344" s="10" t="inlineStr">
        <is>
          <t>PRJ-05</t>
        </is>
      </c>
      <c r="B344" s="11" t="inlineStr">
        <is>
          <t>R&amp;D User brings the notice by uploading the filled DPDP notice template</t>
        </is>
      </c>
      <c r="C344" s="11" t="n">
        <v>9</v>
      </c>
      <c r="D344" s="11" t="inlineStr">
        <is>
          <t>Click 'NTC-UAT-STUDY-01-2026 v1' in the Notices card.</t>
        </is>
      </c>
      <c r="E344" s="11" t="inlineStr">
        <is>
          <t>The notice page opens titled 'NTC-UAT-STUDY-01-2026 · version 1' with 'Draft. Nothing here has been shown to a data subject yet.' The 'Purposes' card lists 9 purposes, each with the status 'Draft'.</t>
        </is>
      </c>
      <c r="F344" s="16" t="n"/>
      <c r="G344" s="16" t="n"/>
    </row>
    <row r="345">
      <c r="A345" s="10" t="inlineStr">
        <is>
          <t>PRJ-06</t>
        </is>
      </c>
      <c r="B345" s="11" t="inlineStr">
        <is>
          <t>R&amp;D User starts a second project's notice from an approved notice</t>
        </is>
      </c>
      <c r="C345" s="11" t="n">
        <v>1</v>
      </c>
      <c r="D345" s="11" t="inlineStr">
        <is>
          <t>Click 'Projects' &gt; 'Register a project'. Enter the name and description from the test data, tick 'SEED' and click 'Register project'.</t>
        </is>
      </c>
      <c r="E345" s="11" t="inlineStr">
        <is>
          <t>Toast 'Project registered'; the 'UAT Study 02' page opens with status 'In Draft'.</t>
        </is>
      </c>
      <c r="F345" s="16" t="n"/>
      <c r="G345" s="16" t="n"/>
    </row>
    <row r="346">
      <c r="A346" s="10" t="inlineStr">
        <is>
          <t>PRJ-06</t>
        </is>
      </c>
      <c r="B346" s="11" t="inlineStr">
        <is>
          <t>R&amp;D User starts a second project's notice from an approved notice</t>
        </is>
      </c>
      <c r="C346" s="11" t="n">
        <v>2</v>
      </c>
      <c r="D346" s="11" t="inlineStr">
        <is>
          <t>Click the 'Setup' tab, then 'Copy an existing notice' in the 'Notices' card.</t>
        </is>
      </c>
      <c r="E346" s="11" t="inlineStr">
        <is>
          <t>A dialog 'Copy an existing notice' opens: 'Copies the wording, the purposes and every language rendition into this project as a fresh draft.' with a 'Notice to copy' list and a disabled 'Copy into this project' button.</t>
        </is>
      </c>
      <c r="F346" s="16" t="n"/>
      <c r="G346" s="16" t="n"/>
    </row>
    <row r="347">
      <c r="A347" s="10" t="inlineStr">
        <is>
          <t>PRJ-06</t>
        </is>
      </c>
      <c r="B347" s="11" t="inlineStr">
        <is>
          <t>R&amp;D User starts a second project's notice from an approved notice</t>
        </is>
      </c>
      <c r="C347" s="11" t="n">
        <v>3</v>
      </c>
      <c r="D347" s="11" t="inlineStr">
        <is>
          <t>Open 'Notice to copy'.</t>
        </is>
      </c>
      <c r="E347" s="11" t="inlineStr">
        <is>
          <t>Every approved or published notice on the platform is offered, from any project and whoever wrote it - for example 'NTC-GAIT-2026 v1 — Gait Identification Study 2026'. Notices marked '(approved, not yet published)' come first. No draft notice is offered.</t>
        </is>
      </c>
      <c r="F347" s="16" t="n"/>
      <c r="G347" s="16" t="n"/>
    </row>
    <row r="348">
      <c r="A348" s="10" t="inlineStr">
        <is>
          <t>PRJ-06</t>
        </is>
      </c>
      <c r="B348" s="11" t="inlineStr">
        <is>
          <t>R&amp;D User starts a second project's notice from an approved notice</t>
        </is>
      </c>
      <c r="C348" s="11" t="n">
        <v>4</v>
      </c>
      <c r="D348" s="11" t="inlineStr">
        <is>
          <t>Choose 'NTC-GAIT-2026 v1 — Gait Identification Study 2026'.</t>
        </is>
      </c>
      <c r="E348" s="11" t="inlineStr">
        <is>
          <t>A yellow box 'What comes across, and what does not' explains the legal approvals are not copied and each rendition must be re-approved. 'Copy into this project' becomes clickable.</t>
        </is>
      </c>
      <c r="F348" s="16" t="n"/>
      <c r="G348" s="16" t="n"/>
    </row>
    <row r="349">
      <c r="A349" s="10" t="inlineStr">
        <is>
          <t>PRJ-06</t>
        </is>
      </c>
      <c r="B349" s="11" t="inlineStr">
        <is>
          <t>R&amp;D User starts a second project's notice from an approved notice</t>
        </is>
      </c>
      <c r="C349" s="11" t="n">
        <v>5</v>
      </c>
      <c r="D349" s="11" t="inlineStr">
        <is>
          <t>Click 'Copy into this project'.</t>
        </is>
      </c>
      <c r="E349" s="11" t="inlineStr">
        <is>
          <t>The dialog closes; a toast 'Copied into NTC-UAT-STUDY-02-2026' says 'It is a fresh draft. Review the wording, then approve and publish it.'</t>
        </is>
      </c>
      <c r="F349" s="16" t="n"/>
      <c r="G349" s="16" t="n"/>
    </row>
    <row r="350">
      <c r="A350" s="10" t="inlineStr">
        <is>
          <t>PRJ-06</t>
        </is>
      </c>
      <c r="B350" s="11" t="inlineStr">
        <is>
          <t>R&amp;D User starts a second project's notice from an approved notice</t>
        </is>
      </c>
      <c r="C350" s="11" t="n">
        <v>6</v>
      </c>
      <c r="D350" s="11" t="inlineStr">
        <is>
          <t>Click the new notice in the 'Notices' card.</t>
        </is>
      </c>
      <c r="E350" s="11" t="inlineStr">
        <is>
          <t>The notice page 'NTC-UAT-STUDY-02-2026 · version 1' opens with status 'Draft'. The 'Purposes' card shows the purposes copied from the Gait notice.</t>
        </is>
      </c>
      <c r="F350" s="16" t="n"/>
      <c r="G350" s="16" t="n"/>
    </row>
    <row r="351">
      <c r="A351" s="10" t="inlineStr">
        <is>
          <t>PRJ-06</t>
        </is>
      </c>
      <c r="B351" s="11" t="inlineStr">
        <is>
          <t>R&amp;D User starts a second project's notice from an approved notice</t>
        </is>
      </c>
      <c r="C351" s="11" t="n">
        <v>7</v>
      </c>
      <c r="D351" s="11" t="inlineStr">
        <is>
          <t>Look at the 'Legal approval, per language' card.</t>
        </is>
      </c>
      <c r="E351" s="11" t="inlineStr">
        <is>
          <t>Each copied language shows 'Not legally approved' (approvals did not carry over).</t>
        </is>
      </c>
      <c r="F351" s="16" t="n"/>
      <c r="G351" s="16" t="n"/>
    </row>
    <row r="352">
      <c r="A352" s="10" t="inlineStr">
        <is>
          <t>PRJ-07</t>
        </is>
      </c>
      <c r="B352" s="11" t="inlineStr">
        <is>
          <t>R&amp;D User cannot compose or approve notice wording, purposes or renditions</t>
        </is>
      </c>
      <c r="C352" s="11" t="n">
        <v>1</v>
      </c>
      <c r="D352" s="11" t="inlineStr">
        <is>
          <t>Open project 'UAT Study 01', click the 'Setup' tab and look at the buttons on the 'Notices' card.</t>
        </is>
      </c>
      <c r="E352" s="11" t="inlineStr">
        <is>
          <t>'Upload a notice document', 'Copy an existing notice' and 'Use a notice template' are shown; there is NO 'New notice' button.</t>
        </is>
      </c>
      <c r="F352" s="16" t="n"/>
      <c r="G352" s="16" t="n"/>
    </row>
    <row r="353">
      <c r="A353" s="10" t="inlineStr">
        <is>
          <t>PRJ-07</t>
        </is>
      </c>
      <c r="B353" s="11" t="inlineStr">
        <is>
          <t>R&amp;D User cannot compose or approve notice wording, purposes or renditions</t>
        </is>
      </c>
      <c r="C353" s="11" t="n">
        <v>2</v>
      </c>
      <c r="D353" s="11" t="inlineStr">
        <is>
          <t>Click 'NTC-UAT-STUDY-01-2026 v1' in the 'Notices' card.</t>
        </is>
      </c>
      <c r="E353" s="11" t="inlineStr">
        <is>
          <t>The notice page opens. The header shows the 'Draft' badge but NO 'Edit' button.</t>
        </is>
      </c>
      <c r="F353" s="16" t="n"/>
      <c r="G353" s="16" t="n"/>
    </row>
    <row r="354">
      <c r="A354" s="10" t="inlineStr">
        <is>
          <t>PRJ-07</t>
        </is>
      </c>
      <c r="B354" s="11" t="inlineStr">
        <is>
          <t>R&amp;D User cannot compose or approve notice wording, purposes or renditions</t>
        </is>
      </c>
      <c r="C354" s="11" t="n">
        <v>3</v>
      </c>
      <c r="D354" s="11" t="inlineStr">
        <is>
          <t>Look at the 'Publication checklist' card.</t>
        </is>
      </c>
      <c r="E354" s="11" t="inlineStr">
        <is>
          <t>It is visible to the R&amp;D User and reads '... item(s) blocking publication:' followed by lines such as 'the purpose ... is draft, not activated' and 'the english text is not legally approved', each with a 'fix this' link. There is NO 'Publish this notice' button.</t>
        </is>
      </c>
      <c r="F354" s="16" t="n"/>
      <c r="G354" s="16" t="n"/>
    </row>
    <row r="355">
      <c r="A355" s="10" t="inlineStr">
        <is>
          <t>PRJ-07</t>
        </is>
      </c>
      <c r="B355" s="11" t="inlineStr">
        <is>
          <t>R&amp;D User cannot compose or approve notice wording, purposes or renditions</t>
        </is>
      </c>
      <c r="C355" s="11" t="n">
        <v>4</v>
      </c>
      <c r="D355" s="11" t="inlineStr">
        <is>
          <t>Look at the 'Notice text' card.</t>
        </is>
      </c>
      <c r="E355" s="11" t="inlineStr">
        <is>
          <t>The English wording is displayed read-only with 'Not legally approved — the project cannot be approved until it is'. There is NO 'Edit English text' button.</t>
        </is>
      </c>
      <c r="F355" s="16" t="n"/>
      <c r="G355" s="16" t="n"/>
    </row>
    <row r="356">
      <c r="A356" s="10" t="inlineStr">
        <is>
          <t>PRJ-07</t>
        </is>
      </c>
      <c r="B356" s="11" t="inlineStr">
        <is>
          <t>R&amp;D User cannot compose or approve notice wording, purposes or renditions</t>
        </is>
      </c>
      <c r="C356" s="11" t="n">
        <v>5</v>
      </c>
      <c r="D356" s="11" t="inlineStr">
        <is>
          <t>Look at the 'Purposes' card.</t>
        </is>
      </c>
      <c r="E356" s="11" t="inlineStr">
        <is>
          <t>Each purpose shows the 'Draft' status. There is NO 'Manage', NO 'Activate' and NO 'Customise for this notice' button.</t>
        </is>
      </c>
      <c r="F356" s="16" t="n"/>
      <c r="G356" s="16" t="n"/>
    </row>
    <row r="357">
      <c r="A357" s="10" t="inlineStr">
        <is>
          <t>PRJ-07</t>
        </is>
      </c>
      <c r="B357" s="11" t="inlineStr">
        <is>
          <t>R&amp;D User cannot compose or approve notice wording, purposes or renditions</t>
        </is>
      </c>
      <c r="C357" s="11" t="n">
        <v>6</v>
      </c>
      <c r="D357" s="11" t="inlineStr">
        <is>
          <t>Look at the 'Legal approval, per language' card.</t>
        </is>
      </c>
      <c r="E357" s="11" t="inlineStr">
        <is>
          <t>The english row shows 'Not legally approved'. There is NO 'Add language', NO 'Edit' and NO 'Approve' button.</t>
        </is>
      </c>
      <c r="F357" s="16" t="n"/>
      <c r="G357" s="16" t="n"/>
    </row>
    <row r="358">
      <c r="A358" s="10" t="inlineStr">
        <is>
          <t>PRJ-08</t>
        </is>
      </c>
      <c r="B358" s="11" t="inlineStr">
        <is>
          <t>R&amp;D User uploads the security approval and submits the project for DPO review</t>
        </is>
      </c>
      <c r="C358" s="11" t="n">
        <v>1</v>
      </c>
      <c r="D358" s="11" t="inlineStr">
        <is>
          <t>Open project 'UAT Study 01', click the 'Setup' tab and click 'Upload an approval' in the 'Approvals' card.</t>
        </is>
      </c>
      <c r="E358" s="11" t="inlineStr">
        <is>
          <t>A dialog 'Upload an approval' opens: 'The proof file is mandatory - an approval without one does not unlock the transition.' Fields: 'Type' (preset to Security), 'Reference number', 'Approved on', 'Proof document'.</t>
        </is>
      </c>
      <c r="F358" s="16" t="n"/>
      <c r="G358" s="16" t="n"/>
    </row>
    <row r="359">
      <c r="A359" s="10" t="inlineStr">
        <is>
          <t>PRJ-08</t>
        </is>
      </c>
      <c r="B359" s="11" t="inlineStr">
        <is>
          <t>R&amp;D User uploads the security approval and submits the project for DPO review</t>
        </is>
      </c>
      <c r="C359" s="11" t="n">
        <v>2</v>
      </c>
      <c r="D359" s="11" t="inlineStr">
        <is>
          <t>Leave 'Reference number' and 'Proof document' empty, set 'Approved on' to a future date, and click 'Upload approval'.</t>
        </is>
      </c>
      <c r="E359" s="11" t="inlineStr">
        <is>
          <t>The dialog stays open with field errors: 'A reference number is required', 'The approval date cannot be in the future' and 'Choose an approval document'.</t>
        </is>
      </c>
      <c r="F359" s="16" t="n"/>
      <c r="G359" s="16" t="n"/>
    </row>
    <row r="360">
      <c r="A360" s="10" t="inlineStr">
        <is>
          <t>PRJ-08</t>
        </is>
      </c>
      <c r="B360" s="11" t="inlineStr">
        <is>
          <t>R&amp;D User uploads the security approval and submits the project for DPO review</t>
        </is>
      </c>
      <c r="C360" s="11" t="n">
        <v>3</v>
      </c>
      <c r="D360" s="11" t="inlineStr">
        <is>
          <t>Enter 'SEC-UAT-0001', set 'Approved on' to today, choose the proof file and click 'Upload approval'.</t>
        </is>
      </c>
      <c r="E360" s="11" t="inlineStr">
        <is>
          <t>The dialog closes; toast 'Approval uploaded' says 'The project can now move to pending approval.'</t>
        </is>
      </c>
      <c r="F360" s="16" t="n"/>
      <c r="G360" s="16" t="n"/>
    </row>
    <row r="361">
      <c r="A361" s="10" t="inlineStr">
        <is>
          <t>PRJ-08</t>
        </is>
      </c>
      <c r="B361" s="11" t="inlineStr">
        <is>
          <t>R&amp;D User uploads the security approval and submits the project for DPO review</t>
        </is>
      </c>
      <c r="C361" s="11" t="n">
        <v>4</v>
      </c>
      <c r="D361" s="11" t="inlineStr">
        <is>
          <t>Look at the 'Approvals' card.</t>
        </is>
      </c>
      <c r="E361" s="11" t="inlineStr">
        <is>
          <t>Count 1; the row reads 'Security SEC-UAT-0001', 'Approved &lt;today&gt; · uploaded ... by Kavya Rao', a short hash, and a 'Proof' button.</t>
        </is>
      </c>
      <c r="F361" s="16" t="n"/>
      <c r="G361" s="16" t="n"/>
    </row>
    <row r="362">
      <c r="A362" s="10" t="inlineStr">
        <is>
          <t>PRJ-08</t>
        </is>
      </c>
      <c r="B362" s="11" t="inlineStr">
        <is>
          <t>R&amp;D User uploads the security approval and submits the project for DPO review</t>
        </is>
      </c>
      <c r="C362" s="11" t="n">
        <v>5</v>
      </c>
      <c r="D362" s="11" t="inlineStr">
        <is>
          <t>Click 'Proof'.</t>
        </is>
      </c>
      <c r="E362" s="11" t="inlineStr">
        <is>
          <t>The file downloads and a toast 'Proof downloaded' says 'Hash matches the record.'</t>
        </is>
      </c>
      <c r="F362" s="16" t="n"/>
      <c r="G362" s="16" t="n"/>
    </row>
    <row r="363">
      <c r="A363" s="10" t="inlineStr">
        <is>
          <t>PRJ-08</t>
        </is>
      </c>
      <c r="B363" s="11" t="inlineStr">
        <is>
          <t>R&amp;D User uploads the security approval and submits the project for DPO review</t>
        </is>
      </c>
      <c r="C363" s="11" t="n">
        <v>6</v>
      </c>
      <c r="D363" s="11" t="inlineStr">
        <is>
          <t>Look at 'What happens next'.</t>
        </is>
      </c>
      <c r="E363" s="11" t="inlineStr">
        <is>
          <t>'Moves the project to Pending Approval' has no warning lines and the 'Submit for approval' button is active (highlighted).</t>
        </is>
      </c>
      <c r="F363" s="16" t="n"/>
      <c r="G363" s="16" t="n"/>
    </row>
    <row r="364">
      <c r="A364" s="10" t="inlineStr">
        <is>
          <t>PRJ-08</t>
        </is>
      </c>
      <c r="B364" s="11" t="inlineStr">
        <is>
          <t>R&amp;D User uploads the security approval and submits the project for DPO review</t>
        </is>
      </c>
      <c r="C364" s="11" t="n">
        <v>7</v>
      </c>
      <c r="D364" s="11" t="inlineStr">
        <is>
          <t>Scroll to the bottom of the page.</t>
        </is>
      </c>
      <c r="E364" s="11" t="inlineStr">
        <is>
          <t>The page ends with the tabbed sections. The move is not repeated at the foot: 'Submit for approval' is only in 'What happens next' at the top.</t>
        </is>
      </c>
      <c r="F364" s="16" t="n"/>
      <c r="G364" s="16" t="n"/>
    </row>
    <row r="365">
      <c r="A365" s="10" t="inlineStr">
        <is>
          <t>PRJ-08</t>
        </is>
      </c>
      <c r="B365" s="11" t="inlineStr">
        <is>
          <t>R&amp;D User uploads the security approval and submits the project for DPO review</t>
        </is>
      </c>
      <c r="C365" s="11" t="n">
        <v>8</v>
      </c>
      <c r="D365" s="11" t="inlineStr">
        <is>
          <t>Click 'Submit for approval'.</t>
        </is>
      </c>
      <c r="E365" s="11" t="inlineStr">
        <is>
          <t>Toast 'Moved to Pending Approval'. The status badge changes to 'Pending Approval' and the progress bar moves to its second step.</t>
        </is>
      </c>
      <c r="F365" s="16" t="n"/>
      <c r="G365" s="16" t="n"/>
    </row>
    <row r="366">
      <c r="A366" s="10" t="inlineStr">
        <is>
          <t>PRJ-08</t>
        </is>
      </c>
      <c r="B366" s="11" t="inlineStr">
        <is>
          <t>R&amp;D User uploads the security approval and submits the project for DPO review</t>
        </is>
      </c>
      <c r="C366" s="11" t="n">
        <v>9</v>
      </c>
      <c r="D366" s="11" t="inlineStr">
        <is>
          <t>Look at 'What happens next' again, then click the 'Activity' tab and look at the 'History' card.</t>
        </is>
      </c>
      <c r="E366" s="11" t="inlineStr">
        <is>
          <t>'What happens next' reads 'There is nothing for your role to do at this stage.' History shows 'In Draft → Pending Approval' by 'Kavya Rao (Rnd user)' with the time. The 'Edit' button is no longer shown in the page header.</t>
        </is>
      </c>
      <c r="F366" s="16" t="n"/>
      <c r="G366" s="16" t="n"/>
    </row>
    <row r="367">
      <c r="A367" s="10" t="inlineStr">
        <is>
          <t>PRJ-09</t>
        </is>
      </c>
      <c r="B367" s="11" t="inlineStr">
        <is>
          <t>DPO review: approval is blocked until the DPO's own notice decisions are made; sending back needs a reason</t>
        </is>
      </c>
      <c r="C367" s="11" t="n">
        <v>1</v>
      </c>
      <c r="D367" s="11" t="inlineStr">
        <is>
          <t>On the 'Dashboard' look at 'Needs attention'.</t>
        </is>
      </c>
      <c r="E367" s="11" t="inlineStr">
        <is>
          <t>A row 'Projects pending approval' shows a count of 1 or more.</t>
        </is>
      </c>
      <c r="F367" s="16" t="n"/>
      <c r="G367" s="16" t="n"/>
    </row>
    <row r="368">
      <c r="A368" s="10" t="inlineStr">
        <is>
          <t>PRJ-09</t>
        </is>
      </c>
      <c r="B368" s="11" t="inlineStr">
        <is>
          <t>DPO review: approval is blocked until the DPO's own notice decisions are made; sending back needs a reason</t>
        </is>
      </c>
      <c r="C368" s="11" t="n">
        <v>2</v>
      </c>
      <c r="D368" s="11" t="inlineStr">
        <is>
          <t>Click 'Projects' in the sidebar, set 'Status' to 'Pending Approval', and click 'UAT Study 01'.</t>
        </is>
      </c>
      <c r="E368" s="11" t="inlineStr">
        <is>
          <t>The project page opens with status 'Pending Approval'.</t>
        </is>
      </c>
      <c r="F368" s="16" t="n"/>
      <c r="G368" s="16" t="n"/>
    </row>
    <row r="369">
      <c r="A369" s="10" t="inlineStr">
        <is>
          <t>PRJ-09</t>
        </is>
      </c>
      <c r="B369" s="11" t="inlineStr">
        <is>
          <t>DPO review: approval is blocked until the DPO's own notice decisions are made; sending back needs a reason</t>
        </is>
      </c>
      <c r="C369" s="11" t="n">
        <v>3</v>
      </c>
      <c r="D369" s="11" t="inlineStr">
        <is>
          <t>Look at the 'What happens next' card.</t>
        </is>
      </c>
      <c r="E369" s="11" t="inlineStr">
        <is>
          <t>It reads 'Currently Pending Approval.' and offers two rows: 'Moves the project to Approved' (with the tag 'publishes the notice' and an 'Approve project' button) and 'Moves the project to In Draft' (with a 'Return to draft' button).</t>
        </is>
      </c>
      <c r="F369" s="16" t="n"/>
      <c r="G369" s="16" t="n"/>
    </row>
    <row r="370">
      <c r="A370" s="10" t="inlineStr">
        <is>
          <t>PRJ-09</t>
        </is>
      </c>
      <c r="B370" s="11" t="inlineStr">
        <is>
          <t>DPO review: approval is blocked until the DPO's own notice decisions are made; sending back needs a reason</t>
        </is>
      </c>
      <c r="C370" s="11" t="n">
        <v>4</v>
      </c>
      <c r="D370" s="11" t="inlineStr">
        <is>
          <t>Read the warning lines under 'Moves the project to Approved'.</t>
        </is>
      </c>
      <c r="E370" s="11" t="inlineStr">
        <is>
          <t>Both DPO-side blockers are listed: 'The notice text is not legally approved - approve every language on the notice first' with a link 'Approve the notice', and 'The notice carries purposes that are not activated - activate them before approving' with a link 'Open the notice'. The 'Approve project' button is disabled.</t>
        </is>
      </c>
      <c r="F370" s="16" t="n"/>
      <c r="G370" s="16" t="n"/>
    </row>
    <row r="371">
      <c r="A371" s="10" t="inlineStr">
        <is>
          <t>PRJ-09</t>
        </is>
      </c>
      <c r="B371" s="11" t="inlineStr">
        <is>
          <t>DPO review: approval is blocked until the DPO's own notice decisions are made; sending back needs a reason</t>
        </is>
      </c>
      <c r="C371" s="11" t="n">
        <v>5</v>
      </c>
      <c r="D371" s="11" t="inlineStr">
        <is>
          <t>Under 'Moves the project to In Draft' note the hint, then click the 'Return to draft' button.</t>
        </is>
      </c>
      <c r="E371" s="11" t="inlineStr">
        <is>
          <t>The hint reads 'A reason is required and is recorded in the history.' A panel 'Return to draft' opens with a required 'Reason' box.</t>
        </is>
      </c>
      <c r="F371" s="16" t="n"/>
      <c r="G371" s="16" t="n"/>
    </row>
    <row r="372">
      <c r="A372" s="10" t="inlineStr">
        <is>
          <t>PRJ-09</t>
        </is>
      </c>
      <c r="B372" s="11" t="inlineStr">
        <is>
          <t>DPO review: approval is blocked until the DPO's own notice decisions are made; sending back needs a reason</t>
        </is>
      </c>
      <c r="C372" s="11" t="n">
        <v>6</v>
      </c>
      <c r="D372" s="11" t="inlineStr">
        <is>
          <t>Leave 'Reason' empty and click 'Return to draft' in the panel.</t>
        </is>
      </c>
      <c r="E372" s="11" t="inlineStr">
        <is>
          <t>The message 'A reason is required for this transition.' appears; the project stays 'Pending Approval'.</t>
        </is>
      </c>
      <c r="F372" s="16" t="n"/>
      <c r="G372" s="16" t="n"/>
    </row>
    <row r="373">
      <c r="A373" s="10" t="inlineStr">
        <is>
          <t>PRJ-09</t>
        </is>
      </c>
      <c r="B373" s="11" t="inlineStr">
        <is>
          <t>DPO review: approval is blocked until the DPO's own notice decisions are made; sending back needs a reason</t>
        </is>
      </c>
      <c r="C373" s="11" t="n">
        <v>7</v>
      </c>
      <c r="D373" s="11" t="inlineStr">
        <is>
          <t>Click 'Cancel' in the panel.</t>
        </is>
      </c>
      <c r="E373" s="11" t="inlineStr">
        <is>
          <t>The panel closes; status is still 'Pending Approval' and History has no new entry.</t>
        </is>
      </c>
      <c r="F373" s="16" t="n"/>
      <c r="G373" s="16" t="n"/>
    </row>
    <row r="374">
      <c r="A374" s="10" t="inlineStr">
        <is>
          <t>PRJ-09</t>
        </is>
      </c>
      <c r="B374" s="11" t="inlineStr">
        <is>
          <t>DPO review: approval is blocked until the DPO's own notice decisions are made; sending back needs a reason</t>
        </is>
      </c>
      <c r="C374" s="11" t="n">
        <v>8</v>
      </c>
      <c r="D374" s="11" t="inlineStr">
        <is>
          <t>Click the 'Open the notice' link on the blocker line.</t>
        </is>
      </c>
      <c r="E374" s="11" t="inlineStr">
        <is>
          <t>The notice page 'NTC-UAT-STUDY-01-2026 · version 1' opens.</t>
        </is>
      </c>
      <c r="F374" s="16" t="n"/>
      <c r="G374" s="16" t="n"/>
    </row>
    <row r="375">
      <c r="A375" s="10" t="inlineStr">
        <is>
          <t>PRJ-10</t>
        </is>
      </c>
      <c r="B375" s="11" t="inlineStr">
        <is>
          <t>DPO activates each purpose from the notice that carries it</t>
        </is>
      </c>
      <c r="C375" s="11" t="n">
        <v>1</v>
      </c>
      <c r="D375" s="11" t="inlineStr">
        <is>
          <t>Look at the 'Publication checklist' card.</t>
        </is>
      </c>
      <c r="E375" s="11" t="inlineStr">
        <is>
          <t>It reads '&lt;n&gt; item(s) blocking publication:' with one line per purpose 'the purpose &lt;code&gt; is draft, not activated' plus 'the english text is not legally approved'; each line has a 'fix this' link.</t>
        </is>
      </c>
      <c r="F375" s="16" t="n"/>
      <c r="G375" s="16" t="n"/>
    </row>
    <row r="376">
      <c r="A376" s="10" t="inlineStr">
        <is>
          <t>PRJ-10</t>
        </is>
      </c>
      <c r="B376" s="11" t="inlineStr">
        <is>
          <t>DPO activates each purpose from the notice that carries it</t>
        </is>
      </c>
      <c r="C376" s="11" t="n">
        <v>2</v>
      </c>
      <c r="D376" s="11" t="inlineStr">
        <is>
          <t>Click 'fix this' next to a purpose line.</t>
        </is>
      </c>
      <c r="E376" s="11" t="inlineStr">
        <is>
          <t>The page scrolls to the 'Purposes' card ('Rule 3(b): what each purpose enables, itemised, with its retention.').</t>
        </is>
      </c>
      <c r="F376" s="16" t="n"/>
      <c r="G376" s="16" t="n"/>
    </row>
    <row r="377">
      <c r="A377" s="10" t="inlineStr">
        <is>
          <t>PRJ-10</t>
        </is>
      </c>
      <c r="B377" s="11" t="inlineStr">
        <is>
          <t>DPO activates each purpose from the notice that carries it</t>
        </is>
      </c>
      <c r="C377" s="11" t="n">
        <v>3</v>
      </c>
      <c r="D377" s="11" t="inlineStr">
        <is>
          <t>Review the first purpose (name, description, Basis, Retention, Categories), then click its 'Activate' button.</t>
        </is>
      </c>
      <c r="E377" s="11" t="inlineStr">
        <is>
          <t>Toast '&lt;purpose name&gt; activated' says 'It no longer blocks publication.' Its status changes from 'Draft' to 'Active' and its 'Activate' button disappears.</t>
        </is>
      </c>
      <c r="F377" s="16" t="n"/>
      <c r="G377" s="16" t="n"/>
    </row>
    <row r="378">
      <c r="A378" s="10" t="inlineStr">
        <is>
          <t>PRJ-10</t>
        </is>
      </c>
      <c r="B378" s="11" t="inlineStr">
        <is>
          <t>DPO activates each purpose from the notice that carries it</t>
        </is>
      </c>
      <c r="C378" s="11" t="n">
        <v>4</v>
      </c>
      <c r="D378" s="11" t="inlineStr">
        <is>
          <t>Scroll back to the 'Publication checklist'.</t>
        </is>
      </c>
      <c r="E378" s="11" t="inlineStr">
        <is>
          <t>The blocking count has gone down by one and that purpose's line is gone, without reloading the page.</t>
        </is>
      </c>
      <c r="F378" s="16" t="n"/>
      <c r="G378" s="16" t="n"/>
    </row>
    <row r="379">
      <c r="A379" s="10" t="inlineStr">
        <is>
          <t>PRJ-10</t>
        </is>
      </c>
      <c r="B379" s="11" t="inlineStr">
        <is>
          <t>DPO activates each purpose from the notice that carries it</t>
        </is>
      </c>
      <c r="C379" s="11" t="n">
        <v>5</v>
      </c>
      <c r="D379" s="11" t="inlineStr">
        <is>
          <t>Repeat 'Activate' for every remaining Draft purpose, one at a time.</t>
        </is>
      </c>
      <c r="E379" s="11" t="inlineStr">
        <is>
          <t>Each shows its own toast; there is no single 'activate all' control.</t>
        </is>
      </c>
      <c r="F379" s="16" t="n"/>
      <c r="G379" s="16" t="n"/>
    </row>
    <row r="380">
      <c r="A380" s="10" t="inlineStr">
        <is>
          <t>PRJ-10</t>
        </is>
      </c>
      <c r="B380" s="11" t="inlineStr">
        <is>
          <t>DPO activates each purpose from the notice that carries it</t>
        </is>
      </c>
      <c r="C380" s="11" t="n">
        <v>6</v>
      </c>
      <c r="D380" s="11" t="inlineStr">
        <is>
          <t>Check the checklist once all purposes are active.</t>
        </is>
      </c>
      <c r="E380" s="11" t="inlineStr">
        <is>
          <t>No 'the purpose ... is draft, not activated' lines remain; only 'the english text is not legally approved' is left. The 'Purposes' stat shows 9.</t>
        </is>
      </c>
      <c r="F380" s="16" t="n"/>
      <c r="G380" s="16" t="n"/>
    </row>
    <row r="381">
      <c r="A381" s="10" t="inlineStr">
        <is>
          <t>PRJ-11</t>
        </is>
      </c>
      <c r="B381" s="11" t="inlineStr">
        <is>
          <t>DPO composes the wording, adds a Hindi rendition and legally approves each language</t>
        </is>
      </c>
      <c r="C381" s="11" t="n">
        <v>1</v>
      </c>
      <c r="D381" s="11" t="inlineStr">
        <is>
          <t>On notice NTC-UAT-STUDY-01-2026 v1, find the 'Notice text' card and click 'Edit English text'.</t>
        </is>
      </c>
      <c r="E381" s="11" t="inlineStr">
        <is>
          <t>A dialog 'Edit English text' opens: 'This exact text is hashed at publication and becomes the record of what was agreed to.' 'Language' is locked to English; 'Notice text' holds the current wording.</t>
        </is>
      </c>
      <c r="F381" s="16" t="n"/>
      <c r="G381" s="16" t="n"/>
    </row>
    <row r="382">
      <c r="A382" s="10" t="inlineStr">
        <is>
          <t>PRJ-11</t>
        </is>
      </c>
      <c r="B382" s="11" t="inlineStr">
        <is>
          <t>DPO composes the wording, adds a Hindi rendition and legally approves each language</t>
        </is>
      </c>
      <c r="C382" s="11" t="n">
        <v>2</v>
      </c>
      <c r="D382" s="11" t="inlineStr">
        <is>
          <t>Add the extra sentence at the end of the text and click 'Save text'.</t>
        </is>
      </c>
      <c r="E382" s="11" t="inlineStr">
        <is>
          <t>Toast 'Rendition saved' says 'It must be legally approved before the notice can be published.' The new sentence is visible in the 'Notice text' card.</t>
        </is>
      </c>
      <c r="F382" s="16" t="n"/>
      <c r="G382" s="16" t="n"/>
    </row>
    <row r="383">
      <c r="A383" s="10" t="inlineStr">
        <is>
          <t>PRJ-11</t>
        </is>
      </c>
      <c r="B383" s="11" t="inlineStr">
        <is>
          <t>DPO composes the wording, adds a Hindi rendition and legally approves each language</t>
        </is>
      </c>
      <c r="C383" s="11" t="n">
        <v>3</v>
      </c>
      <c r="D383" s="11" t="inlineStr">
        <is>
          <t>In the 'Legal approval, per language' card click 'Add language'.</t>
        </is>
      </c>
      <c r="E383" s="11" t="inlineStr">
        <is>
          <t>A dialog 'Add language' opens with 'Language' and 'Notice text'.</t>
        </is>
      </c>
      <c r="F383" s="16" t="n"/>
      <c r="G383" s="16" t="n"/>
    </row>
    <row r="384">
      <c r="A384" s="10" t="inlineStr">
        <is>
          <t>PRJ-11</t>
        </is>
      </c>
      <c r="B384" s="11" t="inlineStr">
        <is>
          <t>DPO composes the wording, adds a Hindi rendition and legally approves each language</t>
        </is>
      </c>
      <c r="C384" s="11" t="n">
        <v>4</v>
      </c>
      <c r="D384" s="11" t="inlineStr">
        <is>
          <t>Choose Language 'Hindi', paste the Hindi text and click 'Save text'.</t>
        </is>
      </c>
      <c r="E384" s="11" t="inlineStr">
        <is>
          <t>Toast 'Rendition saved'. The card now lists English and Hindi, both 'Not legally approved'. The 'Notice text' card shows language tabs (english / hindi).</t>
        </is>
      </c>
      <c r="F384" s="16" t="n"/>
      <c r="G384" s="16" t="n"/>
    </row>
    <row r="385">
      <c r="A385" s="10" t="inlineStr">
        <is>
          <t>PRJ-11</t>
        </is>
      </c>
      <c r="B385" s="11" t="inlineStr">
        <is>
          <t>DPO composes the wording, adds a Hindi rendition and legally approves each language</t>
        </is>
      </c>
      <c r="C385" s="11" t="n">
        <v>5</v>
      </c>
      <c r="D385" s="11" t="inlineStr">
        <is>
          <t>Look at the 'Publication checklist'.</t>
        </is>
      </c>
      <c r="E385" s="11" t="inlineStr">
        <is>
          <t>Lines 'the english text is not legally approved' and 'the hindi text is not legally approved' are shown; 'Languages' stat is 2, 'Approved' is 0.</t>
        </is>
      </c>
      <c r="F385" s="16" t="n"/>
      <c r="G385" s="16" t="n"/>
    </row>
    <row r="386">
      <c r="A386" s="10" t="inlineStr">
        <is>
          <t>PRJ-11</t>
        </is>
      </c>
      <c r="B386" s="11" t="inlineStr">
        <is>
          <t>DPO composes the wording, adds a Hindi rendition and legally approves each language</t>
        </is>
      </c>
      <c r="C386" s="11" t="n">
        <v>6</v>
      </c>
      <c r="D386" s="11" t="inlineStr">
        <is>
          <t>Read the English text, then click 'Approve' on the English row.</t>
        </is>
      </c>
      <c r="E386" s="11" t="inlineStr">
        <is>
          <t>Toast 'english approved' says 'Its hash is what a data subject's consent will be matched against.' The row shows 'Approved' with 'Priya Menon' and the time.</t>
        </is>
      </c>
      <c r="F386" s="16" t="n"/>
      <c r="G386" s="16" t="n"/>
    </row>
    <row r="387">
      <c r="A387" s="10" t="inlineStr">
        <is>
          <t>PRJ-11</t>
        </is>
      </c>
      <c r="B387" s="11" t="inlineStr">
        <is>
          <t>DPO composes the wording, adds a Hindi rendition and legally approves each language</t>
        </is>
      </c>
      <c r="C387" s="11" t="n">
        <v>7</v>
      </c>
      <c r="D387" s="11" t="inlineStr">
        <is>
          <t>Click the 'hindi' tab in 'Notice text', read it, then click 'Approve' on the Hindi row.</t>
        </is>
      </c>
      <c r="E387" s="11" t="inlineStr">
        <is>
          <t>Toast 'hindi approved'. Both rows show 'Approved'; 'Approved' stat equals 2.</t>
        </is>
      </c>
      <c r="F387" s="16" t="n"/>
      <c r="G387" s="16" t="n"/>
    </row>
    <row r="388">
      <c r="A388" s="10" t="inlineStr">
        <is>
          <t>PRJ-11</t>
        </is>
      </c>
      <c r="B388" s="11" t="inlineStr">
        <is>
          <t>DPO composes the wording, adds a Hindi rendition and legally approves each language</t>
        </is>
      </c>
      <c r="C388" s="11" t="n">
        <v>8</v>
      </c>
      <c r="D388" s="11" t="inlineStr">
        <is>
          <t>Look at the 'Publication checklist'.</t>
        </is>
      </c>
      <c r="E388" s="11" t="inlineStr">
        <is>
          <t>It reads 'This notice is complete and ready to publish.' and shows a 'Publish this notice' button. Do NOT click it - publication happens with the project approval in PRJ-12.</t>
        </is>
      </c>
      <c r="F388" s="16" t="n"/>
      <c r="G388" s="16" t="n"/>
    </row>
    <row r="389">
      <c r="A389" s="10" t="inlineStr">
        <is>
          <t>PRJ-12</t>
        </is>
      </c>
      <c r="B389" s="11" t="inlineStr">
        <is>
          <t>DPO approves the project, which publishes and freezes its notice</t>
        </is>
      </c>
      <c r="C389" s="11" t="n">
        <v>1</v>
      </c>
      <c r="D389" s="11" t="inlineStr">
        <is>
          <t>Click the project name link at the top of the notice page ('UAT Study 01') to return to the project.</t>
        </is>
      </c>
      <c r="E389" s="11" t="inlineStr">
        <is>
          <t>The project page opens with status 'Pending Approval'.</t>
        </is>
      </c>
      <c r="F389" s="16" t="n"/>
      <c r="G389" s="16" t="n"/>
    </row>
    <row r="390">
      <c r="A390" s="10" t="inlineStr">
        <is>
          <t>PRJ-12</t>
        </is>
      </c>
      <c r="B390" s="11" t="inlineStr">
        <is>
          <t>DPO approves the project, which publishes and freezes its notice</t>
        </is>
      </c>
      <c r="C390" s="11" t="n">
        <v>2</v>
      </c>
      <c r="D390" s="11" t="inlineStr">
        <is>
          <t>Look at 'Moves the project to Approved' in 'What happens next'.</t>
        </is>
      </c>
      <c r="E390" s="11" t="inlineStr">
        <is>
          <t>No warning lines remain; the 'Approve project' button is active and the row carries the tag 'publishes the notice'.</t>
        </is>
      </c>
      <c r="F390" s="16" t="n"/>
      <c r="G390" s="16" t="n"/>
    </row>
    <row r="391">
      <c r="A391" s="10" t="inlineStr">
        <is>
          <t>PRJ-12</t>
        </is>
      </c>
      <c r="B391" s="11" t="inlineStr">
        <is>
          <t>DPO approves the project, which publishes and freezes its notice</t>
        </is>
      </c>
      <c r="C391" s="11" t="n">
        <v>3</v>
      </c>
      <c r="D391" s="11" t="inlineStr">
        <is>
          <t>Click 'Approve project'.</t>
        </is>
      </c>
      <c r="E391" s="11" t="inlineStr">
        <is>
          <t>A panel 'Approve project' opens with a yellow warning: 'This publishes the project's notice. Its text and hash are frozen at that moment and cannot be edited afterwards - a correction requires a new version...' and an optional 'Note (optional)' box.</t>
        </is>
      </c>
      <c r="F391" s="16" t="n"/>
      <c r="G391" s="16" t="n"/>
    </row>
    <row r="392">
      <c r="A392" s="10" t="inlineStr">
        <is>
          <t>PRJ-12</t>
        </is>
      </c>
      <c r="B392" s="11" t="inlineStr">
        <is>
          <t>DPO approves the project, which publishes and freezes its notice</t>
        </is>
      </c>
      <c r="C392" s="11" t="n">
        <v>4</v>
      </c>
      <c r="D392" s="11" t="inlineStr">
        <is>
          <t>Type the note and click 'Approve project' in the panel.</t>
        </is>
      </c>
      <c r="E392" s="11" t="inlineStr">
        <is>
          <t>Toast 'Moved to Approved' says 'The notice has been published and its text is now frozen.'</t>
        </is>
      </c>
      <c r="F392" s="16" t="n"/>
      <c r="G392" s="16" t="n"/>
    </row>
    <row r="393">
      <c r="A393" s="10" t="inlineStr">
        <is>
          <t>PRJ-12</t>
        </is>
      </c>
      <c r="B393" s="11" t="inlineStr">
        <is>
          <t>DPO approves the project, which publishes and freezes its notice</t>
        </is>
      </c>
      <c r="C393" s="11" t="n">
        <v>5</v>
      </c>
      <c r="D393" s="11" t="inlineStr">
        <is>
          <t>Check the page header and progress bar.</t>
        </is>
      </c>
      <c r="E393" s="11" t="inlineStr">
        <is>
          <t>Status badge 'Approved'; progress bar at the last step.</t>
        </is>
      </c>
      <c r="F393" s="16" t="n"/>
      <c r="G393" s="16" t="n"/>
    </row>
    <row r="394">
      <c r="A394" s="10" t="inlineStr">
        <is>
          <t>PRJ-12</t>
        </is>
      </c>
      <c r="B394" s="11" t="inlineStr">
        <is>
          <t>DPO approves the project, which publishes and freezes its notice</t>
        </is>
      </c>
      <c r="C394" s="11" t="n">
        <v>6</v>
      </c>
      <c r="D394" s="11" t="inlineStr">
        <is>
          <t>Click the 'Setup' tab and look at the 'Notices' card.</t>
        </is>
      </c>
      <c r="E394" s="11" t="inlineStr">
        <is>
          <t>'NTC-UAT-STUDY-01-2026 v1' shows the badge 'Published' and '· published &lt;date/time&gt;'.</t>
        </is>
      </c>
      <c r="F394" s="16" t="n"/>
      <c r="G394" s="16" t="n"/>
    </row>
    <row r="395">
      <c r="A395" s="10" t="inlineStr">
        <is>
          <t>PRJ-12</t>
        </is>
      </c>
      <c r="B395" s="11" t="inlineStr">
        <is>
          <t>DPO approves the project, which publishes and freezes its notice</t>
        </is>
      </c>
      <c r="C395" s="11" t="n">
        <v>7</v>
      </c>
      <c r="D395" s="11" t="inlineStr">
        <is>
          <t>Click the 'Activity' tab and look at the 'History' card.</t>
        </is>
      </c>
      <c r="E395" s="11" t="inlineStr">
        <is>
          <t>The newest entry is 'Pending Approval → Approved' by 'Priya Menon (Dpo)' with the note shown in quotes.</t>
        </is>
      </c>
      <c r="F395" s="16" t="n"/>
      <c r="G395" s="16" t="n"/>
    </row>
    <row r="396">
      <c r="A396" s="10" t="inlineStr">
        <is>
          <t>PRJ-12</t>
        </is>
      </c>
      <c r="B396" s="11" t="inlineStr">
        <is>
          <t>DPO approves the project, which publishes and freezes its notice</t>
        </is>
      </c>
      <c r="C396" s="11" t="n">
        <v>8</v>
      </c>
      <c r="D396" s="11" t="inlineStr">
        <is>
          <t>Click the 'Consent' tab.</t>
        </is>
      </c>
      <c r="E396" s="11" t="inlineStr">
        <is>
          <t>Above 'Collection sites' an info note reads 'Adding a site now is a material change: it adds a recipient to a published notice, so it requires a new notice version before collection starts there.'</t>
        </is>
      </c>
      <c r="F396" s="16" t="n"/>
      <c r="G396" s="16" t="n"/>
    </row>
    <row r="397">
      <c r="A397" s="10" t="inlineStr">
        <is>
          <t>PRJ-13</t>
        </is>
      </c>
      <c r="B397" s="11" t="inlineStr">
        <is>
          <t>A published notice is frozen - no edits, and an upload cannot replace it</t>
        </is>
      </c>
      <c r="C397" s="11" t="n">
        <v>1</v>
      </c>
      <c r="D397" s="11" t="inlineStr">
        <is>
          <t>As the DPO open 'Notices' in the sidebar and click 'NTC-UAT-STUDY-01-2026'.</t>
        </is>
      </c>
      <c r="E397" s="11" t="inlineStr">
        <is>
          <t>The notice page shows 'Published &lt;date&gt;. This text is frozen.' and the badge 'Published'.</t>
        </is>
      </c>
      <c r="F397" s="16" t="n"/>
      <c r="G397" s="16" t="n"/>
    </row>
    <row r="398">
      <c r="A398" s="10" t="inlineStr">
        <is>
          <t>PRJ-13</t>
        </is>
      </c>
      <c r="B398" s="11" t="inlineStr">
        <is>
          <t>A published notice is frozen - no edits, and an upload cannot replace it</t>
        </is>
      </c>
      <c r="C398" s="11" t="n">
        <v>2</v>
      </c>
      <c r="D398" s="11" t="inlineStr">
        <is>
          <t>Look for editing controls across the page.</t>
        </is>
      </c>
      <c r="E398" s="11" t="inlineStr">
        <is>
          <t>There is NO 'Edit' in the header, NO 'Edit English text', NO 'Manage', NO 'Activate', NO 'Customise for this notice', NO 'Add language' and NO 'Publish this notice'. The 'Publication checklist' card is not shown.</t>
        </is>
      </c>
      <c r="F398" s="16" t="n"/>
      <c r="G398" s="16" t="n"/>
    </row>
    <row r="399">
      <c r="A399" s="10" t="inlineStr">
        <is>
          <t>PRJ-13</t>
        </is>
      </c>
      <c r="B399" s="11" t="inlineStr">
        <is>
          <t>A published notice is frozen - no edits, and an upload cannot replace it</t>
        </is>
      </c>
      <c r="C399" s="11" t="n">
        <v>3</v>
      </c>
      <c r="D399" s="11" t="inlineStr">
        <is>
          <t>Read the info note in the right-hand column.</t>
        </is>
      </c>
      <c r="E399" s="11" t="inlineStr">
        <is>
          <t>'This notice is published. Its text and hashes are immutable — the database refuses an edit. To change anything, publish a new version.'</t>
        </is>
      </c>
      <c r="F399" s="16" t="n"/>
      <c r="G399" s="16" t="n"/>
    </row>
    <row r="400">
      <c r="A400" s="10" t="inlineStr">
        <is>
          <t>PRJ-13</t>
        </is>
      </c>
      <c r="B400" s="11" t="inlineStr">
        <is>
          <t>A published notice is frozen - no edits, and an upload cannot replace it</t>
        </is>
      </c>
      <c r="C400" s="11" t="n">
        <v>4</v>
      </c>
      <c r="D400" s="11" t="inlineStr">
        <is>
          <t>Look at 'Rule 3 elements' &gt; 'Recipients'.</t>
        </is>
      </c>
      <c r="E400" s="11" t="inlineStr">
        <is>
          <t>It shows the recipient text fixed at publication (no longer 'Generated from the project's sites at publication').</t>
        </is>
      </c>
      <c r="F400" s="16" t="n"/>
      <c r="G400" s="16" t="n"/>
    </row>
    <row r="401">
      <c r="A401" s="10" t="inlineStr">
        <is>
          <t>PRJ-13</t>
        </is>
      </c>
      <c r="B401" s="11" t="inlineStr">
        <is>
          <t>A published notice is frozen - no edits, and an upload cannot replace it</t>
        </is>
      </c>
      <c r="C401" s="11" t="n">
        <v>5</v>
      </c>
      <c r="D401" s="11" t="inlineStr">
        <is>
          <t>Sign out and sign in as rnd@cmp.local. Open project 'UAT Study 01', click the 'Setup' tab and click 'Upload a notice document' in the 'Notices' card.</t>
        </is>
      </c>
      <c r="E401" s="11" t="inlineStr">
        <is>
          <t>The 'Upload a notice document' dialog opens.</t>
        </is>
      </c>
      <c r="F401" s="16" t="n"/>
      <c r="G401" s="16" t="n"/>
    </row>
    <row r="402">
      <c r="A402" s="10" t="inlineStr">
        <is>
          <t>PRJ-13</t>
        </is>
      </c>
      <c r="B402" s="11" t="inlineStr">
        <is>
          <t>A published notice is frozen - no edits, and an upload cannot replace it</t>
        </is>
      </c>
      <c r="C402" s="11" t="n">
        <v>6</v>
      </c>
      <c r="D402" s="11" t="inlineStr">
        <is>
          <t>Choose the filled .docx and click 'Check the document'.</t>
        </is>
      </c>
      <c r="E402" s="11" t="inlineStr">
        <is>
          <t>A red message says 'This project already has the published notice NTC-UAT-STUDY-01-2026. Its text is hashed into every consent taken against it, so an upload cannot replace it - create a new version of the notice instead.' 'Create the notice' stays disabled.</t>
        </is>
      </c>
      <c r="F402" s="16" t="n"/>
      <c r="G402" s="16" t="n"/>
    </row>
    <row r="403">
      <c r="A403" s="10" t="inlineStr">
        <is>
          <t>PRJ-13</t>
        </is>
      </c>
      <c r="B403" s="11" t="inlineStr">
        <is>
          <t>A published notice is frozen - no edits, and an upload cannot replace it</t>
        </is>
      </c>
      <c r="C403" s="11" t="n">
        <v>7</v>
      </c>
      <c r="D403" s="11" t="inlineStr">
        <is>
          <t>Click 'Cancel'.</t>
        </is>
      </c>
      <c r="E403" s="11" t="inlineStr">
        <is>
          <t>The dialog closes; the Notices card still shows only v1 'Published'.</t>
        </is>
      </c>
      <c r="F403" s="16" t="n"/>
      <c r="G403" s="16" t="n"/>
    </row>
    <row r="404">
      <c r="A404" s="10" t="inlineStr">
        <is>
          <t>PRJ-14</t>
        </is>
      </c>
      <c r="B404" s="11" t="inlineStr">
        <is>
          <t>Third-party routing: DCO Admin registers the partner's collection site and it passes to the DCO</t>
        </is>
      </c>
      <c r="C404" s="11" t="n">
        <v>1</v>
      </c>
      <c r="D404" s="11" t="inlineStr">
        <is>
          <t>Click 'Projects' in the sidebar, set 'Status' to 'Approved' and open 'UAT Study 01'.</t>
        </is>
      </c>
      <c r="E404" s="11" t="inlineStr">
        <is>
          <t>The project is visible to the DCO Admin (it names a third-party processor). Status 'Approved'.</t>
        </is>
      </c>
      <c r="F404" s="16" t="n"/>
      <c r="G404" s="16" t="n"/>
    </row>
    <row r="405">
      <c r="A405" s="10" t="inlineStr">
        <is>
          <t>PRJ-14</t>
        </is>
      </c>
      <c r="B405" s="11" t="inlineStr">
        <is>
          <t>Third-party routing: DCO Admin registers the partner's collection site and it passes to the DCO</t>
        </is>
      </c>
      <c r="C405" s="11" t="n">
        <v>2</v>
      </c>
      <c r="D405" s="11" t="inlineStr">
        <is>
          <t>Click the 'Setup' tab and look at the 'Who is collecting' card.</t>
        </is>
      </c>
      <c r="E405" s="11" t="inlineStr">
        <is>
          <t>SEED shows 'approved', 'collected by a third party' and '· no collection set up yet'.</t>
        </is>
      </c>
      <c r="F405" s="16" t="n"/>
      <c r="G405" s="16" t="n"/>
    </row>
    <row r="406">
      <c r="A406" s="10" t="inlineStr">
        <is>
          <t>PRJ-14</t>
        </is>
      </c>
      <c r="B406" s="11" t="inlineStr">
        <is>
          <t>Third-party routing: DCO Admin registers the partner's collection site and it passes to the DCO</t>
        </is>
      </c>
      <c r="C406" s="11" t="n">
        <v>3</v>
      </c>
      <c r="D406" s="11" t="inlineStr">
        <is>
          <t>Click the 'Consent' tab, then 'Add site' in the 'Collection sites' card.</t>
        </is>
      </c>
      <c r="E406" s="11" t="inlineStr">
        <is>
          <t>A dialog 'Add a collection site' opens with a yellow note that the notice is already published and adding a site is a material change requiring a new notice version; fields 'Data source' and 'Location'. There is no site-name or processor field.</t>
        </is>
      </c>
      <c r="F406" s="16" t="n"/>
      <c r="G406" s="16" t="n"/>
    </row>
    <row r="407">
      <c r="A407" s="10" t="inlineStr">
        <is>
          <t>PRJ-14</t>
        </is>
      </c>
      <c r="B407" s="11" t="inlineStr">
        <is>
          <t>Third-party routing: DCO Admin registers the partner's collection site and it passes to the DCO</t>
        </is>
      </c>
      <c r="C407" s="11" t="n">
        <v>4</v>
      </c>
      <c r="D407" s="11" t="inlineStr">
        <is>
          <t>Open 'Data source'.</t>
        </is>
      </c>
      <c r="E407" s="11" t="inlineStr">
        <is>
          <t>Only sources under this project's processors (SEED, SRIB) are offered, each as '&lt;name&gt; · &lt;processor&gt; · &lt;owner or unowned&gt;'. Sources of other processors are not listed.</t>
        </is>
      </c>
      <c r="F407" s="16" t="n"/>
      <c r="G407" s="16" t="n"/>
    </row>
    <row r="408">
      <c r="A408" s="10" t="inlineStr">
        <is>
          <t>PRJ-14</t>
        </is>
      </c>
      <c r="B408" s="11" t="inlineStr">
        <is>
          <t>Third-party routing: DCO Admin registers the partner's collection site and it passes to the DCO</t>
        </is>
      </c>
      <c r="C408" s="11" t="n">
        <v>5</v>
      </c>
      <c r="D408" s="11" t="inlineStr">
        <is>
          <t>Choose 'CIT · SEED · Arun Shetty'.</t>
        </is>
      </c>
      <c r="E408" s="11" t="inlineStr">
        <is>
          <t>A blue note reads 'Arun Shetty owns SRC-SEED-CIT and will pick up this site.'</t>
        </is>
      </c>
      <c r="F408" s="16" t="n"/>
      <c r="G408" s="16" t="n"/>
    </row>
    <row r="409">
      <c r="A409" s="10" t="inlineStr">
        <is>
          <t>PRJ-14</t>
        </is>
      </c>
      <c r="B409" s="11" t="inlineStr">
        <is>
          <t>Third-party routing: DCO Admin registers the partner's collection site and it passes to the DCO</t>
        </is>
      </c>
      <c r="C409" s="11" t="n">
        <v>6</v>
      </c>
      <c r="D409" s="11" t="inlineStr">
        <is>
          <t>Type the Location and click 'Add collection site'.</t>
        </is>
      </c>
      <c r="E409" s="11" t="inlineStr">
        <is>
          <t>Toast 'Collection site added' says 'This adds a recipient the published notice does not name. A new notice version is required before collecting here.'</t>
        </is>
      </c>
      <c r="F409" s="16" t="n"/>
      <c r="G409" s="16" t="n"/>
    </row>
    <row r="410">
      <c r="A410" s="10" t="inlineStr">
        <is>
          <t>PRJ-14</t>
        </is>
      </c>
      <c r="B410" s="11" t="inlineStr">
        <is>
          <t>Third-party routing: DCO Admin registers the partner's collection site and it passes to the DCO</t>
        </is>
      </c>
      <c r="C410" s="11" t="n">
        <v>7</v>
      </c>
      <c r="D410" s="11" t="inlineStr">
        <is>
          <t>Look at the 'Collection sites' card.</t>
        </is>
      </c>
      <c r="E410" s="11" t="inlineStr">
        <is>
          <t>A row 'CIT' with 'CIT campus, Coimbatore · operated by SEED', owner line 'CIT · Arun Shetty' with a 'decides' tag, status 'Active', and the buttons 'Change source' and 'Who runs it'.</t>
        </is>
      </c>
      <c r="F410" s="16" t="n"/>
      <c r="G410" s="16" t="n"/>
    </row>
    <row r="411">
      <c r="A411" s="10" t="inlineStr">
        <is>
          <t>PRJ-14</t>
        </is>
      </c>
      <c r="B411" s="11" t="inlineStr">
        <is>
          <t>Third-party routing: DCO Admin registers the partner's collection site and it passes to the DCO</t>
        </is>
      </c>
      <c r="C411" s="11" t="n">
        <v>8</v>
      </c>
      <c r="D411" s="11" t="inlineStr">
        <is>
          <t>Look at 'Details' at the top right.</t>
        </is>
      </c>
      <c r="E411" s="11" t="inlineStr">
        <is>
          <t>'Data Collection Owner' now reads 'Arun Shetty'.</t>
        </is>
      </c>
      <c r="F411" s="16" t="n"/>
      <c r="G411" s="16" t="n"/>
    </row>
    <row r="412">
      <c r="A412" s="10" t="inlineStr">
        <is>
          <t>PRJ-14</t>
        </is>
      </c>
      <c r="B412" s="11" t="inlineStr">
        <is>
          <t>Third-party routing: DCO Admin registers the partner's collection site and it passes to the DCO</t>
        </is>
      </c>
      <c r="C412" s="11" t="n">
        <v>9</v>
      </c>
      <c r="D412" s="11" t="inlineStr">
        <is>
          <t>Click 'Who runs it' on the CIT row.</t>
        </is>
      </c>
      <c r="E412" s="11" t="inlineStr">
        <is>
          <t>A dialog 'Who runs CIT?' opens: 'Only on this project. The data source keeps its own owner.' It explains 'Arun Shetty owns SRC-SEED-CIT and runs this site by default... every other project collecting from it is untouched.' The field is labelled 'Data Collection Owner' with the default 'No exception — Arun Shetty runs it'. The 'Name them'/'Clear the exception' button is disabled until the choice changes.</t>
        </is>
      </c>
      <c r="F412" s="16" t="n"/>
      <c r="G412" s="16" t="n"/>
    </row>
    <row r="413">
      <c r="A413" s="10" t="inlineStr">
        <is>
          <t>PRJ-14</t>
        </is>
      </c>
      <c r="B413" s="11" t="inlineStr">
        <is>
          <t>Third-party routing: DCO Admin registers the partner's collection site and it passes to the DCO</t>
        </is>
      </c>
      <c r="C413" s="11" t="n">
        <v>10</v>
      </c>
      <c r="D413" s="11" t="inlineStr">
        <is>
          <t>Click 'Cancel'.</t>
        </is>
      </c>
      <c r="E413" s="11" t="inlineStr">
        <is>
          <t>The dialog closes with nothing changed.</t>
        </is>
      </c>
      <c r="F413" s="16" t="n"/>
      <c r="G413" s="16" t="n"/>
    </row>
    <row r="414">
      <c r="A414" s="10" t="inlineStr">
        <is>
          <t>PRJ-15</t>
        </is>
      </c>
      <c r="B414" s="11" t="inlineStr">
        <is>
          <t>In-house routing: the R&amp;D owner names the in-house source and the RCO sees only her site</t>
        </is>
      </c>
      <c r="C414" s="11" t="n">
        <v>1</v>
      </c>
      <c r="D414" s="11" t="inlineStr">
        <is>
          <t>As Kavya Rao open project 'UAT Study 01'.</t>
        </is>
      </c>
      <c r="E414" s="11" t="inlineStr">
        <is>
          <t>Status 'Approved'. 'What happens next' says 'There is nothing for your role to do at this stage.' In the 'Setup' tab, the 'Who is collecting' button now reads 'Request a collector'.</t>
        </is>
      </c>
      <c r="F414" s="16" t="n"/>
      <c r="G414" s="16" t="n"/>
    </row>
    <row r="415">
      <c r="A415" s="10" t="inlineStr">
        <is>
          <t>PRJ-15</t>
        </is>
      </c>
      <c r="B415" s="11" t="inlineStr">
        <is>
          <t>In-house routing: the R&amp;D owner names the in-house source and the RCO sees only her site</t>
        </is>
      </c>
      <c r="C415" s="11" t="n">
        <v>2</v>
      </c>
      <c r="D415" s="11" t="inlineStr">
        <is>
          <t>Click the 'Consent' tab, then 'Add site'.</t>
        </is>
      </c>
      <c r="E415" s="11" t="inlineStr">
        <is>
          <t>The 'Add a collection site' dialog opens with the material-change note.</t>
        </is>
      </c>
      <c r="F415" s="16" t="n"/>
      <c r="G415" s="16" t="n"/>
    </row>
    <row r="416">
      <c r="A416" s="10" t="inlineStr">
        <is>
          <t>PRJ-15</t>
        </is>
      </c>
      <c r="B416" s="11" t="inlineStr">
        <is>
          <t>In-house routing: the R&amp;D owner names the in-house source and the RCO sees only her site</t>
        </is>
      </c>
      <c r="C416" s="11" t="n">
        <v>3</v>
      </c>
      <c r="D416" s="11" t="inlineStr">
        <is>
          <t>Choose Data source 'SE · SRIB · Meera Iyer', enter the Location, and click 'Add collection site'.</t>
        </is>
      </c>
      <c r="E416" s="11" t="inlineStr">
        <is>
          <t>Before saving the note reads 'Meera Iyer owns SRC-SRIB-SE and will pick up this site.' After saving, toast 'Collection site added'.</t>
        </is>
      </c>
      <c r="F416" s="16" t="n"/>
      <c r="G416" s="16" t="n"/>
    </row>
    <row r="417">
      <c r="A417" s="10" t="inlineStr">
        <is>
          <t>PRJ-15</t>
        </is>
      </c>
      <c r="B417" s="11" t="inlineStr">
        <is>
          <t>In-house routing: the R&amp;D owner names the in-house source and the RCO sees only her site</t>
        </is>
      </c>
      <c r="C417" s="11" t="n">
        <v>4</v>
      </c>
      <c r="D417" s="11" t="inlineStr">
        <is>
          <t>Look at the new 'SE' row in 'Collection sites'.</t>
        </is>
      </c>
      <c r="E417" s="11" t="inlineStr">
        <is>
          <t>Owner line 'SE · Meera Iyer' with the tag 'in-house'; buttons 'Change source' and 'Who runs it' are available to the R&amp;D owner. There is NO 'Create link' button for the R&amp;D User.</t>
        </is>
      </c>
      <c r="F417" s="16" t="n"/>
      <c r="G417" s="16" t="n"/>
    </row>
    <row r="418">
      <c r="A418" s="10" t="inlineStr">
        <is>
          <t>PRJ-15</t>
        </is>
      </c>
      <c r="B418" s="11" t="inlineStr">
        <is>
          <t>In-house routing: the R&amp;D owner names the in-house source and the RCO sees only her site</t>
        </is>
      </c>
      <c r="C418" s="11" t="n">
        <v>5</v>
      </c>
      <c r="D418" s="11" t="inlineStr">
        <is>
          <t>Click 'Who runs it' on the SE row.</t>
        </is>
      </c>
      <c r="E418" s="11" t="inlineStr">
        <is>
          <t>Dialog 'Who runs SE?' opens; the field is labelled 'R&amp;D Collection Owner' and lists R&amp;D Collection Owners (e.g. Meera Iyer · rco@cmp.local), not Data Collection Owners. Click 'Cancel'.</t>
        </is>
      </c>
      <c r="F418" s="16" t="n"/>
      <c r="G418" s="16" t="n"/>
    </row>
    <row r="419">
      <c r="A419" s="10" t="inlineStr">
        <is>
          <t>PRJ-15</t>
        </is>
      </c>
      <c r="B419" s="11" t="inlineStr">
        <is>
          <t>In-house routing: the R&amp;D owner names the in-house source and the RCO sees only her site</t>
        </is>
      </c>
      <c r="C419" s="11" t="n">
        <v>6</v>
      </c>
      <c r="D419" s="11" t="inlineStr">
        <is>
          <t>Sign out, sign in as rco@cmp.local and click 'Collection sites' in the sidebar.</t>
        </is>
      </c>
      <c r="E419" s="11" t="inlineStr">
        <is>
          <t>The list includes 'SE' with project 'UAT Study 01', 'Operated by' SRIB. The 'CIT' site of UAT Study 01 is NOT listed.</t>
        </is>
      </c>
      <c r="F419" s="16" t="n"/>
      <c r="G419" s="16" t="n"/>
    </row>
    <row r="420">
      <c r="A420" s="10" t="inlineStr">
        <is>
          <t>PRJ-15</t>
        </is>
      </c>
      <c r="B420" s="11" t="inlineStr">
        <is>
          <t>In-house routing: the R&amp;D owner names the in-house source and the RCO sees only her site</t>
        </is>
      </c>
      <c r="C420" s="11" t="n">
        <v>7</v>
      </c>
      <c r="D420" s="11" t="inlineStr">
        <is>
          <t>Click 'UAT Study 01' on the SE row.</t>
        </is>
      </c>
      <c r="E420" s="11" t="inlineStr">
        <is>
          <t>The project page opens on its 'Consent' tab. In 'Collection sites', the SE row shows a 'Create link' button; Meera has no link control for CIT.</t>
        </is>
      </c>
      <c r="F420" s="16" t="n"/>
      <c r="G420" s="16" t="n"/>
    </row>
    <row r="421">
      <c r="A421" s="10" t="inlineStr">
        <is>
          <t>PRJ-16</t>
        </is>
      </c>
      <c r="B421" s="11" t="inlineStr">
        <is>
          <t>A correction after publication is made as a new notice version, which supersedes the old one</t>
        </is>
      </c>
      <c r="C421" s="11" t="n">
        <v>1</v>
      </c>
      <c r="D421" s="11" t="inlineStr">
        <is>
          <t>Open project 'UAT Study 01' and click 'New notice' (DPO only).</t>
        </is>
      </c>
      <c r="E421" s="11" t="inlineStr">
        <is>
          <t>Dialog 'New notice' opens: 'Every Rule 3 element is required before it can be published.' It says 'The notice code is generated for you' with a link 'Set the code myself'.</t>
        </is>
      </c>
      <c r="F421" s="16" t="n"/>
      <c r="G421" s="16" t="n"/>
    </row>
    <row r="422">
      <c r="A422" s="10" t="inlineStr">
        <is>
          <t>PRJ-16</t>
        </is>
      </c>
      <c r="B422" s="11" t="inlineStr">
        <is>
          <t>A correction after publication is made as a new notice version, which supersedes the old one</t>
        </is>
      </c>
      <c r="C422" s="11" t="n">
        <v>2</v>
      </c>
      <c r="D422" s="11" t="inlineStr">
        <is>
          <t>Click 'Set the code myself' and type NTC-UAT-STUDY-01-2026 in 'Notice code'. Fill 'DPO contact', 'Applies to', the three URLs, 'Language' and 'Notice text' from the test data. Click 'Create notice'.</t>
        </is>
      </c>
      <c r="E422" s="11" t="inlineStr">
        <is>
          <t>Toast 'Notice NTC-UAT-STUDY-01-2026 created' with 'Attach purposes, then approve the text and publish.' The Notices card lists 'NTC-UAT-STUDY-01-2026 v2' as 'Draft' and v1 as 'Published'.</t>
        </is>
      </c>
      <c r="F422" s="16" t="n"/>
      <c r="G422" s="16" t="n"/>
    </row>
    <row r="423">
      <c r="A423" s="10" t="inlineStr">
        <is>
          <t>PRJ-16</t>
        </is>
      </c>
      <c r="B423" s="11" t="inlineStr">
        <is>
          <t>A correction after publication is made as a new notice version, which supersedes the old one</t>
        </is>
      </c>
      <c r="C423" s="11" t="n">
        <v>3</v>
      </c>
      <c r="D423" s="11" t="inlineStr">
        <is>
          <t>Open v2. In 'Purposes' click 'Attach a purpose' (or 'Manage').</t>
        </is>
      </c>
      <c r="E423" s="11" t="inlineStr">
        <is>
          <t>Dialog 'Purposes on this notice' opens with 'Attach a purpose' (only active purposes listed), a 'Cannot be refused' tick box, and 'Attach'.</t>
        </is>
      </c>
      <c r="F423" s="16" t="n"/>
      <c r="G423" s="16" t="n"/>
    </row>
    <row r="424">
      <c r="A424" s="10" t="inlineStr">
        <is>
          <t>PRJ-16</t>
        </is>
      </c>
      <c r="B424" s="11" t="inlineStr">
        <is>
          <t>A correction after publication is made as a new notice version, which supersedes the old one</t>
        </is>
      </c>
      <c r="C424" s="11" t="n">
        <v>4</v>
      </c>
      <c r="D424" s="11" t="inlineStr">
        <is>
          <t>Attach each of the 9 purposes that v1 carries, one by one: choose it and click 'Attach'. The dialog stays open after each - there is no 'Done' button - so close it with the × at its top right when all 9 are attached.</t>
        </is>
      </c>
      <c r="E424" s="11" t="inlineStr">
        <is>
          <t>Toast 'Purpose attached' each time; the Purposes card lists 9 purposes, all 'Active'.</t>
        </is>
      </c>
      <c r="F424" s="16" t="n"/>
      <c r="G424" s="16" t="n"/>
    </row>
    <row r="425">
      <c r="A425" s="10" t="inlineStr">
        <is>
          <t>PRJ-16</t>
        </is>
      </c>
      <c r="B425" s="11" t="inlineStr">
        <is>
          <t>A correction after publication is made as a new notice version, which supersedes the old one</t>
        </is>
      </c>
      <c r="C425" s="11" t="n">
        <v>5</v>
      </c>
      <c r="D425" s="11" t="inlineStr">
        <is>
          <t>In 'Legal approval, per language' click 'Approve' on the English row.</t>
        </is>
      </c>
      <c r="E425" s="11" t="inlineStr">
        <is>
          <t>Toast 'english approved'. The checklist reads 'This notice is complete and ready to publish.' and the 'Sites' stat shows 2.</t>
        </is>
      </c>
      <c r="F425" s="16" t="n"/>
      <c r="G425" s="16" t="n"/>
    </row>
    <row r="426">
      <c r="A426" s="10" t="inlineStr">
        <is>
          <t>PRJ-16</t>
        </is>
      </c>
      <c r="B426" s="11" t="inlineStr">
        <is>
          <t>A correction after publication is made as a new notice version, which supersedes the old one</t>
        </is>
      </c>
      <c r="C426" s="11" t="n">
        <v>6</v>
      </c>
      <c r="D426" s="11" t="inlineStr">
        <is>
          <t>Click 'Publish this notice'.</t>
        </is>
      </c>
      <c r="E426" s="11" t="inlineStr">
        <is>
          <t>A box 'Publishing is not reversible' explains the text is hashed and frozen and the recipient list is generated from the project's active sites; buttons 'Publish and freeze' and 'Cancel'.</t>
        </is>
      </c>
      <c r="F426" s="16" t="n"/>
      <c r="G426" s="16" t="n"/>
    </row>
    <row r="427">
      <c r="A427" s="10" t="inlineStr">
        <is>
          <t>PRJ-16</t>
        </is>
      </c>
      <c r="B427" s="11" t="inlineStr">
        <is>
          <t>A correction after publication is made as a new notice version, which supersedes the old one</t>
        </is>
      </c>
      <c r="C427" s="11" t="n">
        <v>7</v>
      </c>
      <c r="D427" s="11" t="inlineStr">
        <is>
          <t>Click 'Publish and freeze'.</t>
        </is>
      </c>
      <c r="E427" s="11" t="inlineStr">
        <is>
          <t>Toast 'Notice published' says 'The text and its hash are frozen. Edits now require a new version.' Title 'NTC-UAT-STUDY-01-2026 · version 2', badge 'Published'; 'Recipients' now names CIT and SE.</t>
        </is>
      </c>
      <c r="F427" s="16" t="n"/>
      <c r="G427" s="16" t="n"/>
    </row>
    <row r="428">
      <c r="A428" s="10" t="inlineStr">
        <is>
          <t>PRJ-16</t>
        </is>
      </c>
      <c r="B428" s="11" t="inlineStr">
        <is>
          <t>A correction after publication is made as a new notice version, which supersedes the old one</t>
        </is>
      </c>
      <c r="C428" s="11" t="n">
        <v>8</v>
      </c>
      <c r="D428" s="11" t="inlineStr">
        <is>
          <t>Return to the project (breadcrumb 'UAT Study 01') and look at the 'Notices' card.</t>
        </is>
      </c>
      <c r="E428" s="11" t="inlineStr">
        <is>
          <t>v2 shows 'Published'; v1 shows 'Superseded' - only one notice on the project is ever 'Published'. Opening v1 still shows its original frozen text.</t>
        </is>
      </c>
      <c r="F428" s="16" t="n"/>
      <c r="G428" s="16" t="n"/>
    </row>
    <row r="429">
      <c r="A429" s="10" t="inlineStr">
        <is>
          <t>PRJ-17</t>
        </is>
      </c>
      <c r="B429" s="11" t="inlineStr">
        <is>
          <t>A consent link cannot be created without a future expiry</t>
        </is>
      </c>
      <c r="C429" s="11" t="n">
        <v>1</v>
      </c>
      <c r="D429" s="11" t="inlineStr">
        <is>
          <t>Click 'Collection sites' in the sidebar.</t>
        </is>
      </c>
      <c r="E429" s="11" t="inlineStr">
        <is>
          <t>The list shows 'CIT' for project 'UAT Study 01'. The 'SE' site of UAT Study 01 is NOT listed for the DCO.</t>
        </is>
      </c>
      <c r="F429" s="16" t="n"/>
      <c r="G429" s="16" t="n"/>
    </row>
    <row r="430">
      <c r="A430" s="10" t="inlineStr">
        <is>
          <t>PRJ-17</t>
        </is>
      </c>
      <c r="B430" s="11" t="inlineStr">
        <is>
          <t>A consent link cannot be created without a future expiry</t>
        </is>
      </c>
      <c r="C430" s="11" t="n">
        <v>2</v>
      </c>
      <c r="D430" s="11" t="inlineStr">
        <is>
          <t>Click 'UAT Study 01' on the CIT row.</t>
        </is>
      </c>
      <c r="E430" s="11" t="inlineStr">
        <is>
          <t>The project page opens on its 'Consent' tab. The CIT site row shows a 'Create link' button.</t>
        </is>
      </c>
      <c r="F430" s="16" t="n"/>
      <c r="G430" s="16" t="n"/>
    </row>
    <row r="431">
      <c r="A431" s="10" t="inlineStr">
        <is>
          <t>PRJ-17</t>
        </is>
      </c>
      <c r="B431" s="11" t="inlineStr">
        <is>
          <t>A consent link cannot be created without a future expiry</t>
        </is>
      </c>
      <c r="C431" s="11" t="n">
        <v>3</v>
      </c>
      <c r="D431" s="11" t="inlineStr">
        <is>
          <t>Click 'Create link'.</t>
        </is>
      </c>
      <c r="E431" s="11" t="inlineStr">
        <is>
          <t>Dialog 'Consent link for CIT' opens: 'The token is shown once and cannot be retrieved again.' Fields 'Expires at' (required; hint 'Required, with no default and no maximum...'), 'Maximum uses', 'Field agent reference'. 'Expires at' is empty - there is no default.</t>
        </is>
      </c>
      <c r="F431" s="16" t="n"/>
      <c r="G431" s="16" t="n"/>
    </row>
    <row r="432">
      <c r="A432" s="10" t="inlineStr">
        <is>
          <t>PRJ-17</t>
        </is>
      </c>
      <c r="B432" s="11" t="inlineStr">
        <is>
          <t>A consent link cannot be created without a future expiry</t>
        </is>
      </c>
      <c r="C432" s="11" t="n">
        <v>4</v>
      </c>
      <c r="D432" s="11" t="inlineStr">
        <is>
          <t>Leave 'Expires at' empty and click 'Create link'.</t>
        </is>
      </c>
      <c r="E432" s="11" t="inlineStr">
        <is>
          <t>The dialog stays open with 'The expiry is required' under 'Expires at'. No link is created.</t>
        </is>
      </c>
      <c r="F432" s="16" t="n"/>
      <c r="G432" s="16" t="n"/>
    </row>
    <row r="433">
      <c r="A433" s="10" t="inlineStr">
        <is>
          <t>PRJ-17</t>
        </is>
      </c>
      <c r="B433" s="11" t="inlineStr">
        <is>
          <t>A consent link cannot be created without a future expiry</t>
        </is>
      </c>
      <c r="C433" s="11" t="n">
        <v>5</v>
      </c>
      <c r="D433" s="11" t="inlineStr">
        <is>
          <t>Set 'Expires at' to yesterday and click 'Create link'.</t>
        </is>
      </c>
      <c r="E433" s="11" t="inlineStr">
        <is>
          <t>'The expiry has to be in the future' is shown. No link is created.</t>
        </is>
      </c>
      <c r="F433" s="16" t="n"/>
      <c r="G433" s="16" t="n"/>
    </row>
    <row r="434">
      <c r="A434" s="10" t="inlineStr">
        <is>
          <t>PRJ-17</t>
        </is>
      </c>
      <c r="B434" s="11" t="inlineStr">
        <is>
          <t>A consent link cannot be created without a future expiry</t>
        </is>
      </c>
      <c r="C434" s="11" t="n">
        <v>6</v>
      </c>
      <c r="D434" s="11" t="inlineStr">
        <is>
          <t>Set 'Expires at' to 7 days ahead, enter 0 in 'Maximum uses' and click 'Create link'.</t>
        </is>
      </c>
      <c r="E434" s="11" t="inlineStr">
        <is>
          <t>'A link that can be used zero times is not worth minting' is shown under 'Maximum uses'.</t>
        </is>
      </c>
      <c r="F434" s="16" t="n"/>
      <c r="G434" s="16" t="n"/>
    </row>
    <row r="435">
      <c r="A435" s="10" t="inlineStr">
        <is>
          <t>PRJ-17</t>
        </is>
      </c>
      <c r="B435" s="11" t="inlineStr">
        <is>
          <t>A consent link cannot be created without a future expiry</t>
        </is>
      </c>
      <c r="C435" s="11" t="n">
        <v>7</v>
      </c>
      <c r="D435" s="11" t="inlineStr">
        <is>
          <t>Click 'Cancel'.</t>
        </is>
      </c>
      <c r="E435" s="11" t="inlineStr">
        <is>
          <t>The dialog closes; the CIT row still shows 'Create link' and no active link count.</t>
        </is>
      </c>
      <c r="F435" s="16" t="n"/>
      <c r="G435" s="16" t="n"/>
    </row>
    <row r="436">
      <c r="A436" s="10" t="inlineStr">
        <is>
          <t>PRJ-18</t>
        </is>
      </c>
      <c r="B436" s="11" t="inlineStr">
        <is>
          <t>DCO creates a consent link for the site, copies it, and it opens on the portal</t>
        </is>
      </c>
      <c r="C436" s="11" t="n">
        <v>1</v>
      </c>
      <c r="D436" s="11" t="inlineStr">
        <is>
          <t>On project 'UAT Study 01' click the 'Consent' tab, then 'Create link' on the CIT row.</t>
        </is>
      </c>
      <c r="E436" s="11" t="inlineStr">
        <is>
          <t>Dialog 'Consent link for CIT' opens.</t>
        </is>
      </c>
      <c r="F436" s="16" t="n"/>
      <c r="G436" s="16" t="n"/>
    </row>
    <row r="437">
      <c r="A437" s="10" t="inlineStr">
        <is>
          <t>PRJ-18</t>
        </is>
      </c>
      <c r="B437" s="11" t="inlineStr">
        <is>
          <t>DCO creates a consent link for the site, copies it, and it opens on the portal</t>
        </is>
      </c>
      <c r="C437" s="11" t="n">
        <v>2</v>
      </c>
      <c r="D437" s="11" t="inlineStr">
        <is>
          <t>Fill in the test data and click 'Create link'.</t>
        </is>
      </c>
      <c r="E437" s="11" t="inlineStr">
        <is>
          <t>Toast 'Consent link created'. The dialog now shows a yellow box titled 'Copy this now' and the full URL.</t>
        </is>
      </c>
      <c r="F437" s="16" t="n"/>
      <c r="G437" s="16" t="n"/>
    </row>
    <row r="438">
      <c r="A438" s="10" t="inlineStr">
        <is>
          <t>PRJ-18</t>
        </is>
      </c>
      <c r="B438" s="11" t="inlineStr">
        <is>
          <t>DCO creates a consent link for the site, copies it, and it opens on the portal</t>
        </is>
      </c>
      <c r="C438" s="11" t="n">
        <v>3</v>
      </c>
      <c r="D438" s="11" t="inlineStr">
        <is>
          <t>Read the URL.</t>
        </is>
      </c>
      <c r="E438" s="11" t="inlineStr">
        <is>
          <t>It begins with the data-principal portal address http://localhost:3001/c/ followed by a long token - NOT http://localhost:3000.</t>
        </is>
      </c>
      <c r="F438" s="16" t="n"/>
      <c r="G438" s="16" t="n"/>
    </row>
    <row r="439">
      <c r="A439" s="10" t="inlineStr">
        <is>
          <t>PRJ-18</t>
        </is>
      </c>
      <c r="B439" s="11" t="inlineStr">
        <is>
          <t>DCO creates a consent link for the site, copies it, and it opens on the portal</t>
        </is>
      </c>
      <c r="C439" s="11" t="n">
        <v>4</v>
      </c>
      <c r="D439" s="11" t="inlineStr">
        <is>
          <t>Click 'Copy link'.</t>
        </is>
      </c>
      <c r="E439" s="11" t="inlineStr">
        <is>
          <t>The button changes to 'Copied' for a moment. Paste into a notepad to confirm the same URL.</t>
        </is>
      </c>
      <c r="F439" s="16" t="n"/>
      <c r="G439" s="16" t="n"/>
    </row>
    <row r="440">
      <c r="A440" s="10" t="inlineStr">
        <is>
          <t>PRJ-18</t>
        </is>
      </c>
      <c r="B440" s="11" t="inlineStr">
        <is>
          <t>DCO creates a consent link for the site, copies it, and it opens on the portal</t>
        </is>
      </c>
      <c r="C440" s="11" t="n">
        <v>5</v>
      </c>
      <c r="D440" s="11" t="inlineStr">
        <is>
          <t>Click 'Done'.</t>
        </is>
      </c>
      <c r="E440" s="11" t="inlineStr">
        <is>
          <t>The dialog closes. The CIT row now shows '1 active link(s)', 'Copy link' and 'Replace link' instead of 'Create link' (refresh the page if the count has not updated).</t>
        </is>
      </c>
      <c r="F440" s="16" t="n"/>
      <c r="G440" s="16" t="n"/>
    </row>
    <row r="441">
      <c r="A441" s="10" t="inlineStr">
        <is>
          <t>PRJ-18</t>
        </is>
      </c>
      <c r="B441" s="11" t="inlineStr">
        <is>
          <t>DCO creates a consent link for the site, copies it, and it opens on the portal</t>
        </is>
      </c>
      <c r="C441" s="11" t="n">
        <v>6</v>
      </c>
      <c r="D441" s="11" t="inlineStr">
        <is>
          <t>Look at the 'Consent links' card under 'Collection sites'.</t>
        </is>
      </c>
      <c r="E441" s="11" t="inlineStr">
        <is>
          <t>A row 'CIT' with the badge 'Active' and '0 of 50 used · expires &lt;date/time&gt;'.</t>
        </is>
      </c>
      <c r="F441" s="16" t="n"/>
      <c r="G441" s="16" t="n"/>
    </row>
    <row r="442">
      <c r="A442" s="10" t="inlineStr">
        <is>
          <t>PRJ-18</t>
        </is>
      </c>
      <c r="B442" s="11" t="inlineStr">
        <is>
          <t>DCO creates a consent link for the site, copies it, and it opens on the portal</t>
        </is>
      </c>
      <c r="C442" s="11" t="n">
        <v>7</v>
      </c>
      <c r="D442" s="11" t="inlineStr">
        <is>
          <t>Click 'Copy link' on the CIT row.</t>
        </is>
      </c>
      <c r="E442" s="11" t="inlineStr">
        <is>
          <t>It shows 'Copied'; the pasted URL is the same one you saved.</t>
        </is>
      </c>
      <c r="F442" s="16" t="n"/>
      <c r="G442" s="16" t="n"/>
    </row>
    <row r="443">
      <c r="A443" s="10" t="inlineStr">
        <is>
          <t>PRJ-18</t>
        </is>
      </c>
      <c r="B443" s="11" t="inlineStr">
        <is>
          <t>DCO creates a consent link for the site, copies it, and it opens on the portal</t>
        </is>
      </c>
      <c r="C443" s="11" t="n">
        <v>8</v>
      </c>
      <c r="D443" s="11" t="inlineStr">
        <is>
          <t>Open the saved URL in a private/incognito browser window.</t>
        </is>
      </c>
      <c r="E443" s="11" t="inlineStr">
        <is>
          <t>The portal opens a consent page with 'UAT Study 01' and 'CIT' in the top banner and the steps 'Your details', 'Confirm', 'The notice', 'Done', asking for a 'Mobile number'. Close the window without continuing.</t>
        </is>
      </c>
      <c r="F443" s="16" t="n"/>
      <c r="G443" s="16" t="n"/>
    </row>
    <row r="444">
      <c r="A444" s="10" t="inlineStr">
        <is>
          <t>PRJ-19</t>
        </is>
      </c>
      <c r="B444" s="11" t="inlineStr">
        <is>
          <t>DCO replaces a consent link; the old URL stops working and the new one works</t>
        </is>
      </c>
      <c r="C444" s="11" t="n">
        <v>1</v>
      </c>
      <c r="D444" s="11" t="inlineStr">
        <is>
          <t>Click 'Consent links' in the sidebar.</t>
        </is>
      </c>
      <c r="E444" s="11" t="inlineStr">
        <is>
          <t>Page 'Consent links' opens with the info box 'The link is a credential' and a table with Site, Project, Status, Uses, Registrations, Expires, Actions.</t>
        </is>
      </c>
      <c r="F444" s="16" t="n"/>
      <c r="G444" s="16" t="n"/>
    </row>
    <row r="445">
      <c r="A445" s="10" t="inlineStr">
        <is>
          <t>PRJ-19</t>
        </is>
      </c>
      <c r="B445" s="11" t="inlineStr">
        <is>
          <t>DCO replaces a consent link; the old URL stops working and the new one works</t>
        </is>
      </c>
      <c r="C445" s="11" t="n">
        <v>2</v>
      </c>
      <c r="D445" s="11" t="inlineStr">
        <is>
          <t>Set the 'Status' filter to 'Active' and find the CIT row for UAT Study 01.</t>
        </is>
      </c>
      <c r="E445" s="11" t="inlineStr">
        <is>
          <t>The row shows 'Active', 'Copy link', 'Replace' and 'Revoke'.</t>
        </is>
      </c>
      <c r="F445" s="16" t="n"/>
      <c r="G445" s="16" t="n"/>
    </row>
    <row r="446">
      <c r="A446" s="10" t="inlineStr">
        <is>
          <t>PRJ-19</t>
        </is>
      </c>
      <c r="B446" s="11" t="inlineStr">
        <is>
          <t>DCO replaces a consent link; the old URL stops working and the new one works</t>
        </is>
      </c>
      <c r="C446" s="11" t="n">
        <v>3</v>
      </c>
      <c r="D446" s="11" t="inlineStr">
        <is>
          <t>Click 'Replace' on that row.</t>
        </is>
      </c>
      <c r="E446" s="11" t="inlineStr">
        <is>
          <t>Dialog 'Replace the link for CIT?' opens: 'The old link stops working immediately. The new URL is shown once.', a yellow box 'This revokes the current link', Site/Expires/Uses, and 'The replacement inherits the same expiry and use limit...'. Buttons 'Cancel' and 'Revoke and replace'.</t>
        </is>
      </c>
      <c r="F446" s="16" t="n"/>
      <c r="G446" s="16" t="n"/>
    </row>
    <row r="447">
      <c r="A447" s="10" t="inlineStr">
        <is>
          <t>PRJ-19</t>
        </is>
      </c>
      <c r="B447" s="11" t="inlineStr">
        <is>
          <t>DCO replaces a consent link; the old URL stops working and the new one works</t>
        </is>
      </c>
      <c r="C447" s="11" t="n">
        <v>4</v>
      </c>
      <c r="D447" s="11" t="inlineStr">
        <is>
          <t>Click 'Revoke and replace'.</t>
        </is>
      </c>
      <c r="E447" s="11" t="inlineStr">
        <is>
          <t>The dialog changes to 'Copy this now' with a yellow box 'This is the only time you will see this' and the new URL (starting http://localhost:3001/c/).</t>
        </is>
      </c>
      <c r="F447" s="16" t="n"/>
      <c r="G447" s="16" t="n"/>
    </row>
    <row r="448">
      <c r="A448" s="10" t="inlineStr">
        <is>
          <t>PRJ-19</t>
        </is>
      </c>
      <c r="B448" s="11" t="inlineStr">
        <is>
          <t>DCO replaces a consent link; the old URL stops working and the new one works</t>
        </is>
      </c>
      <c r="C448" s="11" t="n">
        <v>5</v>
      </c>
      <c r="D448" s="11" t="inlineStr">
        <is>
          <t>Click 'Copy link', save it as 'new URL', then click 'I have copied it'.</t>
        </is>
      </c>
      <c r="E448" s="11" t="inlineStr">
        <is>
          <t>The dialog closes.</t>
        </is>
      </c>
      <c r="F448" s="16" t="n"/>
      <c r="G448" s="16" t="n"/>
    </row>
    <row r="449">
      <c r="A449" s="10" t="inlineStr">
        <is>
          <t>PRJ-19</t>
        </is>
      </c>
      <c r="B449" s="11" t="inlineStr">
        <is>
          <t>DCO replaces a consent link; the old URL stops working and the new one works</t>
        </is>
      </c>
      <c r="C449" s="11" t="n">
        <v>6</v>
      </c>
      <c r="D449" s="11" t="inlineStr">
        <is>
          <t>Set 'Status' to 'All statuses' and look at the CIT rows.</t>
        </is>
      </c>
      <c r="E449" s="11" t="inlineStr">
        <is>
          <t>The old link shows 'Revoked' (with 'New link' offered instead of Replace); a new link shows 'Active' with the same expiry and use limit.</t>
        </is>
      </c>
      <c r="F449" s="16" t="n"/>
      <c r="G449" s="16" t="n"/>
    </row>
    <row r="450">
      <c r="A450" s="10" t="inlineStr">
        <is>
          <t>PRJ-19</t>
        </is>
      </c>
      <c r="B450" s="11" t="inlineStr">
        <is>
          <t>DCO replaces a consent link; the old URL stops working and the new one works</t>
        </is>
      </c>
      <c r="C450" s="11" t="n">
        <v>7</v>
      </c>
      <c r="D450" s="11" t="inlineStr">
        <is>
          <t>Open the old URL in a private window.</t>
        </is>
      </c>
      <c r="E450" s="11" t="inlineStr">
        <is>
          <t>The portal shows 'This link is not valid' and 'It may have expired, been withdrawn, or been mistyped. Please ask the person who gave it to you for a current one.' No project or notice details are shown.</t>
        </is>
      </c>
      <c r="F450" s="16" t="n"/>
      <c r="G450" s="16" t="n"/>
    </row>
    <row r="451">
      <c r="A451" s="10" t="inlineStr">
        <is>
          <t>PRJ-19</t>
        </is>
      </c>
      <c r="B451" s="11" t="inlineStr">
        <is>
          <t>DCO replaces a consent link; the old URL stops working and the new one works</t>
        </is>
      </c>
      <c r="C451" s="11" t="n">
        <v>8</v>
      </c>
      <c r="D451" s="11" t="inlineStr">
        <is>
          <t>Open the new URL in a private window.</t>
        </is>
      </c>
      <c r="E451" s="11" t="inlineStr">
        <is>
          <t>The consent page for 'UAT Study 01' / 'CIT' opens at 'Your details'.</t>
        </is>
      </c>
      <c r="F451" s="16" t="n"/>
      <c r="G451" s="16" t="n"/>
    </row>
    <row r="452">
      <c r="A452" s="10" t="inlineStr">
        <is>
          <t>PRJ-20</t>
        </is>
      </c>
      <c r="B452" s="11" t="inlineStr">
        <is>
          <t>A revoked consent link shows 'This link is not valid' on the portal</t>
        </is>
      </c>
      <c r="C452" s="11" t="n">
        <v>1</v>
      </c>
      <c r="D452" s="11" t="inlineStr">
        <is>
          <t>Open 'Collection sites', click 'UAT Study 01' on the SE row, and click 'Create link' on SE.</t>
        </is>
      </c>
      <c r="E452" s="11" t="inlineStr">
        <is>
          <t>Dialog 'Consent link for SE' opens.</t>
        </is>
      </c>
      <c r="F452" s="16" t="n"/>
      <c r="G452" s="16" t="n"/>
    </row>
    <row r="453">
      <c r="A453" s="10" t="inlineStr">
        <is>
          <t>PRJ-20</t>
        </is>
      </c>
      <c r="B453" s="11" t="inlineStr">
        <is>
          <t>A revoked consent link shows 'This link is not valid' on the portal</t>
        </is>
      </c>
      <c r="C453" s="11" t="n">
        <v>2</v>
      </c>
      <c r="D453" s="11" t="inlineStr">
        <is>
          <t>Set 'Expires at' and click 'Create link'. Copy the URL, then click 'Done'.</t>
        </is>
      </c>
      <c r="E453" s="11" t="inlineStr">
        <is>
          <t>Toast 'Consent link created'; the URL starts http://localhost:3001/c/. The SE row shows 'Copy link' and 'Replace link'.</t>
        </is>
      </c>
      <c r="F453" s="16" t="n"/>
      <c r="G453" s="16" t="n"/>
    </row>
    <row r="454">
      <c r="A454" s="10" t="inlineStr">
        <is>
          <t>PRJ-20</t>
        </is>
      </c>
      <c r="B454" s="11" t="inlineStr">
        <is>
          <t>A revoked consent link shows 'This link is not valid' on the portal</t>
        </is>
      </c>
      <c r="C454" s="11" t="n">
        <v>3</v>
      </c>
      <c r="D454" s="11" t="inlineStr">
        <is>
          <t>Open the URL in a private window.</t>
        </is>
      </c>
      <c r="E454" s="11" t="inlineStr">
        <is>
          <t>The consent page for 'UAT Study 01' / 'SE' opens. Close it.</t>
        </is>
      </c>
      <c r="F454" s="16" t="n"/>
      <c r="G454" s="16" t="n"/>
    </row>
    <row r="455">
      <c r="A455" s="10" t="inlineStr">
        <is>
          <t>PRJ-20</t>
        </is>
      </c>
      <c r="B455" s="11" t="inlineStr">
        <is>
          <t>A revoked consent link shows 'This link is not valid' on the portal</t>
        </is>
      </c>
      <c r="C455" s="11" t="n">
        <v>4</v>
      </c>
      <c r="D455" s="11" t="inlineStr">
        <is>
          <t>Click 'Consent links' in the sidebar and find the SE row for UAT Study 01.</t>
        </is>
      </c>
      <c r="E455" s="11" t="inlineStr">
        <is>
          <t>The row shows 'Active' with 'Copy link', 'Replace' and 'Revoke'. Meera does not see the CIT link of UAT Study 01.</t>
        </is>
      </c>
      <c r="F455" s="16" t="n"/>
      <c r="G455" s="16" t="n"/>
    </row>
    <row r="456">
      <c r="A456" s="10" t="inlineStr">
        <is>
          <t>PRJ-20</t>
        </is>
      </c>
      <c r="B456" s="11" t="inlineStr">
        <is>
          <t>A revoked consent link shows 'This link is not valid' on the portal</t>
        </is>
      </c>
      <c r="C456" s="11" t="n">
        <v>5</v>
      </c>
      <c r="D456" s="11" t="inlineStr">
        <is>
          <t>Click 'Revoke'.</t>
        </is>
      </c>
      <c r="E456" s="11" t="inlineStr">
        <is>
          <t>Toast 'Link revoked' says 'SE no longer resolves for anyone holding it.' The status changes to 'Revoked'; 'Copy link', 'Replace' and 'Revoke' disappear and 'New link' is offered.</t>
        </is>
      </c>
      <c r="F456" s="16" t="n"/>
      <c r="G456" s="16" t="n"/>
    </row>
    <row r="457">
      <c r="A457" s="10" t="inlineStr">
        <is>
          <t>PRJ-20</t>
        </is>
      </c>
      <c r="B457" s="11" t="inlineStr">
        <is>
          <t>A revoked consent link shows 'This link is not valid' on the portal</t>
        </is>
      </c>
      <c r="C457" s="11" t="n">
        <v>6</v>
      </c>
      <c r="D457" s="11" t="inlineStr">
        <is>
          <t>Open the same URL again in a private window.</t>
        </is>
      </c>
      <c r="E457" s="11" t="inlineStr">
        <is>
          <t>The portal shows only 'This link is not valid' with 'It may have expired, been withdrawn, or been mistyped...'. It does not say the link was revoked and shows no project or notice.</t>
        </is>
      </c>
      <c r="F457" s="16" t="n"/>
      <c r="G457" s="16" t="n"/>
    </row>
    <row r="458">
      <c r="A458" s="10" t="inlineStr">
        <is>
          <t>PRJ-21</t>
        </is>
      </c>
      <c r="B458" s="11" t="inlineStr">
        <is>
          <t>An expired consent link shows 'This link is not valid' on the portal</t>
        </is>
      </c>
      <c r="C458" s="11" t="n">
        <v>1</v>
      </c>
      <c r="D458" s="11" t="inlineStr">
        <is>
          <t>On 'Consent links', click 'New link' on the revoked SE row.</t>
        </is>
      </c>
      <c r="E458" s="11" t="inlineStr">
        <is>
          <t>Dialog 'New link for SE' opens: 'The URL is shown once and then only its digest is kept. Copy it before closing.'</t>
        </is>
      </c>
      <c r="F458" s="16" t="n"/>
      <c r="G458" s="16" t="n"/>
    </row>
    <row r="459">
      <c r="A459" s="10" t="inlineStr">
        <is>
          <t>PRJ-21</t>
        </is>
      </c>
      <c r="B459" s="11" t="inlineStr">
        <is>
          <t>An expired consent link shows 'This link is not valid' on the portal</t>
        </is>
      </c>
      <c r="C459" s="11" t="n">
        <v>2</v>
      </c>
      <c r="D459" s="11" t="inlineStr">
        <is>
          <t>Set 'Expires at' to about 3 minutes from now and click 'Create link'.</t>
        </is>
      </c>
      <c r="E459" s="11" t="inlineStr">
        <is>
          <t>Toast 'Consent link created' and the URL is shown under 'Copy this now'.</t>
        </is>
      </c>
      <c r="F459" s="16" t="n"/>
      <c r="G459" s="16" t="n"/>
    </row>
    <row r="460">
      <c r="A460" s="10" t="inlineStr">
        <is>
          <t>PRJ-21</t>
        </is>
      </c>
      <c r="B460" s="11" t="inlineStr">
        <is>
          <t>An expired consent link shows 'This link is not valid' on the portal</t>
        </is>
      </c>
      <c r="C460" s="11" t="n">
        <v>3</v>
      </c>
      <c r="D460" s="11" t="inlineStr">
        <is>
          <t>Click 'Copy link', save the URL, click 'Done', and open the URL in a private window straight away.</t>
        </is>
      </c>
      <c r="E460" s="11" t="inlineStr">
        <is>
          <t>Before the expiry time, the consent page for 'UAT Study 01' / 'SE' opens. Close it.</t>
        </is>
      </c>
      <c r="F460" s="16" t="n"/>
      <c r="G460" s="16" t="n"/>
    </row>
    <row r="461">
      <c r="A461" s="10" t="inlineStr">
        <is>
          <t>PRJ-21</t>
        </is>
      </c>
      <c r="B461" s="11" t="inlineStr">
        <is>
          <t>An expired consent link shows 'This link is not valid' on the portal</t>
        </is>
      </c>
      <c r="C461" s="11" t="n">
        <v>4</v>
      </c>
      <c r="D461" s="11" t="inlineStr">
        <is>
          <t>Wait until the expiry time has passed (about 4 minutes), then open the same URL again.</t>
        </is>
      </c>
      <c r="E461" s="11" t="inlineStr">
        <is>
          <t>The portal shows 'This link is not valid' with 'It may have expired, been withdrawn, or been mistyped...'. It does not say it expired.</t>
        </is>
      </c>
      <c r="F461" s="16" t="n"/>
      <c r="G461" s="16" t="n"/>
    </row>
    <row r="462">
      <c r="A462" s="10" t="inlineStr">
        <is>
          <t>PRJ-21</t>
        </is>
      </c>
      <c r="B462" s="11" t="inlineStr">
        <is>
          <t>An expired consent link shows 'This link is not valid' on the portal</t>
        </is>
      </c>
      <c r="C462" s="11" t="n">
        <v>5</v>
      </c>
      <c r="D462" s="11" t="inlineStr">
        <is>
          <t>Back in the console, refresh 'Consent links'.</t>
        </is>
      </c>
      <c r="E462" s="11" t="inlineStr">
        <is>
          <t>The link row's 'Expires' time is in the past. Its status turns to 'Expired' when the platform's periodic clean-up runs (every 15 minutes where scheduled); until then it may still read 'Active' - that is not a failure, the portal already refuses it.</t>
        </is>
      </c>
      <c r="F462" s="16" t="n"/>
      <c r="G462" s="16" t="n"/>
    </row>
    <row r="463">
      <c r="A463" s="10" t="inlineStr">
        <is>
          <t>PRJ-22</t>
        </is>
      </c>
      <c r="B463" s="11" t="inlineStr">
        <is>
          <t>Publishing a replacement notice under a new code keeps one notice in force, and the consent links follow it</t>
        </is>
      </c>
      <c r="C463" s="11" t="n">
        <v>1</v>
      </c>
      <c r="D463" s="11" t="inlineStr">
        <is>
          <t>Open project 'UAT Study 01', click the 'Setup' tab and in the 'Notices' card click 'Copy an existing notice', choose 'NTC-GAIT-2026 v1 — Gait Identification Study 2026' and click 'Copy into this project'.</t>
        </is>
      </c>
      <c r="E463" s="11" t="inlineStr">
        <is>
          <t>A toast 'Copied into NTC-UAT-STUDY-01-2026-2' (the code may end differently) says it is a fresh draft. The 'Notices' card now lists it as 'Draft' beside v2 'Published'.</t>
        </is>
      </c>
      <c r="F463" s="16" t="n"/>
      <c r="G463" s="16" t="n"/>
    </row>
    <row r="464">
      <c r="A464" s="10" t="inlineStr">
        <is>
          <t>PRJ-22</t>
        </is>
      </c>
      <c r="B464" s="11" t="inlineStr">
        <is>
          <t>Publishing a replacement notice under a new code keeps one notice in force, and the consent links follow it</t>
        </is>
      </c>
      <c r="C464" s="11" t="n">
        <v>2</v>
      </c>
      <c r="D464" s="11" t="inlineStr">
        <is>
          <t>Open the new notice. In 'Legal approval, per language' click 'Approve' on each language row.</t>
        </is>
      </c>
      <c r="E464" s="11" t="inlineStr">
        <is>
          <t>Each row shows 'Approved'. The 'Publication checklist' reads 'This notice is complete and ready to publish.'</t>
        </is>
      </c>
      <c r="F464" s="16" t="n"/>
      <c r="G464" s="16" t="n"/>
    </row>
    <row r="465">
      <c r="A465" s="10" t="inlineStr">
        <is>
          <t>PRJ-22</t>
        </is>
      </c>
      <c r="B465" s="11" t="inlineStr">
        <is>
          <t>Publishing a replacement notice under a new code keeps one notice in force, and the consent links follow it</t>
        </is>
      </c>
      <c r="C465" s="11" t="n">
        <v>3</v>
      </c>
      <c r="D465" s="11" t="inlineStr">
        <is>
          <t>Click 'Publish this notice', then 'Publish and freeze'.</t>
        </is>
      </c>
      <c r="E465" s="11" t="inlineStr">
        <is>
          <t>Toast 'Notice published'. The notice's badge reads 'Published'.</t>
        </is>
      </c>
      <c r="F465" s="16" t="n"/>
      <c r="G465" s="16" t="n"/>
    </row>
    <row r="466">
      <c r="A466" s="10" t="inlineStr">
        <is>
          <t>PRJ-22</t>
        </is>
      </c>
      <c r="B466" s="11" t="inlineStr">
        <is>
          <t>Publishing a replacement notice under a new code keeps one notice in force, and the consent links follow it</t>
        </is>
      </c>
      <c r="C466" s="11" t="n">
        <v>4</v>
      </c>
      <c r="D466" s="11" t="inlineStr">
        <is>
          <t>Return to the project and look at the 'Notices' card.</t>
        </is>
      </c>
      <c r="E466" s="11" t="inlineStr">
        <is>
          <t>The new notice shows 'Published'. NTC-UAT-STUDY-01-2026 v2 now shows 'Superseded', and v1 'Superseded'. Only one notice on the project is 'Published'.</t>
        </is>
      </c>
      <c r="F466" s="16" t="n"/>
      <c r="G466" s="16" t="n"/>
    </row>
    <row r="467">
      <c r="A467" s="10" t="inlineStr">
        <is>
          <t>PRJ-22</t>
        </is>
      </c>
      <c r="B467" s="11" t="inlineStr">
        <is>
          <t>Publishing a replacement notice under a new code keeps one notice in force, and the consent links follow it</t>
        </is>
      </c>
      <c r="C467" s="11" t="n">
        <v>5</v>
      </c>
      <c r="D467" s="11" t="inlineStr">
        <is>
          <t>In a private window open the CIT 'new URL' saved in PRJ-19. Send a code to +91 90000 00001, type the relayed code and click 'Verify and continue'.</t>
        </is>
      </c>
      <c r="E467" s="11" t="inlineStr">
        <is>
          <t>The link still works - it is not 'This link is not valid'. The notice shown is the new one's wording (the Gait notice, starting 'NOTICE UNDER SECTION 5'), not v2's. Close the window without recording a choice.</t>
        </is>
      </c>
      <c r="F467" s="16" t="n"/>
      <c r="G467" s="16" t="n"/>
    </row>
    <row r="468">
      <c r="A468" s="10" t="inlineStr">
        <is>
          <t>PRJ-22</t>
        </is>
      </c>
      <c r="B468" s="11" t="inlineStr">
        <is>
          <t>Publishing a replacement notice under a new code keeps one notice in force, and the consent links follow it</t>
        </is>
      </c>
      <c r="C468" s="11" t="n">
        <v>6</v>
      </c>
      <c r="D468" s="11" t="inlineStr">
        <is>
          <t>Back in the console, on 'UAT Study 01' click 'New notice', then 'Set the code myself', type NTC-GAIT-2026 in 'Notice code', fill the other required fields and click 'Create notice'.</t>
        </is>
      </c>
      <c r="E468" s="11" t="inlineStr">
        <is>
          <t>The notice is not created. Under 'Notice code' a message reads 'NTC-GAIT-2026 is another project's notice code. Leave the code empty to have one generated, or use this project's own.' Close the dialog.</t>
        </is>
      </c>
      <c r="F468" s="16" t="n"/>
      <c r="G468" s="16" t="n"/>
    </row>
    <row r="469">
      <c r="A469" s="10" t="inlineStr">
        <is>
          <t>PRJ-23</t>
        </is>
      </c>
      <c r="B469" s="11" t="inlineStr">
        <is>
          <t>DPO writes a notice template before any project exists, finds it under Templates and edits it</t>
        </is>
      </c>
      <c r="C469" s="11" t="n">
        <v>1</v>
      </c>
      <c r="D469" s="11" t="inlineStr">
        <is>
          <t>Click 'Dashboard' in the sidebar and look at the buttons at the top right of the page.</t>
        </is>
      </c>
      <c r="E469" s="11" t="inlineStr">
        <is>
          <t>Two buttons: 'Log an incident' (highlighted) and beside it 'New notice template'.</t>
        </is>
      </c>
      <c r="F469" s="16" t="n"/>
      <c r="G469" s="16" t="n"/>
    </row>
    <row r="470">
      <c r="A470" s="10" t="inlineStr">
        <is>
          <t>PRJ-23</t>
        </is>
      </c>
      <c r="B470" s="11" t="inlineStr">
        <is>
          <t>DPO writes a notice template before any project exists, finds it under Templates and edits it</t>
        </is>
      </c>
      <c r="C470" s="11" t="n">
        <v>2</v>
      </c>
      <c r="D470" s="11" t="inlineStr">
        <is>
          <t>Click 'New notice template'.</t>
        </is>
      </c>
      <c r="E470" s="11" t="inlineStr">
        <is>
          <t>A dialog 'New notice template' opens: 'A notice written before any project exists. A project uses it by its ID, which makes that project's own draft notice from it.' Fields: 'Template name', 'DPO contact', 'Applies to' (showing 'Not decided yet'), 'Note for the collector', 'Withdraw consent URL', 'Exercise rights URL', 'Board complaint URL', then 'Language' (showing 'English') and 'Notice text'. Buttons 'Cancel' and 'Create template'. There is no project field and no notice-code field.</t>
        </is>
      </c>
      <c r="F470" s="16" t="n"/>
      <c r="G470" s="16" t="n"/>
    </row>
    <row r="471">
      <c r="A471" s="10" t="inlineStr">
        <is>
          <t>PRJ-23</t>
        </is>
      </c>
      <c r="B471" s="11" t="inlineStr">
        <is>
          <t>DPO writes a notice template before any project exists, finds it under Templates and edits it</t>
        </is>
      </c>
      <c r="C471" s="11" t="n">
        <v>3</v>
      </c>
      <c r="D471" s="11" t="inlineStr">
        <is>
          <t>Fill every field from the test data (choose 'Data subjects — people outside the organisation' in 'Applies to', leave 'Language' on 'English' and paste the English text) and click 'Create template'.</t>
        </is>
      </c>
      <c r="E471" s="11" t="inlineStr">
        <is>
          <t>The dialog closes and a green toast 'Template TPL-&lt;number&gt; created' says 'Add its purposes and languages, then give the ID to the study's R&amp;D User.' The template's own page opens: small heading 'Notice template', title 'UAT Gait template 01', the badge 'Active' and the buttons 'Edit details' and 'Retire'.</t>
        </is>
      </c>
      <c r="F471" s="16" t="n"/>
      <c r="G471" s="16" t="n"/>
    </row>
    <row r="472">
      <c r="A472" s="10" t="inlineStr">
        <is>
          <t>PRJ-23</t>
        </is>
      </c>
      <c r="B472" s="11" t="inlineStr">
        <is>
          <t>DPO writes a notice template before any project exists, finds it under Templates and edits it</t>
        </is>
      </c>
      <c r="C472" s="11" t="n">
        <v>4</v>
      </c>
      <c r="D472" s="11" t="inlineStr">
        <is>
          <t>Read the 'Template ID' card at the top, then click 'Copy ID'.</t>
        </is>
      </c>
      <c r="E472" s="11" t="inlineStr">
        <is>
          <t>It shows the ID in large type (TPL- and four digits) with 'Give this to the study's R&amp;D User. On their project they choose Use a notice template and enter it; the project gets its own draft notice from it, to approve and publish.' After 'Copy ID' a toast '&lt;ID&gt; copied' appears. Write the ID down.</t>
        </is>
      </c>
      <c r="F472" s="16" t="n"/>
      <c r="G472" s="16" t="n"/>
    </row>
    <row r="473">
      <c r="A473" s="10" t="inlineStr">
        <is>
          <t>PRJ-23</t>
        </is>
      </c>
      <c r="B473" s="11" t="inlineStr">
        <is>
          <t>DPO writes a notice template before any project exists, finds it under Templates and edits it</t>
        </is>
      </c>
      <c r="C473" s="11" t="n">
        <v>5</v>
      </c>
      <c r="D473" s="11" t="inlineStr">
        <is>
          <t>Read the 'Details' card.</t>
        </is>
      </c>
      <c r="E473" s="11" t="inlineStr">
        <is>
          <t>'Written by Priya Menon on &lt;date and time&gt; · last changed &lt;date and time&gt;', and the values you typed under 'Applies to', 'DPO contact', 'Withdraw consent', 'Exercise rights', 'Board complaint' and 'Note for the collector'.</t>
        </is>
      </c>
      <c r="F473" s="16" t="n"/>
      <c r="G473" s="16" t="n"/>
    </row>
    <row r="474">
      <c r="A474" s="10" t="inlineStr">
        <is>
          <t>PRJ-23</t>
        </is>
      </c>
      <c r="B474" s="11" t="inlineStr">
        <is>
          <t>DPO writes a notice template before any project exists, finds it under Templates and edits it</t>
        </is>
      </c>
      <c r="C474" s="11" t="n">
        <v>6</v>
      </c>
      <c r="D474" s="11" t="inlineStr">
        <is>
          <t>In the 'Purposes · 0' card ('No purposes yet.'), open 'Add a purpose', choose 'Gait model training (PUR-GAIT-TRAIN)', tick 'Mandatory' and click 'Add'.</t>
        </is>
      </c>
      <c r="E474" s="11" t="inlineStr">
        <is>
          <t>'Add' is greyed out until a purpose is chosen. After it, the card title reads 'Purposes · 1' and lists 'Gait model training PUR-GAIT-TRAIN' with 'Mandatory' and its data categories. A draft purpose would be offered too, ending ' - draft'.</t>
        </is>
      </c>
      <c r="F474" s="16" t="n"/>
      <c r="G474" s="16" t="n"/>
    </row>
    <row r="475">
      <c r="A475" s="10" t="inlineStr">
        <is>
          <t>PRJ-23</t>
        </is>
      </c>
      <c r="B475" s="11" t="inlineStr">
        <is>
          <t>DPO writes a notice template before any project exists, finds it under Templates and edits it</t>
        </is>
      </c>
      <c r="C475" s="11" t="n">
        <v>7</v>
      </c>
      <c r="D475" s="11" t="inlineStr">
        <is>
          <t>Choose 'Recording quality assurance (PUR-QUALITY)', leave 'Mandatory' unticked and click 'Add'.</t>
        </is>
      </c>
      <c r="E475" s="11" t="inlineStr">
        <is>
          <t>'Purposes · 2'; the new line reads 'Optional'. 'Gait model training' is no longer offered in 'Add a purpose'.</t>
        </is>
      </c>
      <c r="F475" s="16" t="n"/>
      <c r="G475" s="16" t="n"/>
    </row>
    <row r="476">
      <c r="A476" s="10" t="inlineStr">
        <is>
          <t>PRJ-23</t>
        </is>
      </c>
      <c r="B476" s="11" t="inlineStr">
        <is>
          <t>DPO writes a notice template before any project exists, finds it under Templates and edits it</t>
        </is>
      </c>
      <c r="C476" s="11" t="n">
        <v>8</v>
      </c>
      <c r="D476" s="11" t="inlineStr">
        <is>
          <t>In the 'Text · 1 language' card (one row 'English' with 'Priya Menon · &lt;time&gt;', 'Edit' and a bin icon), click 'Add a language'.</t>
        </is>
      </c>
      <c r="E476" s="11" t="inlineStr">
        <is>
          <t>A dialog 'Add a language' opens with 'Language' (English is not offered, it is already there) and 'Notice text'. 'Save text' is greyed out until text is typed.</t>
        </is>
      </c>
      <c r="F476" s="16" t="n"/>
      <c r="G476" s="16" t="n"/>
    </row>
    <row r="477">
      <c r="A477" s="10" t="inlineStr">
        <is>
          <t>PRJ-23</t>
        </is>
      </c>
      <c r="B477" s="11" t="inlineStr">
        <is>
          <t>DPO writes a notice template before any project exists, finds it under Templates and edits it</t>
        </is>
      </c>
      <c r="C477" s="11" t="n">
        <v>9</v>
      </c>
      <c r="D477" s="11" t="inlineStr">
        <is>
          <t>Choose 'Hindi', paste the Hindi text and click 'Save text'.</t>
        </is>
      </c>
      <c r="E477" s="11" t="inlineStr">
        <is>
          <t>A toast 'Text saved'. The card reads 'Text · 2 languages' with rows 'English' and 'Hindi'. Nothing on the page asks for a legal approval: that is given on each project's notice made from the template.</t>
        </is>
      </c>
      <c r="F477" s="16" t="n"/>
      <c r="G477" s="16" t="n"/>
    </row>
    <row r="478">
      <c r="A478" s="10" t="inlineStr">
        <is>
          <t>PRJ-23</t>
        </is>
      </c>
      <c r="B478" s="11" t="inlineStr">
        <is>
          <t>DPO writes a notice template before any project exists, finds it under Templates and edits it</t>
        </is>
      </c>
      <c r="C478" s="11" t="n">
        <v>10</v>
      </c>
      <c r="D478" s="11" t="inlineStr">
        <is>
          <t>Click 'Notice templates' at the top of the page.</t>
        </is>
      </c>
      <c r="E478" s="11" t="inlineStr">
        <is>
          <t>The 'Notices' page opens on its 'Templates' tab (beside 'Project notices'), with a blue note 'Write a notice here before the project exists...', 'Search' ('ID or name'), a 'Status' filter on 'Active', and a table ID, Name, Status, Purposes, Languages, Used by, Updated. Your template's row reads 'UAT Gait template 01', 'Active', 2, 2, '0 projects'. 'New notice template' is at the top right; click 'Project notices' and it is still there.</t>
        </is>
      </c>
      <c r="F478" s="16" t="n"/>
      <c r="G478" s="16" t="n"/>
    </row>
    <row r="479">
      <c r="A479" s="10" t="inlineStr">
        <is>
          <t>PRJ-23</t>
        </is>
      </c>
      <c r="B479" s="11" t="inlineStr">
        <is>
          <t>DPO writes a notice template before any project exists, finds it under Templates and edits it</t>
        </is>
      </c>
      <c r="C479" s="11" t="n">
        <v>11</v>
      </c>
      <c r="D479" s="11" t="inlineStr">
        <is>
          <t>Click 'Templates', then your template's ID. Click 'Edit details', change 'Template name' to 'UAT Gait template 01 (adults)' and click 'Save changes'.</t>
        </is>
      </c>
      <c r="E479" s="11" t="inlineStr">
        <is>
          <t>A dialog 'Edit the template' opens with the same fields except 'Language' and 'Notice text' (those are edited on the page). After saving, the toast 'Template saved' appears and the title reads 'UAT Gait template 01 (adults)'; 'last changed' shows the new time. Purposes and text are unchanged.</t>
        </is>
      </c>
      <c r="F479" s="16" t="n"/>
      <c r="G479" s="16" t="n"/>
    </row>
    <row r="480">
      <c r="A480" s="10" t="inlineStr">
        <is>
          <t>PRJ-24</t>
        </is>
      </c>
      <c r="B480" s="11" t="inlineStr">
        <is>
          <t>R&amp;D User makes a new project's draft notice from a template with 'Use a notice template'</t>
        </is>
      </c>
      <c r="C480" s="11" t="n">
        <v>1</v>
      </c>
      <c r="D480" s="11" t="inlineStr">
        <is>
          <t>On the 'Dashboard' click 'Register a project' at the top right (the R&amp;D User's only button there). Enter the name and description, tick 'SEED' and click 'Register project'.</t>
        </is>
      </c>
      <c r="E480" s="11" t="inlineStr">
        <is>
          <t>The same 'Register a project' dialog as on the Projects page. A toast 'Project registered' appears and the 'UAT Study 03' page opens straight away with status 'In Draft'.</t>
        </is>
      </c>
      <c r="F480" s="16" t="n"/>
      <c r="G480" s="16" t="n"/>
    </row>
    <row r="481">
      <c r="A481" s="10" t="inlineStr">
        <is>
          <t>PRJ-24</t>
        </is>
      </c>
      <c r="B481" s="11" t="inlineStr">
        <is>
          <t>R&amp;D User makes a new project's draft notice from a template with 'Use a notice template'</t>
        </is>
      </c>
      <c r="C481" s="11" t="n">
        <v>2</v>
      </c>
      <c r="D481" s="11" t="inlineStr">
        <is>
          <t>Click the 'Setup' tab. In the 'Notices' card ('No notice yet') click 'Use a notice template'.</t>
        </is>
      </c>
      <c r="E481" s="11" t="inlineStr">
        <is>
          <t>The card offers 'Upload a notice document', 'Copy an existing notice' and 'Use a notice template'. A dialog 'Use a notice template' opens: 'A notice the Privacy Office wrote ahead of the project. Enter the ID they gave you.' with 'Template ID' (hint 'The ID the Privacy Office gave you, like TPL-0007.'), 'Look up', 'Cancel' and a greyed-out 'Make this project's notice from it'.</t>
        </is>
      </c>
      <c r="F481" s="16" t="n"/>
      <c r="G481" s="16" t="n"/>
    </row>
    <row r="482">
      <c r="A482" s="10" t="inlineStr">
        <is>
          <t>PRJ-24</t>
        </is>
      </c>
      <c r="B482" s="11" t="inlineStr">
        <is>
          <t>R&amp;D User makes a new project's draft notice from a template with 'Use a notice template'</t>
        </is>
      </c>
      <c r="C482" s="11" t="n">
        <v>3</v>
      </c>
      <c r="D482" s="11" t="inlineStr">
        <is>
          <t>Type TPL-9999 in 'Template ID' and click 'Look up'.</t>
        </is>
      </c>
      <c r="E482" s="11" t="inlineStr">
        <is>
          <t>A yellow box: 'There is no template TPL-9999. Check the ID with the Privacy Office.' 'Make this project's notice from it' stays greyed out.</t>
        </is>
      </c>
      <c r="F482" s="16" t="n"/>
      <c r="G482" s="16" t="n"/>
    </row>
    <row r="483">
      <c r="A483" s="10" t="inlineStr">
        <is>
          <t>PRJ-24</t>
        </is>
      </c>
      <c r="B483" s="11" t="inlineStr">
        <is>
          <t>R&amp;D User makes a new project's draft notice from a template with 'Use a notice template'</t>
        </is>
      </c>
      <c r="C483" s="11" t="n">
        <v>4</v>
      </c>
      <c r="D483" s="11" t="inlineStr">
        <is>
          <t>Clear the box, type the PRJ-23 ID in lower case and click 'Look up'.</t>
        </is>
      </c>
      <c r="E483" s="11" t="inlineStr">
        <is>
          <t>It is shown in capitals and found. A box shows '&lt;ID&gt; · UAT Gait template 01 (adults)', 'For Data subjects — people outside the organisation · 2 languages (english, hindi)', and the purposes 'Gait model training · mandatory' and 'Recording quality assurance · optional'. Below: 'This project gets its own draft notice: the wording, the purposes and every language are copied, under the project's own notice code. Nothing is approved yet, and a later change to the template does not reach it.' The 'Make this project's notice from it' button is now clickable.</t>
        </is>
      </c>
      <c r="F483" s="16" t="n"/>
      <c r="G483" s="16" t="n"/>
    </row>
    <row r="484">
      <c r="A484" s="10" t="inlineStr">
        <is>
          <t>PRJ-24</t>
        </is>
      </c>
      <c r="B484" s="11" t="inlineStr">
        <is>
          <t>R&amp;D User makes a new project's draft notice from a template with 'Use a notice template'</t>
        </is>
      </c>
      <c r="C484" s="11" t="n">
        <v>5</v>
      </c>
      <c r="D484" s="11" t="inlineStr">
        <is>
          <t>Click 'Make this project's notice from it'.</t>
        </is>
      </c>
      <c r="E484" s="11" t="inlineStr">
        <is>
          <t>A toast 'NTC-UAT-STUDY-03-2026 made from &lt;ID&gt;' says 'A draft. Approve each language, then publish it.' The notice page opens: 'NTC-UAT-STUDY-03-2026 · version 1', badge 'Draft'.</t>
        </is>
      </c>
      <c r="F484" s="16" t="n"/>
      <c r="G484" s="16" t="n"/>
    </row>
    <row r="485">
      <c r="A485" s="10" t="inlineStr">
        <is>
          <t>PRJ-24</t>
        </is>
      </c>
      <c r="B485" s="11" t="inlineStr">
        <is>
          <t>R&amp;D User makes a new project's draft notice from a template with 'Use a notice template'</t>
        </is>
      </c>
      <c r="C485" s="11" t="n">
        <v>6</v>
      </c>
      <c r="D485" s="11" t="inlineStr">
        <is>
          <t>Read the 'Rule 3 elements' card.</t>
        </is>
      </c>
      <c r="E485" s="11" t="inlineStr">
        <is>
          <t>'Withdraw consent', 'Exercise rights', 'Board complaint' and 'DPO contact' show the template's values. A line 'Made from' reads 'Template &lt;ID&gt;' with 'A copy: later changes to the template do not reach this notice.'</t>
        </is>
      </c>
      <c r="F485" s="16" t="n"/>
      <c r="G485" s="16" t="n"/>
    </row>
    <row r="486">
      <c r="A486" s="10" t="inlineStr">
        <is>
          <t>PRJ-24</t>
        </is>
      </c>
      <c r="B486" s="11" t="inlineStr">
        <is>
          <t>R&amp;D User makes a new project's draft notice from a template with 'Use a notice template'</t>
        </is>
      </c>
      <c r="C486" s="11" t="n">
        <v>7</v>
      </c>
      <c r="D486" s="11" t="inlineStr">
        <is>
          <t>Look at the 'Purposes', 'Legal approval, per language' and 'Publication checklist' cards.</t>
        </is>
      </c>
      <c r="E486" s="11" t="inlineStr">
        <is>
          <t>Purposes: 'Gait model training' and 'Recording quality assurance', both 'Active'. Legal approval: English and Hindi rows, each 'Not legally approved'. The checklist lists 'the english text is not legally approved' and 'the hindi text is not legally approved'. As for any draft, there is NO 'Approve' and NO 'Publish this notice' for the R&amp;D User.</t>
        </is>
      </c>
      <c r="F486" s="16" t="n"/>
      <c r="G486" s="16" t="n"/>
    </row>
    <row r="487">
      <c r="A487" s="10" t="inlineStr">
        <is>
          <t>PRJ-24</t>
        </is>
      </c>
      <c r="B487" s="11" t="inlineStr">
        <is>
          <t>R&amp;D User makes a new project's draft notice from a template with 'Use a notice template'</t>
        </is>
      </c>
      <c r="C487" s="11" t="n">
        <v>8</v>
      </c>
      <c r="D487" s="11" t="inlineStr">
        <is>
          <t>Click 'UAT Study 03' at the top of the notice page to return to the project, open the 'Setup' tab and look at the 'Notices' card and 'What happens next'.</t>
        </is>
      </c>
      <c r="E487" s="11" t="inlineStr">
        <is>
          <t>The card lists 'NTC-UAT-STUDY-03-2026 v1' with '2 purposes · 2 language(s)' and 'Draft'. Under 'Moves the project to Pending Approval' the notice lines are gone; only 'No approval with a proof file' remains. From here the project goes on as in PRJ-08 to PRJ-12.</t>
        </is>
      </c>
      <c r="F487" s="16" t="n"/>
      <c r="G487" s="16" t="n"/>
    </row>
    <row r="488">
      <c r="A488" s="10" t="inlineStr">
        <is>
          <t>PRJ-24</t>
        </is>
      </c>
      <c r="B488" s="11" t="inlineStr">
        <is>
          <t>R&amp;D User makes a new project's draft notice from a template with 'Use a notice template'</t>
        </is>
      </c>
      <c r="C488" s="11" t="n">
        <v>9</v>
      </c>
      <c r="D488" s="11" t="inlineStr">
        <is>
          <t>Sign out and sign in as dpo@cmp.local. Click 'Notices', then the 'Templates' tab, and open the template.</t>
        </is>
      </c>
      <c r="E488" s="11" t="inlineStr">
        <is>
          <t>The list row now says '1 project' under 'Used by'. On the template page 'Used by · 1' lists 'NTC-UAT-STUDY-03-2026 v1', 'UAT Study 03' and 'Draft'. The template itself is unchanged: badge 'Active', 'Purposes · 2', 'Text · 2 languages'.</t>
        </is>
      </c>
      <c r="F488" s="16" t="n"/>
      <c r="G488" s="16" t="n"/>
    </row>
    <row r="489">
      <c r="A489" s="10" t="inlineStr">
        <is>
          <t>PRJ-24</t>
        </is>
      </c>
      <c r="B489" s="11" t="inlineStr">
        <is>
          <t>R&amp;D User makes a new project's draft notice from a template with 'Use a notice template'</t>
        </is>
      </c>
      <c r="C489" s="11" t="n">
        <v>10</v>
      </c>
      <c r="D489" s="11" t="inlineStr">
        <is>
          <t>Click 'Edit details' and read the top of the dialog, then click 'Cancel'.</t>
        </is>
      </c>
      <c r="E489" s="11" t="inlineStr">
        <is>
          <t>A blue note: '1 project notice was made from this template. They are copies and keep what they were made with; changes here reach only notices made from now on.'</t>
        </is>
      </c>
      <c r="F489" s="16" t="n"/>
      <c r="G489" s="16" t="n"/>
    </row>
    <row r="490">
      <c r="A490" s="10" t="inlineStr">
        <is>
          <t>PRJ-24</t>
        </is>
      </c>
      <c r="B490" s="11" t="inlineStr">
        <is>
          <t>R&amp;D User makes a new project's draft notice from a template with 'Use a notice template'</t>
        </is>
      </c>
      <c r="C490" s="11" t="n">
        <v>11</v>
      </c>
      <c r="D490" s="11" t="inlineStr">
        <is>
          <t>In 'Text · 2 languages' click 'Edit' on the 'English' row. In 'Edit the text' add the sentence from the test data at the end and click 'Save text'.</t>
        </is>
      </c>
      <c r="E490" s="11" t="inlineStr">
        <is>
          <t>A toast 'Text saved'; the template's English text now ends with the new sentence.</t>
        </is>
      </c>
      <c r="F490" s="16" t="n"/>
      <c r="G490" s="16" t="n"/>
    </row>
    <row r="491">
      <c r="A491" s="10" t="inlineStr">
        <is>
          <t>PRJ-24</t>
        </is>
      </c>
      <c r="B491" s="11" t="inlineStr">
        <is>
          <t>R&amp;D User makes a new project's draft notice from a template with 'Use a notice template'</t>
        </is>
      </c>
      <c r="C491" s="11" t="n">
        <v>12</v>
      </c>
      <c r="D491" s="11" t="inlineStr">
        <is>
          <t>In 'Used by' click 'NTC-UAT-STUDY-03-2026 v1' and read its 'Notice text' card.</t>
        </is>
      </c>
      <c r="E491" s="11" t="inlineStr">
        <is>
          <t>The project's notice still has the English text as it was copied, WITHOUT 'Template change after use.' It is still 'Draft' and its English row still reads 'Not legally approved'.</t>
        </is>
      </c>
      <c r="F491" s="16" t="n"/>
      <c r="G491" s="16" t="n"/>
    </row>
    <row r="492">
      <c r="A492" s="10" t="inlineStr">
        <is>
          <t>PRJ-25</t>
        </is>
      </c>
      <c r="B492" s="11" t="inlineStr">
        <is>
          <t>Only the DPO writes notice templates; an incomplete one is refused and a retired one cannot be used</t>
        </is>
      </c>
      <c r="C492" s="11" t="n">
        <v>1</v>
      </c>
      <c r="D492" s="11" t="inlineStr">
        <is>
          <t>As Kavya Rao look at the top right of the 'Dashboard', then click 'Notices' in the sidebar.</t>
        </is>
      </c>
      <c r="E492" s="11" t="inlineStr">
        <is>
          <t>The dashboard offers only 'Register a project' - no 'New notice template'. The 'Notices' page has no 'New notice template' button and no 'Project notices' / 'Templates' tabs: only the list of project notices.</t>
        </is>
      </c>
      <c r="F492" s="16" t="n"/>
      <c r="G492" s="16" t="n"/>
    </row>
    <row r="493">
      <c r="A493" s="10" t="inlineStr">
        <is>
          <t>PRJ-25</t>
        </is>
      </c>
      <c r="B493" s="11" t="inlineStr">
        <is>
          <t>Only the DPO writes notice templates; an incomplete one is refused and a retired one cannot be used</t>
        </is>
      </c>
      <c r="C493" s="11" t="n">
        <v>2</v>
      </c>
      <c r="D493" s="11" t="inlineStr">
        <is>
          <t>Sign out and sign in as dco@cmp.local. Open project 'UAT Study 01' (Projects &gt; search &gt; click the name) and click the 'Setup' tab.</t>
        </is>
      </c>
      <c r="E493" s="11" t="inlineStr">
        <is>
          <t>The 'Notices' card lists the project's notices but offers none of 'Upload a notice document', 'Copy an existing notice' or 'Use a notice template': bringing a notice is for the project's R&amp;D User and the DPO.</t>
        </is>
      </c>
      <c r="F493" s="16" t="n"/>
      <c r="G493" s="16" t="n"/>
    </row>
    <row r="494">
      <c r="A494" s="10" t="inlineStr">
        <is>
          <t>PRJ-25</t>
        </is>
      </c>
      <c r="B494" s="11" t="inlineStr">
        <is>
          <t>Only the DPO writes notice templates; an incomplete one is refused and a retired one cannot be used</t>
        </is>
      </c>
      <c r="C494" s="11" t="n">
        <v>3</v>
      </c>
      <c r="D494" s="11" t="inlineStr">
        <is>
          <t>Sign out and sign in as dpo@cmp.local. Click 'Notices', then 'New notice template', and click 'Create template' with every field empty.</t>
        </is>
      </c>
      <c r="E494" s="11" t="inlineStr">
        <is>
          <t>The dialog stays open with messages under the fields: 'Give it a name the list can show - what kind of study it is for', 'State how the DPO can be reached', 'The withdrawal URL is required', 'The rights URL is required' and 'The Board complaint URL is required'.</t>
        </is>
      </c>
      <c r="F494" s="16" t="n"/>
      <c r="G494" s="16" t="n"/>
    </row>
    <row r="495">
      <c r="A495" s="10" t="inlineStr">
        <is>
          <t>PRJ-25</t>
        </is>
      </c>
      <c r="B495" s="11" t="inlineStr">
        <is>
          <t>Only the DPO writes notice templates; an incomplete one is refused and a retired one cannot be used</t>
        </is>
      </c>
      <c r="C495" s="11" t="n">
        <v>4</v>
      </c>
      <c r="D495" s="11" t="inlineStr">
        <is>
          <t>Fill the fields from the 'Incomplete template' test data and click 'Create template'.</t>
        </is>
      </c>
      <c r="E495" s="11" t="inlineStr">
        <is>
          <t>Under 'Withdraw consent URL': 'The withdrawal URL has to start with http:// or https://'. No template is created.</t>
        </is>
      </c>
      <c r="F495" s="16" t="n"/>
      <c r="G495" s="16" t="n"/>
    </row>
    <row r="496">
      <c r="A496" s="10" t="inlineStr">
        <is>
          <t>PRJ-25</t>
        </is>
      </c>
      <c r="B496" s="11" t="inlineStr">
        <is>
          <t>Only the DPO writes notice templates; an incomplete one is refused and a retired one cannot be used</t>
        </is>
      </c>
      <c r="C496" s="11" t="n">
        <v>5</v>
      </c>
      <c r="D496" s="11" t="inlineStr">
        <is>
          <t>Click 'Cancel'. On the 'Templates' tab type 'UAT Bad' in 'Search' (the list updates as you type).</t>
        </is>
      </c>
      <c r="E496" s="11" t="inlineStr">
        <is>
          <t>'No templates match'. Clear the search.</t>
        </is>
      </c>
      <c r="F496" s="16" t="n"/>
      <c r="G496" s="16" t="n"/>
    </row>
    <row r="497">
      <c r="A497" s="10" t="inlineStr">
        <is>
          <t>PRJ-25</t>
        </is>
      </c>
      <c r="B497" s="11" t="inlineStr">
        <is>
          <t>Only the DPO writes notice templates; an incomplete one is refused and a retired one cannot be used</t>
        </is>
      </c>
      <c r="C497" s="11" t="n">
        <v>6</v>
      </c>
      <c r="D497" s="11" t="inlineStr">
        <is>
          <t>Open the PRJ-23 template and click 'Retire'.</t>
        </is>
      </c>
      <c r="E497" s="11" t="inlineStr">
        <is>
          <t>A toast '&lt;ID&gt; retired' says 'It can no longer be attached to a project.' The badge reads 'Retired', the button now reads 'Bring back', and the 'Template ID' card says 'Retired: it can no longer be used. Notices already made from it are unaffected. Bring it back to use it again.' 'Used by · 1' still lists the UAT Study 03 notice.</t>
        </is>
      </c>
      <c r="F497" s="16" t="n"/>
      <c r="G497" s="16" t="n"/>
    </row>
    <row r="498">
      <c r="A498" s="10" t="inlineStr">
        <is>
          <t>PRJ-25</t>
        </is>
      </c>
      <c r="B498" s="11" t="inlineStr">
        <is>
          <t>Only the DPO writes notice templates; an incomplete one is refused and a retired one cannot be used</t>
        </is>
      </c>
      <c r="C498" s="11" t="n">
        <v>7</v>
      </c>
      <c r="D498" s="11" t="inlineStr">
        <is>
          <t>Click 'Notice templates'. With 'Status' on 'Active' look for the template, then set 'Status' to 'Retired'.</t>
        </is>
      </c>
      <c r="E498" s="11" t="inlineStr">
        <is>
          <t>It is not in the 'Active' list; under 'Retired' it is listed with the badge 'Retired'.</t>
        </is>
      </c>
      <c r="F498" s="16" t="n"/>
      <c r="G498" s="16" t="n"/>
    </row>
    <row r="499">
      <c r="A499" s="10" t="inlineStr">
        <is>
          <t>PRJ-25</t>
        </is>
      </c>
      <c r="B499" s="11" t="inlineStr">
        <is>
          <t>Only the DPO writes notice templates; an incomplete one is refused and a retired one cannot be used</t>
        </is>
      </c>
      <c r="C499" s="11" t="n">
        <v>8</v>
      </c>
      <c r="D499" s="11" t="inlineStr">
        <is>
          <t>Sign out and sign in as rnd@cmp.local. Open 'UAT Study 03', click 'Setup', then 'Use a notice template' at the top of the 'Notices' card. Type the ID and click 'Look up'.</t>
        </is>
      </c>
      <c r="E499" s="11" t="inlineStr">
        <is>
          <t>The template is found and shown, with a yellow box 'The Privacy Office has retired this template. Ask them which one to use instead.' 'Make this project's notice from it' stays greyed out. Click 'Cancel': the Notices card still shows only NTC-UAT-STUDY-03-2026 v1.</t>
        </is>
      </c>
      <c r="F499" s="16" t="n"/>
      <c r="G499" s="16" t="n"/>
    </row>
    <row r="500">
      <c r="A500" s="10" t="inlineStr">
        <is>
          <t>PRJ-25</t>
        </is>
      </c>
      <c r="B500" s="11" t="inlineStr">
        <is>
          <t>Only the DPO writes notice templates; an incomplete one is refused and a retired one cannot be used</t>
        </is>
      </c>
      <c r="C500" s="11" t="n">
        <v>9</v>
      </c>
      <c r="D500" s="11" t="inlineStr">
        <is>
          <t>Restore: sign in as dpo@cmp.local, open the template and click 'Bring back'.</t>
        </is>
      </c>
      <c r="E500" s="11" t="inlineStr">
        <is>
          <t>A toast '&lt;ID&gt; is back in use'; the badge reads 'Active' again.</t>
        </is>
      </c>
      <c r="F500" s="16" t="n"/>
      <c r="G500" s="16" t="n"/>
    </row>
    <row r="501">
      <c r="A501" s="10" t="inlineStr">
        <is>
          <t>CON-01</t>
        </is>
      </c>
      <c r="B501" s="11" t="inlineStr">
        <is>
          <t>A registered data principal gives consent through the link using her mobile</t>
        </is>
      </c>
      <c r="C501" s="11" t="n">
        <v>1</v>
      </c>
      <c r="D501" s="11" t="inlineStr">
        <is>
          <t>Open the CIT consent link.</t>
        </is>
      </c>
      <c r="E501" s="11" t="inlineStr">
        <is>
          <t>The page opens with a coloured banner showing 'Gait Identification Study 2026' and 'CIT'. A step bar shows 'Your details', 'Confirm', 'The notice', 'Done' with 'Your details' current. A card 'Your details' says 'Confirm your mobile number or email to read the notice and make your choices.' Because this notice is in more than one language, a 'Read the notice in' drop-down showing 'English' is above 'Send my code to'.</t>
        </is>
      </c>
      <c r="F501" s="16" t="n"/>
      <c r="G501" s="16" t="n"/>
    </row>
    <row r="502">
      <c r="A502" s="10" t="inlineStr">
        <is>
          <t>CON-01</t>
        </is>
      </c>
      <c r="B502" s="11" t="inlineStr">
        <is>
          <t>A registered data principal gives consent through the link using her mobile</t>
        </is>
      </c>
      <c r="C502" s="11" t="n">
        <v>2</v>
      </c>
      <c r="D502" s="11" t="inlineStr">
        <is>
          <t>Look at the form before typing anything.</t>
        </is>
      </c>
      <c r="E502" s="11" t="inlineStr">
        <is>
          <t>Under 'Send my code to' the 'Mobile' option is already selected ('Email' is the other option). There is ONE box, 'Mobile number', with the hint 'The one your account is registered with.' There is no box for a name, date of birth or a second contact. 'Send the code' is greyed out. Below it: 'No account yet? Create one — it takes a minute, and this page will be waiting when you come back.'</t>
        </is>
      </c>
      <c r="F502" s="16" t="n"/>
      <c r="G502" s="16" t="n"/>
    </row>
    <row r="503">
      <c r="A503" s="10" t="inlineStr">
        <is>
          <t>CON-01</t>
        </is>
      </c>
      <c r="B503" s="11" t="inlineStr">
        <is>
          <t>A registered data principal gives consent through the link using her mobile</t>
        </is>
      </c>
      <c r="C503" s="11" t="n">
        <v>3</v>
      </c>
      <c r="D503" s="11" t="inlineStr">
        <is>
          <t>Type +91 90000 00001 in 'Mobile number' and click 'Send the code'.</t>
        </is>
      </c>
      <c r="E503" s="11" t="inlineStr">
        <is>
          <t>The card changes to 'Confirm your mobile': 'We have sent a six-digit code to +91 90000 00001. It expires in ten minutes.' Below the code box are 'Send a new code' and 'Use a different contact'. The step bar moves to 'Confirm'.</t>
        </is>
      </c>
      <c r="F503" s="16" t="n"/>
      <c r="G503" s="16" t="n"/>
    </row>
    <row r="504">
      <c r="A504" s="10" t="inlineStr">
        <is>
          <t>CON-01</t>
        </is>
      </c>
      <c r="B504" s="11" t="inlineStr">
        <is>
          <t>A registered data principal gives consent through the link using her mobile</t>
        </is>
      </c>
      <c r="C504" s="11" t="n">
        <v>4</v>
      </c>
      <c r="D504" s="11" t="inlineStr">
        <is>
          <t>Type only five digits in 'Six-digit code'.</t>
        </is>
      </c>
      <c r="E504" s="11" t="inlineStr">
        <is>
          <t>The box accepts digits only, and 'Verify and continue' stays greyed out.</t>
        </is>
      </c>
      <c r="F504" s="16" t="n"/>
      <c r="G504" s="16" t="n"/>
    </row>
    <row r="505">
      <c r="A505" s="10" t="inlineStr">
        <is>
          <t>CON-01</t>
        </is>
      </c>
      <c r="B505" s="11" t="inlineStr">
        <is>
          <t>A registered data principal gives consent through the link using her mobile</t>
        </is>
      </c>
      <c r="C505" s="11" t="n">
        <v>5</v>
      </c>
      <c r="D505" s="11" t="inlineStr">
        <is>
          <t>Complete the code with the one the coordinator relays and click 'Verify and continue'.</t>
        </is>
      </c>
      <c r="E505" s="11" t="inlineStr">
        <is>
          <t>No date-of-birth question appears (Anjali already gave one). The step bar moves to 'The notice'. A 'Read this in' dropdown shows 'English'. A card 'The notice' shows the notice text (starting 'NOTICE UNDER SECTION 5, DIGITAL PERSONAL DATA PROTECTION ACT 2023'), then 'Data Protection Officer:', 'Who else sees your data:', the links 'Exercise your rights', 'Withdraw consent', 'Complain to the Data Protection Board', and 'Version 1 · content hash …'.</t>
        </is>
      </c>
      <c r="F505" s="16" t="n"/>
      <c r="G505" s="16" t="n"/>
    </row>
    <row r="506">
      <c r="A506" s="10" t="inlineStr">
        <is>
          <t>CON-01</t>
        </is>
      </c>
      <c r="B506" s="11" t="inlineStr">
        <is>
          <t>A registered data principal gives consent through the link using her mobile</t>
        </is>
      </c>
      <c r="C506" s="11" t="n">
        <v>6</v>
      </c>
      <c r="D506" s="11" t="inlineStr">
        <is>
          <t>Scroll to the card 'What are you agreeing to?'.</t>
        </is>
      </c>
      <c r="E506" s="11" t="inlineStr">
        <is>
          <t>Two purposes are listed: 'Gait model training' and 'Recording quality assurance'. Each shows a description, 'What this allows:', 'Data collected:' and 'Kept for:', and two buttons of the same size, 'I agree' and 'I do not agree'. NEITHER button is selected on either purpose. 'Record my choices' is greyed out and the line 'Answer every purpose above, or decline the whole notice.' is shown. 'Decline everything' is active and the same size as 'Record my choices'.</t>
        </is>
      </c>
      <c r="F506" s="16" t="n"/>
      <c r="G506" s="16" t="n"/>
    </row>
    <row r="507">
      <c r="A507" s="10" t="inlineStr">
        <is>
          <t>CON-01</t>
        </is>
      </c>
      <c r="B507" s="11" t="inlineStr">
        <is>
          <t>A registered data principal gives consent through the link using her mobile</t>
        </is>
      </c>
      <c r="C507" s="11" t="n">
        <v>7</v>
      </c>
      <c r="D507" s="11" t="inlineStr">
        <is>
          <t>Click 'I agree' on 'Gait model training' only.</t>
        </is>
      </c>
      <c r="E507" s="11" t="inlineStr">
        <is>
          <t>That choice is highlighted. 'Record my choices' is still greyed out and the line 'Answer every purpose above, or decline the whole notice.' is still shown.</t>
        </is>
      </c>
      <c r="F507" s="16" t="n"/>
      <c r="G507" s="16" t="n"/>
    </row>
    <row r="508">
      <c r="A508" s="10" t="inlineStr">
        <is>
          <t>CON-01</t>
        </is>
      </c>
      <c r="B508" s="11" t="inlineStr">
        <is>
          <t>A registered data principal gives consent through the link using her mobile</t>
        </is>
      </c>
      <c r="C508" s="11" t="n">
        <v>8</v>
      </c>
      <c r="D508" s="11" t="inlineStr">
        <is>
          <t>On 'Recording quality assurance' click 'I do not agree', then change your mind and click 'I agree'.</t>
        </is>
      </c>
      <c r="E508" s="11" t="inlineStr">
        <is>
          <t>The highlight moves from 'I do not agree' to 'I agree'. 'Record my choices' becomes active and the 'Answer every purpose above…' line disappears.</t>
        </is>
      </c>
      <c r="F508" s="16" t="n"/>
      <c r="G508" s="16" t="n"/>
    </row>
    <row r="509">
      <c r="A509" s="10" t="inlineStr">
        <is>
          <t>CON-01</t>
        </is>
      </c>
      <c r="B509" s="11" t="inlineStr">
        <is>
          <t>A registered data principal gives consent through the link using her mobile</t>
        </is>
      </c>
      <c r="C509" s="11" t="n">
        <v>9</v>
      </c>
      <c r="D509" s="11" t="inlineStr">
        <is>
          <t>Click 'Record my choices'.</t>
        </is>
      </c>
      <c r="E509" s="11" t="inlineStr">
        <is>
          <t>The step bar moves to 'Done'. A green tick and the heading 'Your choices are recorded' appear, with 'A receipt is on its way to you. You can review or withdraw your consent at any time - withdrawing is as easy as this was.' Below: 'Your reference:' followed by a long code (write it down), and the links 'Review your consents' and 'Your rights'.</t>
        </is>
      </c>
      <c r="F509" s="16" t="n"/>
      <c r="G509" s="16" t="n"/>
    </row>
    <row r="510">
      <c r="A510" s="10" t="inlineStr">
        <is>
          <t>CON-01</t>
        </is>
      </c>
      <c r="B510" s="11" t="inlineStr">
        <is>
          <t>A registered data principal gives consent through the link using her mobile</t>
        </is>
      </c>
      <c r="C510" s="11" t="n">
        <v>10</v>
      </c>
      <c r="D510" s="11" t="inlineStr">
        <is>
          <t>Ask the coordinator to look in the test outbox for +91 90000 00001.</t>
        </is>
      </c>
      <c r="E510" s="11" t="inlineStr">
        <is>
          <t>A receipt message for this consent is in the outbox.</t>
        </is>
      </c>
      <c r="F510" s="16" t="n"/>
      <c r="G510" s="16" t="n"/>
    </row>
    <row r="511">
      <c r="A511" s="10" t="inlineStr">
        <is>
          <t>CON-01</t>
        </is>
      </c>
      <c r="B511" s="11" t="inlineStr">
        <is>
          <t>A registered data principal gives consent through the link using her mobile</t>
        </is>
      </c>
      <c r="C511" s="11" t="n">
        <v>11</v>
      </c>
      <c r="D511" s="11" t="inlineStr">
        <is>
          <t>Click 'Review your consents'.</t>
        </is>
      </c>
      <c r="E511" s="11" t="inlineStr">
        <is>
          <t>The portal page 'My consents' opens, signed in as Anjali, with a card 'Gait Identification Study 2026', status 'Consented' and the line 'You agreed to both purposes.'</t>
        </is>
      </c>
      <c r="F511" s="16" t="n"/>
      <c r="G511" s="16" t="n"/>
    </row>
    <row r="512">
      <c r="A512" s="10" t="inlineStr">
        <is>
          <t>CON-02</t>
        </is>
      </c>
      <c r="B512" s="11" t="inlineStr">
        <is>
          <t>The link never reveals whether a contact is registered, and a wrong code is refused</t>
        </is>
      </c>
      <c r="C512" s="11" t="n">
        <v>1</v>
      </c>
      <c r="D512" s="11" t="inlineStr">
        <is>
          <t>Open the CIT consent link and look at the 'Your details' card.</t>
        </is>
      </c>
      <c r="E512" s="11" t="inlineStr">
        <is>
          <t>The line 'No account yet? Create one — …' is already shown, before anything is typed (it is offered to everybody).</t>
        </is>
      </c>
      <c r="F512" s="16" t="n"/>
      <c r="G512" s="16" t="n"/>
    </row>
    <row r="513">
      <c r="A513" s="10" t="inlineStr">
        <is>
          <t>CON-02</t>
        </is>
      </c>
      <c r="B513" s="11" t="inlineStr">
        <is>
          <t>The link never reveals whether a contact is registered, and a wrong code is refused</t>
        </is>
      </c>
      <c r="C513" s="11" t="n">
        <v>2</v>
      </c>
      <c r="D513" s="11" t="inlineStr">
        <is>
          <t>With 'Mobile' selected, type +91 98100 00002 in 'Mobile number' and click 'Send the code'.</t>
        </is>
      </c>
      <c r="E513" s="11" t="inlineStr">
        <is>
          <t>The card changes to 'Confirm your mobile' with 'We have sent a six-digit code to +91 98100 00002. It expires in ten minutes.' There is NO message saying the number is unknown or not registered.</t>
        </is>
      </c>
      <c r="F513" s="16" t="n"/>
      <c r="G513" s="16" t="n"/>
    </row>
    <row r="514">
      <c r="A514" s="10" t="inlineStr">
        <is>
          <t>CON-02</t>
        </is>
      </c>
      <c r="B514" s="11" t="inlineStr">
        <is>
          <t>The link never reveals whether a contact is registered, and a wrong code is refused</t>
        </is>
      </c>
      <c r="C514" s="11" t="n">
        <v>3</v>
      </c>
      <c r="D514" s="11" t="inlineStr">
        <is>
          <t>Ask the coordinator to check the test outbox for +91 98100 00002.</t>
        </is>
      </c>
      <c r="E514" s="11" t="inlineStr">
        <is>
          <t>No message was sent to that number.</t>
        </is>
      </c>
      <c r="F514" s="16" t="n"/>
      <c r="G514" s="16" t="n"/>
    </row>
    <row r="515">
      <c r="A515" s="10" t="inlineStr">
        <is>
          <t>CON-02</t>
        </is>
      </c>
      <c r="B515" s="11" t="inlineStr">
        <is>
          <t>The link never reveals whether a contact is registered, and a wrong code is refused</t>
        </is>
      </c>
      <c r="C515" s="11" t="n">
        <v>4</v>
      </c>
      <c r="D515" s="11" t="inlineStr">
        <is>
          <t>Type 123456 in 'Six-digit code' and click 'Verify and continue'.</t>
        </is>
      </c>
      <c r="E515" s="11" t="inlineStr">
        <is>
          <t>A red message 'Invalid or expired code' appears. The page stays on 'Confirm your mobile' with the code box; no notice is shown.</t>
        </is>
      </c>
      <c r="F515" s="16" t="n"/>
      <c r="G515" s="16" t="n"/>
    </row>
    <row r="516">
      <c r="A516" s="10" t="inlineStr">
        <is>
          <t>CON-02</t>
        </is>
      </c>
      <c r="B516" s="11" t="inlineStr">
        <is>
          <t>The link never reveals whether a contact is registered, and a wrong code is refused</t>
        </is>
      </c>
      <c r="C516" s="11" t="n">
        <v>5</v>
      </c>
      <c r="D516" s="11" t="inlineStr">
        <is>
          <t>Reload the page. Under 'Send my code to' select 'Email', type tester09@example.org in 'Email address' and click 'Send the code'.</t>
        </is>
      </c>
      <c r="E516" s="11" t="inlineStr">
        <is>
          <t>The card 'Confirm your email' says 'We have sent a six-digit code to tester09@example.org. It expires in ten minutes.' Nothing hints that the address is unknown.</t>
        </is>
      </c>
      <c r="F516" s="16" t="n"/>
      <c r="G516" s="16" t="n"/>
    </row>
    <row r="517">
      <c r="A517" s="10" t="inlineStr">
        <is>
          <t>CON-02</t>
        </is>
      </c>
      <c r="B517" s="11" t="inlineStr">
        <is>
          <t>The link never reveals whether a contact is registered, and a wrong code is refused</t>
        </is>
      </c>
      <c r="C517" s="11" t="n">
        <v>6</v>
      </c>
      <c r="D517" s="11" t="inlineStr">
        <is>
          <t>Reload the page. With 'Mobile' selected type +91 90000 00001 (a registered number) and click 'Send the code'.</t>
        </is>
      </c>
      <c r="E517" s="11" t="inlineStr">
        <is>
          <t>The screen and wording are exactly the same as in step 2; only the number differs. A visitor cannot tell a registered number from an unregistered one.</t>
        </is>
      </c>
      <c r="F517" s="16" t="n"/>
      <c r="G517" s="16" t="n"/>
    </row>
    <row r="518">
      <c r="A518" s="10" t="inlineStr">
        <is>
          <t>CON-02</t>
        </is>
      </c>
      <c r="B518" s="11" t="inlineStr">
        <is>
          <t>The link never reveals whether a contact is registered, and a wrong code is refused</t>
        </is>
      </c>
      <c r="C518" s="11" t="n">
        <v>7</v>
      </c>
      <c r="D518" s="11" t="inlineStr">
        <is>
          <t>Type 123456 (not the code that was sent) and click 'Verify and continue'.</t>
        </is>
      </c>
      <c r="E518" s="11" t="inlineStr">
        <is>
          <t>The red message 'Invalid or expired code' appears and the page stays on the code step.</t>
        </is>
      </c>
      <c r="F518" s="16" t="n"/>
      <c r="G518" s="16" t="n"/>
    </row>
    <row r="519">
      <c r="A519" s="10" t="inlineStr">
        <is>
          <t>CON-02</t>
        </is>
      </c>
      <c r="B519" s="11" t="inlineStr">
        <is>
          <t>The link never reveals whether a contact is registered, and a wrong code is refused</t>
        </is>
      </c>
      <c r="C519" s="11" t="n">
        <v>8</v>
      </c>
      <c r="D519" s="11" t="inlineStr">
        <is>
          <t>Clear the box, type the correct code relayed by the coordinator and click 'Verify and continue'.</t>
        </is>
      </c>
      <c r="E519" s="11" t="inlineStr">
        <is>
          <t>The notice opens, proving the earlier wrong attempt did not break the flow. Close the browser tab WITHOUT clicking 'Record my choices' or 'Decline everything'.</t>
        </is>
      </c>
      <c r="F519" s="16" t="n"/>
      <c r="G519" s="16" t="n"/>
    </row>
    <row r="520">
      <c r="A520" s="10" t="inlineStr">
        <is>
          <t>CON-03</t>
        </is>
      </c>
      <c r="B520" s="11" t="inlineStr">
        <is>
          <t>A person with no account uses 'Create one', signs up and returns to the link, then consents in Hindi to one purpose</t>
        </is>
      </c>
      <c r="C520" s="11" t="n">
        <v>1</v>
      </c>
      <c r="D520" s="11" t="inlineStr">
        <is>
          <t>Open the CIT consent link and click 'Create one' on the 'Your details' card.</t>
        </is>
      </c>
      <c r="E520" s="11" t="inlineStr">
        <is>
          <t>The page 'Create your account' opens ('For people whose data is being collected. Staff accounts are issued by your administrator.'). The address bar shows /sign-up?next= followed by the consent link's address.</t>
        </is>
      </c>
      <c r="F520" s="16" t="n"/>
      <c r="G520" s="16" t="n"/>
    </row>
    <row r="521">
      <c r="A521" s="10" t="inlineStr">
        <is>
          <t>CON-03</t>
        </is>
      </c>
      <c r="B521" s="11" t="inlineStr">
        <is>
          <t>A person with no account uses 'Create one', signs up and returns to the link, then consents in Hindi to one purpose</t>
        </is>
      </c>
      <c r="C521" s="11" t="n">
        <v>2</v>
      </c>
      <c r="D521" s="11" t="inlineStr">
        <is>
          <t>Fill in 'Full name', 'Mobile number', 'Email address' and 'Date of birth' with the test data and click 'Create account'.</t>
        </is>
      </c>
      <c r="E521" s="11" t="inlineStr">
        <is>
          <t>The page 'Confirm your contacts' opens: 'If those details are new to us, a code has gone to your mobile and another to your email. Enter both.' Two boxes are shown: 'Code sent to your mobile' and 'Code sent to your email'.</t>
        </is>
      </c>
      <c r="F521" s="16" t="n"/>
      <c r="G521" s="16" t="n"/>
    </row>
    <row r="522">
      <c r="A522" s="10" t="inlineStr">
        <is>
          <t>CON-03</t>
        </is>
      </c>
      <c r="B522" s="11" t="inlineStr">
        <is>
          <t>A person with no account uses 'Create one', signs up and returns to the link, then consents in Hindi to one purpose</t>
        </is>
      </c>
      <c r="C522" s="11" t="n">
        <v>3</v>
      </c>
      <c r="D522" s="11" t="inlineStr">
        <is>
          <t>Type only the mobile code the coordinator relays.</t>
        </is>
      </c>
      <c r="E522" s="11" t="inlineStr">
        <is>
          <t>'Confirm and sign in' stays greyed out until both six-digit codes are entered.</t>
        </is>
      </c>
      <c r="F522" s="16" t="n"/>
      <c r="G522" s="16" t="n"/>
    </row>
    <row r="523">
      <c r="A523" s="10" t="inlineStr">
        <is>
          <t>CON-03</t>
        </is>
      </c>
      <c r="B523" s="11" t="inlineStr">
        <is>
          <t>A person with no account uses 'Create one', signs up and returns to the link, then consents in Hindi to one purpose</t>
        </is>
      </c>
      <c r="C523" s="11" t="n">
        <v>4</v>
      </c>
      <c r="D523" s="11" t="inlineStr">
        <is>
          <t>Type the email code as well and click 'Confirm and sign in'.</t>
        </is>
      </c>
      <c r="E523" s="11" t="inlineStr">
        <is>
          <t>You are taken straight back to the same consent link page (banner 'Gait Identification Study 2026' / 'CIT', card 'Your details'), not to your consents page.</t>
        </is>
      </c>
      <c r="F523" s="16" t="n"/>
      <c r="G523" s="16" t="n"/>
    </row>
    <row r="524">
      <c r="A524" s="10" t="inlineStr">
        <is>
          <t>CON-03</t>
        </is>
      </c>
      <c r="B524" s="11" t="inlineStr">
        <is>
          <t>A person with no account uses 'Create one', signs up and returns to the link, then consents in Hindi to one purpose</t>
        </is>
      </c>
      <c r="C524" s="11" t="n">
        <v>5</v>
      </c>
      <c r="D524" s="11" t="inlineStr">
        <is>
          <t>On the 'Your details' card select 'Email' under 'Send my code to', type tester01@example.org in 'Email address' and click 'Send the code'.</t>
        </is>
      </c>
      <c r="E524" s="11" t="inlineStr">
        <is>
          <t>The card changes to 'Confirm your email' and says 'We have sent a six-digit code to tester01@example.org. It expires in ten minutes.' The step bar at the top moves from 'Your details' to 'Confirm'.</t>
        </is>
      </c>
      <c r="F524" s="16" t="n"/>
      <c r="G524" s="16" t="n"/>
    </row>
    <row r="525">
      <c r="A525" s="10" t="inlineStr">
        <is>
          <t>CON-03</t>
        </is>
      </c>
      <c r="B525" s="11" t="inlineStr">
        <is>
          <t>A person with no account uses 'Create one', signs up and returns to the link, then consents in Hindi to one purpose</t>
        </is>
      </c>
      <c r="C525" s="11" t="n">
        <v>6</v>
      </c>
      <c r="D525" s="11" t="inlineStr">
        <is>
          <t>Type the code the coordinator relays and click 'Verify and continue'.</t>
        </is>
      </c>
      <c r="E525" s="11" t="inlineStr">
        <is>
          <t>The notice opens directly. No 'Your date of birth' question appears, because it was given at sign-up.</t>
        </is>
      </c>
      <c r="F525" s="16" t="n"/>
      <c r="G525" s="16" t="n"/>
    </row>
    <row r="526">
      <c r="A526" s="10" t="inlineStr">
        <is>
          <t>CON-03</t>
        </is>
      </c>
      <c r="B526" s="11" t="inlineStr">
        <is>
          <t>A person with no account uses 'Create one', signs up and returns to the link, then consents in Hindi to one purpose</t>
        </is>
      </c>
      <c r="C526" s="11" t="n">
        <v>7</v>
      </c>
      <c r="D526" s="11" t="inlineStr">
        <is>
          <t>In 'Read this in' choose 'हिन्दी'.</t>
        </is>
      </c>
      <c r="E526" s="11" t="inlineStr">
        <is>
          <t>The notice text changes to Hindi (it starts 'धारा 5, डिजिटल व्यक्तिगत डेटा संरक्षण अधिनियम 2023'). The purposes and the 'I agree' / 'I do not agree' buttons are still shown.</t>
        </is>
      </c>
      <c r="F526" s="16" t="n"/>
      <c r="G526" s="16" t="n"/>
    </row>
    <row r="527">
      <c r="A527" s="10" t="inlineStr">
        <is>
          <t>CON-03</t>
        </is>
      </c>
      <c r="B527" s="11" t="inlineStr">
        <is>
          <t>A person with no account uses 'Create one', signs up and returns to the link, then consents in Hindi to one purpose</t>
        </is>
      </c>
      <c r="C527" s="11" t="n">
        <v>8</v>
      </c>
      <c r="D527" s="11" t="inlineStr">
        <is>
          <t>Switch 'Read this in' to 'English', then back to 'हिन्दी'.</t>
        </is>
      </c>
      <c r="E527" s="11" t="inlineStr">
        <is>
          <t>The text switches each time without any error message. Hindi is showing at the end.</t>
        </is>
      </c>
      <c r="F527" s="16" t="n"/>
      <c r="G527" s="16" t="n"/>
    </row>
    <row r="528">
      <c r="A528" s="10" t="inlineStr">
        <is>
          <t>CON-03</t>
        </is>
      </c>
      <c r="B528" s="11" t="inlineStr">
        <is>
          <t>A person with no account uses 'Create one', signs up and returns to the link, then consents in Hindi to one purpose</t>
        </is>
      </c>
      <c r="C528" s="11" t="n">
        <v>9</v>
      </c>
      <c r="D528" s="11" t="inlineStr">
        <is>
          <t>With Hindi showing, click 'I agree' on 'Gait model training' and 'I do not agree' on 'Recording quality assurance', then click 'Record my choices'.</t>
        </is>
      </c>
      <c r="E528" s="11" t="inlineStr">
        <is>
          <t>The Done step shows 'Your choices are recorded' and 'Your reference:' with a code.</t>
        </is>
      </c>
      <c r="F528" s="16" t="n"/>
      <c r="G528" s="16" t="n"/>
    </row>
    <row r="529">
      <c r="A529" s="10" t="inlineStr">
        <is>
          <t>CON-03</t>
        </is>
      </c>
      <c r="B529" s="11" t="inlineStr">
        <is>
          <t>A person with no account uses 'Create one', signs up and returns to the link, then consents in Hindi to one purpose</t>
        </is>
      </c>
      <c r="C529" s="11" t="n">
        <v>10</v>
      </c>
      <c r="D529" s="11" t="inlineStr">
        <is>
          <t>Click 'Review your consents'.</t>
        </is>
      </c>
      <c r="E529" s="11" t="inlineStr">
        <is>
          <t>'My consents' opens with a card 'Gait Identification Study 2026' whose small line reads 'NTC-GAIT-2026 v1 · hindi · &lt;date and time&gt;', status 'Partial', and 'You agreed to 1 of 2 purposes.'</t>
        </is>
      </c>
      <c r="F529" s="16" t="n"/>
      <c r="G529" s="16" t="n"/>
    </row>
    <row r="530">
      <c r="A530" s="10" t="inlineStr">
        <is>
          <t>CON-04</t>
        </is>
      </c>
      <c r="B530" s="11" t="inlineStr">
        <is>
          <t>A person signs up on the portal first, then declines everything at the link</t>
        </is>
      </c>
      <c r="C530" s="11" t="n">
        <v>1</v>
      </c>
      <c r="D530" s="11" t="inlineStr">
        <is>
          <t>Open http://localhost:3001/sign-in and click 'Create an account' (under 'Never registered with us?').</t>
        </is>
      </c>
      <c r="E530" s="11" t="inlineStr">
        <is>
          <t>The page 'Create your account' opens with 'Full name', 'Mobile number', 'Email address' (hint starts 'Optional.') and 'Date of birth', and a 'Create account' button.</t>
        </is>
      </c>
      <c r="F530" s="16" t="n"/>
      <c r="G530" s="16" t="n"/>
    </row>
    <row r="531">
      <c r="A531" s="10" t="inlineStr">
        <is>
          <t>CON-04</t>
        </is>
      </c>
      <c r="B531" s="11" t="inlineStr">
        <is>
          <t>A person signs up on the portal first, then declines everything at the link</t>
        </is>
      </c>
      <c r="C531" s="11" t="n">
        <v>2</v>
      </c>
      <c r="D531" s="11" t="inlineStr">
        <is>
          <t>Click 'Create account' with every field empty.</t>
        </is>
      </c>
      <c r="E531" s="11" t="inlineStr">
        <is>
          <t>Nothing is sent. Messages appear under the fields, including 'Enter your full name' and 'Enter your date of birth'.</t>
        </is>
      </c>
      <c r="F531" s="16" t="n"/>
      <c r="G531" s="16" t="n"/>
    </row>
    <row r="532">
      <c r="A532" s="10" t="inlineStr">
        <is>
          <t>CON-04</t>
        </is>
      </c>
      <c r="B532" s="11" t="inlineStr">
        <is>
          <t>A person signs up on the portal first, then declines everything at the link</t>
        </is>
      </c>
      <c r="C532" s="11" t="n">
        <v>3</v>
      </c>
      <c r="D532" s="11" t="inlineStr">
        <is>
          <t>Fill in 'Full name', 'Mobile number' and 'Date of birth' from the test data, leave 'Email address' empty and click 'Create account'.</t>
        </is>
      </c>
      <c r="E532" s="11" t="inlineStr">
        <is>
          <t>'Confirm your contacts' opens with 'If that number is new to us, a code has gone to your mobile. Enter it to finish.' and only one box, 'Code sent to your mobile'.</t>
        </is>
      </c>
      <c r="F532" s="16" t="n"/>
      <c r="G532" s="16" t="n"/>
    </row>
    <row r="533">
      <c r="A533" s="10" t="inlineStr">
        <is>
          <t>CON-04</t>
        </is>
      </c>
      <c r="B533" s="11" t="inlineStr">
        <is>
          <t>A person signs up on the portal first, then declines everything at the link</t>
        </is>
      </c>
      <c r="C533" s="11" t="n">
        <v>4</v>
      </c>
      <c r="D533" s="11" t="inlineStr">
        <is>
          <t>Type the code the coordinator relays and click 'Confirm and sign in'.</t>
        </is>
      </c>
      <c r="E533" s="11" t="inlineStr">
        <is>
          <t>You are signed in and 'My consents' opens with the empty message 'No consent records' / 'When you agree to a notice, it will appear here.'</t>
        </is>
      </c>
      <c r="F533" s="16" t="n"/>
      <c r="G533" s="16" t="n"/>
    </row>
    <row r="534">
      <c r="A534" s="10" t="inlineStr">
        <is>
          <t>CON-04</t>
        </is>
      </c>
      <c r="B534" s="11" t="inlineStr">
        <is>
          <t>A person signs up on the portal first, then declines everything at the link</t>
        </is>
      </c>
      <c r="C534" s="11" t="n">
        <v>5</v>
      </c>
      <c r="D534" s="11" t="inlineStr">
        <is>
          <t>In the same browser window open the CIT consent link. Leave 'Mobile' selected, type +91 98100 00022, click 'Send the code', type the relayed code and click 'Verify and continue'.</t>
        </is>
      </c>
      <c r="E534" s="11" t="inlineStr">
        <is>
          <t>The notice opens with the two purposes, neither pre-selected.</t>
        </is>
      </c>
      <c r="F534" s="16" t="n"/>
      <c r="G534" s="16" t="n"/>
    </row>
    <row r="535">
      <c r="A535" s="10" t="inlineStr">
        <is>
          <t>CON-04</t>
        </is>
      </c>
      <c r="B535" s="11" t="inlineStr">
        <is>
          <t>A person signs up on the portal first, then declines everything at the link</t>
        </is>
      </c>
      <c r="C535" s="11" t="n">
        <v>6</v>
      </c>
      <c r="D535" s="11" t="inlineStr">
        <is>
          <t>Without answering any purpose, click 'Decline everything'.</t>
        </is>
      </c>
      <c r="E535" s="11" t="inlineStr">
        <is>
          <t>The Done step shows a grey cross, the heading 'You have declined' and 'Nothing will be collected from you for this project. You can come back to this link if you change your mind.' plus 'Your reference:' with a code. It does not look like an error.</t>
        </is>
      </c>
      <c r="F535" s="16" t="n"/>
      <c r="G535" s="16" t="n"/>
    </row>
    <row r="536">
      <c r="A536" s="10" t="inlineStr">
        <is>
          <t>CON-04</t>
        </is>
      </c>
      <c r="B536" s="11" t="inlineStr">
        <is>
          <t>A person signs up on the portal first, then declines everything at the link</t>
        </is>
      </c>
      <c r="C536" s="11" t="n">
        <v>7</v>
      </c>
      <c r="D536" s="11" t="inlineStr">
        <is>
          <t>Click 'Review your consents'.</t>
        </is>
      </c>
      <c r="E536" s="11" t="inlineStr">
        <is>
          <t>The card 'Gait Identification Study 2026' shows status 'Declined' and 'You were asked about 2 purposes and agreed to none.' The first button reads 'See what you were asked'. There is no 'Withdraw everything' button.</t>
        </is>
      </c>
      <c r="F536" s="16" t="n"/>
      <c r="G536" s="16" t="n"/>
    </row>
    <row r="537">
      <c r="A537" s="10" t="inlineStr">
        <is>
          <t>CON-04</t>
        </is>
      </c>
      <c r="B537" s="11" t="inlineStr">
        <is>
          <t>A person signs up on the portal first, then declines everything at the link</t>
        </is>
      </c>
      <c r="C537" s="11" t="n">
        <v>8</v>
      </c>
      <c r="D537" s="11" t="inlineStr">
        <is>
          <t>Click 'See what you were asked'.</t>
        </is>
      </c>
      <c r="E537" s="11" t="inlineStr">
        <is>
          <t>Both purposes are listed with the badge 'Declined' and no 'Withdraw just this one' button.</t>
        </is>
      </c>
      <c r="F537" s="16" t="n"/>
      <c r="G537" s="16" t="n"/>
    </row>
    <row r="538">
      <c r="A538" s="10" t="inlineStr">
        <is>
          <t>CON-05</t>
        </is>
      </c>
      <c r="B538" s="11" t="inlineStr">
        <is>
          <t>An account with no date of birth is asked for it before the notice is shown</t>
        </is>
      </c>
      <c r="C538" s="11" t="n">
        <v>1</v>
      </c>
      <c r="D538" s="11" t="inlineStr">
        <is>
          <t>Open the CIT consent link. On the 'Your details' card select 'Email' under 'Send my code to', type dcoadmin@cmp.local in 'Email address' and click 'Send the code'.</t>
        </is>
      </c>
      <c r="E538" s="11" t="inlineStr">
        <is>
          <t>The card changes to 'Confirm your email' and says 'We have sent a six-digit code to dcoadmin@cmp.local. It expires in ten minutes.' The step bar at the top moves from 'Your details' to 'Confirm'.</t>
        </is>
      </c>
      <c r="F538" s="16" t="n"/>
      <c r="G538" s="16" t="n"/>
    </row>
    <row r="539">
      <c r="A539" s="10" t="inlineStr">
        <is>
          <t>CON-05</t>
        </is>
      </c>
      <c r="B539" s="11" t="inlineStr">
        <is>
          <t>An account with no date of birth is asked for it before the notice is shown</t>
        </is>
      </c>
      <c r="C539" s="11" t="n">
        <v>2</v>
      </c>
      <c r="D539" s="11" t="inlineStr">
        <is>
          <t>Type the code the coordinator relays and click 'Verify and continue'.</t>
        </is>
      </c>
      <c r="E539" s="11" t="inlineStr">
        <is>
          <t>Instead of the notice, a card 'Your date of birth' appears: 'The law protects people under 18 differently, and we do not have your date of birth yet. We need it before you can give a new consent.' with a 'Date of birth' field and a 'Save and continue' button. The step bar still shows 'Confirm'. No notice text is visible yet.</t>
        </is>
      </c>
      <c r="F539" s="16" t="n"/>
      <c r="G539" s="16" t="n"/>
    </row>
    <row r="540">
      <c r="A540" s="10" t="inlineStr">
        <is>
          <t>CON-05</t>
        </is>
      </c>
      <c r="B540" s="11" t="inlineStr">
        <is>
          <t>An account with no date of birth is asked for it before the notice is shown</t>
        </is>
      </c>
      <c r="C540" s="11" t="n">
        <v>3</v>
      </c>
      <c r="D540" s="11" t="inlineStr">
        <is>
          <t>Click 'Save and continue' with the field empty.</t>
        </is>
      </c>
      <c r="E540" s="11" t="inlineStr">
        <is>
          <t>The message 'Enter your date of birth' appears and nothing is saved.</t>
        </is>
      </c>
      <c r="F540" s="16" t="n"/>
      <c r="G540" s="16" t="n"/>
    </row>
    <row r="541">
      <c r="A541" s="10" t="inlineStr">
        <is>
          <t>CON-05</t>
        </is>
      </c>
      <c r="B541" s="11" t="inlineStr">
        <is>
          <t>An account with no date of birth is asked for it before the notice is shown</t>
        </is>
      </c>
      <c r="C541" s="11" t="n">
        <v>4</v>
      </c>
      <c r="D541" s="11" t="inlineStr">
        <is>
          <t>Enter tomorrow's date in 'Date of birth' and click 'Save and continue'.</t>
        </is>
      </c>
      <c r="E541" s="11" t="inlineStr">
        <is>
          <t>The message 'Date of birth must be in the past' appears (or the date picker will not allow a future date). The notice is not shown.</t>
        </is>
      </c>
      <c r="F541" s="16" t="n"/>
      <c r="G541" s="16" t="n"/>
    </row>
    <row r="542">
      <c r="A542" s="10" t="inlineStr">
        <is>
          <t>CON-05</t>
        </is>
      </c>
      <c r="B542" s="11" t="inlineStr">
        <is>
          <t>An account with no date of birth is asked for it before the notice is shown</t>
        </is>
      </c>
      <c r="C542" s="11" t="n">
        <v>5</v>
      </c>
      <c r="D542" s="11" t="inlineStr">
        <is>
          <t>Enter 21/07/1985 and click 'Save and continue'.</t>
        </is>
      </c>
      <c r="E542" s="11" t="inlineStr">
        <is>
          <t>The step bar moves to 'The notice' and the notice with its two purposes is shown.</t>
        </is>
      </c>
      <c r="F542" s="16" t="n"/>
      <c r="G542" s="16" t="n"/>
    </row>
    <row r="543">
      <c r="A543" s="10" t="inlineStr">
        <is>
          <t>CON-05</t>
        </is>
      </c>
      <c r="B543" s="11" t="inlineStr">
        <is>
          <t>An account with no date of birth is asked for it before the notice is shown</t>
        </is>
      </c>
      <c r="C543" s="11" t="n">
        <v>6</v>
      </c>
      <c r="D543" s="11" t="inlineStr">
        <is>
          <t>Click 'I agree' on both purposes and click 'Record my choices'.</t>
        </is>
      </c>
      <c r="E543" s="11" t="inlineStr">
        <is>
          <t>The Done step shows 'Your choices are recorded' with a reference.</t>
        </is>
      </c>
      <c r="F543" s="16" t="n"/>
      <c r="G543" s="16" t="n"/>
    </row>
    <row r="544">
      <c r="A544" s="10" t="inlineStr">
        <is>
          <t>CON-05</t>
        </is>
      </c>
      <c r="B544" s="11" t="inlineStr">
        <is>
          <t>An account with no date of birth is asked for it before the notice is shown</t>
        </is>
      </c>
      <c r="C544" s="11" t="n">
        <v>7</v>
      </c>
      <c r="D544" s="11" t="inlineStr">
        <is>
          <t>Click 'Review your consents'.</t>
        </is>
      </c>
      <c r="E544" s="11" t="inlineStr">
        <is>
          <t>'My consents' shows the card 'Gait Identification Study 2026' with status 'Consented' and 'You agreed to both purposes.'</t>
        </is>
      </c>
      <c r="F544" s="16" t="n"/>
      <c r="G544" s="16" t="n"/>
    </row>
    <row r="545">
      <c r="A545" s="10" t="inlineStr">
        <is>
          <t>CON-05</t>
        </is>
      </c>
      <c r="B545" s="11" t="inlineStr">
        <is>
          <t>An account with no date of birth is asked for it before the notice is shown</t>
        </is>
      </c>
      <c r="C545" s="11" t="n">
        <v>8</v>
      </c>
      <c r="D545" s="11" t="inlineStr">
        <is>
          <t>Open the CIT consent link again in a new private window, identify with dcoadmin@cmp.local and the new code, and click 'Verify and continue'.</t>
        </is>
      </c>
      <c r="E545" s="11" t="inlineStr">
        <is>
          <t>The notice opens directly; the date-of-birth question is NOT asked again. Close the tab without recording anything.</t>
        </is>
      </c>
      <c r="F545" s="16" t="n"/>
      <c r="G545" s="16" t="n"/>
    </row>
    <row r="546">
      <c r="A546" s="10" t="inlineStr">
        <is>
          <t>CON-06</t>
        </is>
      </c>
      <c r="B546" s="11" t="inlineStr">
        <is>
          <t>A person under 18 cannot sign up, and no guardian route is offered</t>
        </is>
      </c>
      <c r="C546" s="11" t="n">
        <v>1</v>
      </c>
      <c r="D546" s="11" t="inlineStr">
        <is>
          <t>Open the CIT consent link and click 'Create one'. Read the hint under 'Date of birth'.</t>
        </is>
      </c>
      <c r="E546" s="11" t="inlineStr">
        <is>
          <t>'Create your account' opens. The hint reads 'The law protects people under 18 differently, so we ask before an account is opened.' It does not mention a parent or guardian.</t>
        </is>
      </c>
      <c r="F546" s="16" t="n"/>
      <c r="G546" s="16" t="n"/>
    </row>
    <row r="547">
      <c r="A547" s="10" t="inlineStr">
        <is>
          <t>CON-06</t>
        </is>
      </c>
      <c r="B547" s="11" t="inlineStr">
        <is>
          <t>A person under 18 cannot sign up, and no guardian route is offered</t>
        </is>
      </c>
      <c r="C547" s="11" t="n">
        <v>2</v>
      </c>
      <c r="D547" s="11" t="inlineStr">
        <is>
          <t>Fill in all four fields with the test data (date of birth 15/03/2010) and click 'Create account'.</t>
        </is>
      </c>
      <c r="E547" s="11" t="inlineStr">
        <is>
          <t>The page stays on 'Create your account' and a red message refuses the registration. Expected wording: 'We cannot register or record consent for a person under eighteen. If you think your date of birth is wrong, contact the Privacy Office.' The 'Confirm your contacts' step does NOT appear. Write down the exact message you see.</t>
        </is>
      </c>
      <c r="F547" s="16" t="n"/>
      <c r="G547" s="16" t="n"/>
    </row>
    <row r="548">
      <c r="A548" s="10" t="inlineStr">
        <is>
          <t>CON-06</t>
        </is>
      </c>
      <c r="B548" s="11" t="inlineStr">
        <is>
          <t>A person under 18 cannot sign up, and no guardian route is offered</t>
        </is>
      </c>
      <c r="C548" s="11" t="n">
        <v>3</v>
      </c>
      <c r="D548" s="11" t="inlineStr">
        <is>
          <t>Look over the whole page.</t>
        </is>
      </c>
      <c r="E548" s="11" t="inlineStr">
        <is>
          <t>There is no link, button, form or field for a parent or guardian to consent on the person's behalf. Only the sign-up fields, 'Create account' and the 'Sign in' link are offered.</t>
        </is>
      </c>
      <c r="F548" s="16" t="n"/>
      <c r="G548" s="16" t="n"/>
    </row>
    <row r="549">
      <c r="A549" s="10" t="inlineStr">
        <is>
          <t>CON-06</t>
        </is>
      </c>
      <c r="B549" s="11" t="inlineStr">
        <is>
          <t>A person under 18 cannot sign up, and no guardian route is offered</t>
        </is>
      </c>
      <c r="C549" s="11" t="n">
        <v>4</v>
      </c>
      <c r="D549" s="11" t="inlineStr">
        <is>
          <t>Ask the coordinator to check the test outbox for +91 98100 00066 and tester06@example.org.</t>
        </is>
      </c>
      <c r="E549" s="11" t="inlineStr">
        <is>
          <t>No registration codes were sent.</t>
        </is>
      </c>
      <c r="F549" s="16" t="n"/>
      <c r="G549" s="16" t="n"/>
    </row>
    <row r="550">
      <c r="A550" s="10" t="inlineStr">
        <is>
          <t>CON-06</t>
        </is>
      </c>
      <c r="B550" s="11" t="inlineStr">
        <is>
          <t>A person under 18 cannot sign up, and no guardian route is offered</t>
        </is>
      </c>
      <c r="C550" s="11" t="n">
        <v>5</v>
      </c>
      <c r="D550" s="11" t="inlineStr">
        <is>
          <t>Go back to the CIT consent link, leave 'Mobile' selected, type +91 98100 00066 and click 'Send the code'.</t>
        </is>
      </c>
      <c r="E550" s="11" t="inlineStr">
        <is>
          <t>The neutral 'Confirm your mobile' screen appears as for anyone, and the outbox shows no code was sent (no account exists).</t>
        </is>
      </c>
      <c r="F550" s="16" t="n"/>
      <c r="G550" s="16" t="n"/>
    </row>
    <row r="551">
      <c r="A551" s="10" t="inlineStr">
        <is>
          <t>CON-06</t>
        </is>
      </c>
      <c r="B551" s="11" t="inlineStr">
        <is>
          <t>A person under 18 cannot sign up, and no guardian route is offered</t>
        </is>
      </c>
      <c r="C551" s="11" t="n">
        <v>6</v>
      </c>
      <c r="D551" s="11" t="inlineStr">
        <is>
          <t>Return to 'Create your account' and submit the same name, mobile and email with the adult date of birth 01/01/1990.</t>
        </is>
      </c>
      <c r="E551" s="11" t="inlineStr">
        <is>
          <t>'Confirm your contacts' opens, proving nothing was half-created by the refused attempt (the mobile is not reported as already registered). Stop here; do not enter the codes.</t>
        </is>
      </c>
      <c r="F551" s="16" t="n"/>
      <c r="G551" s="16" t="n"/>
    </row>
    <row r="552">
      <c r="A552" s="10" t="inlineStr">
        <is>
          <t>CON-07</t>
        </is>
      </c>
      <c r="B552" s="11" t="inlineStr">
        <is>
          <t>A person who gives an under-18 date of birth at the link cannot record any choice, and no guardian route is offered</t>
        </is>
      </c>
      <c r="C552" s="11" t="n">
        <v>1</v>
      </c>
      <c r="D552" s="11" t="inlineStr">
        <is>
          <t>Open the CIT consent link. On the 'Your details' card select 'Email' under 'Send my code to', type tester07@example.org in 'Email address' and click 'Send the code'.</t>
        </is>
      </c>
      <c r="E552" s="11" t="inlineStr">
        <is>
          <t>The card changes to 'Confirm your email' and says 'We have sent a six-digit code to tester07@example.org. It expires in ten minutes.' The step bar at the top moves from 'Your details' to 'Confirm'.</t>
        </is>
      </c>
      <c r="F552" s="16" t="n"/>
      <c r="G552" s="16" t="n"/>
    </row>
    <row r="553">
      <c r="A553" s="10" t="inlineStr">
        <is>
          <t>CON-07</t>
        </is>
      </c>
      <c r="B553" s="11" t="inlineStr">
        <is>
          <t>A person who gives an under-18 date of birth at the link cannot record any choice, and no guardian route is offered</t>
        </is>
      </c>
      <c r="C553" s="11" t="n">
        <v>2</v>
      </c>
      <c r="D553" s="11" t="inlineStr">
        <is>
          <t>Type the relayed code and click 'Verify and continue'.</t>
        </is>
      </c>
      <c r="E553" s="11" t="inlineStr">
        <is>
          <t>The card 'Your date of birth' appears (the account has no date of birth).</t>
        </is>
      </c>
      <c r="F553" s="16" t="n"/>
      <c r="G553" s="16" t="n"/>
    </row>
    <row r="554">
      <c r="A554" s="10" t="inlineStr">
        <is>
          <t>CON-07</t>
        </is>
      </c>
      <c r="B554" s="11" t="inlineStr">
        <is>
          <t>A person who gives an under-18 date of birth at the link cannot record any choice, and no guardian route is offered</t>
        </is>
      </c>
      <c r="C554" s="11" t="n">
        <v>3</v>
      </c>
      <c r="D554" s="11" t="inlineStr">
        <is>
          <t>Enter 01/06/2011 and click 'Save and continue'.</t>
        </is>
      </c>
      <c r="E554" s="11" t="inlineStr">
        <is>
          <t>The notice with its two purposes is shown.</t>
        </is>
      </c>
      <c r="F554" s="16" t="n"/>
      <c r="G554" s="16" t="n"/>
    </row>
    <row r="555">
      <c r="A555" s="10" t="inlineStr">
        <is>
          <t>CON-07</t>
        </is>
      </c>
      <c r="B555" s="11" t="inlineStr">
        <is>
          <t>A person who gives an under-18 date of birth at the link cannot record any choice, and no guardian route is offered</t>
        </is>
      </c>
      <c r="C555" s="11" t="n">
        <v>4</v>
      </c>
      <c r="D555" s="11" t="inlineStr">
        <is>
          <t>Click 'I agree' on both purposes and click 'Record my choices'.</t>
        </is>
      </c>
      <c r="E555" s="11" t="inlineStr">
        <is>
          <t>A red message appears at the top of the page: 'We cannot register or record consent for a person under eighteen. If you think your date of birth is wrong, contact the Privacy Office.' The page stays on the notice. No Done step and no reference are shown.</t>
        </is>
      </c>
      <c r="F555" s="16" t="n"/>
      <c r="G555" s="16" t="n"/>
    </row>
    <row r="556">
      <c r="A556" s="10" t="inlineStr">
        <is>
          <t>CON-07</t>
        </is>
      </c>
      <c r="B556" s="11" t="inlineStr">
        <is>
          <t>A person who gives an under-18 date of birth at the link cannot record any choice, and no guardian route is offered</t>
        </is>
      </c>
      <c r="C556" s="11" t="n">
        <v>5</v>
      </c>
      <c r="D556" s="11" t="inlineStr">
        <is>
          <t>Click 'Decline everything'.</t>
        </is>
      </c>
      <c r="E556" s="11" t="inlineStr">
        <is>
          <t>The same refusal message appears. There is no 'You have declined' screen: a child's refusal is not recorded either.</t>
        </is>
      </c>
      <c r="F556" s="16" t="n"/>
      <c r="G556" s="16" t="n"/>
    </row>
    <row r="557">
      <c r="A557" s="10" t="inlineStr">
        <is>
          <t>CON-07</t>
        </is>
      </c>
      <c r="B557" s="11" t="inlineStr">
        <is>
          <t>A person who gives an under-18 date of birth at the link cannot record any choice, and no guardian route is offered</t>
        </is>
      </c>
      <c r="C557" s="11" t="n">
        <v>6</v>
      </c>
      <c r="D557" s="11" t="inlineStr">
        <is>
          <t>Look over the whole page, including the notice links.</t>
        </is>
      </c>
      <c r="E557" s="11" t="inlineStr">
        <is>
          <t>Nothing offers a parent or guardian route: no link, button, form or contact field for a guardian.</t>
        </is>
      </c>
      <c r="F557" s="16" t="n"/>
      <c r="G557" s="16" t="n"/>
    </row>
    <row r="558">
      <c r="A558" s="10" t="inlineStr">
        <is>
          <t>CON-07</t>
        </is>
      </c>
      <c r="B558" s="11" t="inlineStr">
        <is>
          <t>A person who gives an under-18 date of birth at the link cannot record any choice, and no guardian route is offered</t>
        </is>
      </c>
      <c r="C558" s="11" t="n">
        <v>7</v>
      </c>
      <c r="D558" s="11" t="inlineStr">
        <is>
          <t>Open http://localhost:3001/my-consents in the same window.</t>
        </is>
      </c>
      <c r="E558" s="11" t="inlineStr">
        <is>
          <t>'My consents' shows 'No consent records'.</t>
        </is>
      </c>
      <c r="F558" s="16" t="n"/>
      <c r="G558" s="16" t="n"/>
    </row>
    <row r="559">
      <c r="A559" s="10" t="inlineStr">
        <is>
          <t>CON-07</t>
        </is>
      </c>
      <c r="B559" s="11" t="inlineStr">
        <is>
          <t>A person who gives an under-18 date of birth at the link cannot record any choice, and no guardian route is offered</t>
        </is>
      </c>
      <c r="C559" s="11" t="n">
        <v>8</v>
      </c>
      <c r="D559" s="11" t="inlineStr">
        <is>
          <t>Click your name at the top right to open the account menu, click 'My profile' and look at 'Date of birth'.</t>
        </is>
      </c>
      <c r="E559" s="11" t="inlineStr">
        <is>
          <t>It shows the date entered, marked as under 18. Nothing on the page offers a way for a parent or guardian to consent. The badge reads 'Under 18 — we cannot record consent from you'.</t>
        </is>
      </c>
      <c r="F559" s="16" t="n"/>
      <c r="G559" s="16" t="n"/>
    </row>
    <row r="560">
      <c r="A560" s="10" t="inlineStr">
        <is>
          <t>CON-07</t>
        </is>
      </c>
      <c r="B560" s="11" t="inlineStr">
        <is>
          <t>A person who gives an under-18 date of birth at the link cannot record any choice, and no guardian route is offered</t>
        </is>
      </c>
      <c r="C560" s="11" t="n">
        <v>9</v>
      </c>
      <c r="D560" s="11" t="inlineStr">
        <is>
          <t>In the console, as the DPO, open 'Consents' and look for this account's name.</t>
        </is>
      </c>
      <c r="E560" s="11" t="inlineStr">
        <is>
          <t>There is no consent record for this account.</t>
        </is>
      </c>
      <c r="F560" s="16" t="n"/>
      <c r="G560" s="16" t="n"/>
    </row>
    <row r="561">
      <c r="A561" s="10" t="inlineStr">
        <is>
          <t>CON-08</t>
        </is>
      </c>
      <c r="B561" s="11" t="inlineStr">
        <is>
          <t>An invalid, altered, revoked or expired link shows 'This link is not valid' and nothing else</t>
        </is>
      </c>
      <c r="C561" s="11" t="n">
        <v>1</v>
      </c>
      <c r="D561" s="11" t="inlineStr">
        <is>
          <t>Open http://localhost:3001/c/not-a-real-link.</t>
        </is>
      </c>
      <c r="E561" s="11" t="inlineStr">
        <is>
          <t>A card with the heading 'This link is not valid' and 'It may have expired, been withdrawn, or been mistyped. Please ask the person who gave it to you for a current one.' and a link 'Your rights under the DPDP Act'. The banner shows only 'Consent' and 'Digital Personal Data Protection Act 2023' — no project or site name. There is no step bar, no contact box and no notice text.</t>
        </is>
      </c>
      <c r="F561" s="16" t="n"/>
      <c r="G561" s="16" t="n"/>
    </row>
    <row r="562">
      <c r="A562" s="10" t="inlineStr">
        <is>
          <t>CON-08</t>
        </is>
      </c>
      <c r="B562" s="11" t="inlineStr">
        <is>
          <t>An invalid, altered, revoked or expired link shows 'This link is not valid' and nothing else</t>
        </is>
      </c>
      <c r="C562" s="11" t="n">
        <v>2</v>
      </c>
      <c r="D562" s="11" t="inlineStr">
        <is>
          <t>Open the CIT link with its last character changed.</t>
        </is>
      </c>
      <c r="E562" s="11" t="inlineStr">
        <is>
          <t>Exactly the same page and wording as step 1.</t>
        </is>
      </c>
      <c r="F562" s="16" t="n"/>
      <c r="G562" s="16" t="n"/>
    </row>
    <row r="563">
      <c r="A563" s="10" t="inlineStr">
        <is>
          <t>CON-08</t>
        </is>
      </c>
      <c r="B563" s="11" t="inlineStr">
        <is>
          <t>An invalid, altered, revoked or expired link shows 'This link is not valid' and nothing else</t>
        </is>
      </c>
      <c r="C563" s="11" t="n">
        <v>3</v>
      </c>
      <c r="D563" s="11" t="inlineStr">
        <is>
          <t>If the coordinator supplied a revoked/replaced link, open it.</t>
        </is>
      </c>
      <c r="E563" s="11" t="inlineStr">
        <is>
          <t>Exactly the same page and wording; it does not say whether the link was revoked, expired or mistyped.</t>
        </is>
      </c>
      <c r="F563" s="16" t="n"/>
      <c r="G563" s="16" t="n"/>
    </row>
    <row r="564">
      <c r="A564" s="10" t="inlineStr">
        <is>
          <t>CON-08</t>
        </is>
      </c>
      <c r="B564" s="11" t="inlineStr">
        <is>
          <t>An invalid, altered, revoked or expired link shows 'This link is not valid' and nothing else</t>
        </is>
      </c>
      <c r="C564" s="11" t="n">
        <v>4</v>
      </c>
      <c r="D564" s="11" t="inlineStr">
        <is>
          <t>If the coordinator supplied an expired link, open it.</t>
        </is>
      </c>
      <c r="E564" s="11" t="inlineStr">
        <is>
          <t>Exactly the same page and wording.</t>
        </is>
      </c>
      <c r="F564" s="16" t="n"/>
      <c r="G564" s="16" t="n"/>
    </row>
    <row r="565">
      <c r="A565" s="10" t="inlineStr">
        <is>
          <t>CON-08</t>
        </is>
      </c>
      <c r="B565" s="11" t="inlineStr">
        <is>
          <t>An invalid, altered, revoked or expired link shows 'This link is not valid' and nothing else</t>
        </is>
      </c>
      <c r="C565" s="11" t="n">
        <v>5</v>
      </c>
      <c r="D565" s="11" t="inlineStr">
        <is>
          <t>Click 'Your rights under the DPDP Act'.</t>
        </is>
      </c>
      <c r="E565" s="11" t="inlineStr">
        <is>
          <t>A page explaining the data principal's rights opens.</t>
        </is>
      </c>
      <c r="F565" s="16" t="n"/>
      <c r="G565" s="16" t="n"/>
    </row>
    <row r="566">
      <c r="A566" s="10" t="inlineStr">
        <is>
          <t>CON-08</t>
        </is>
      </c>
      <c r="B566" s="11" t="inlineStr">
        <is>
          <t>An invalid, altered, revoked or expired link shows 'This link is not valid' and nothing else</t>
        </is>
      </c>
      <c r="C566" s="11" t="n">
        <v>6</v>
      </c>
      <c r="D566" s="11" t="inlineStr">
        <is>
          <t>Open the original, correct CIT link.</t>
        </is>
      </c>
      <c r="E566" s="11" t="inlineStr">
        <is>
          <t>The normal 'Your details' page opens with the project banner, so the earlier attempts did not affect the valid link.</t>
        </is>
      </c>
      <c r="F566" s="16" t="n"/>
      <c r="G566" s="16" t="n"/>
    </row>
    <row r="567">
      <c r="A567" s="10" t="inlineStr">
        <is>
          <t>CON-09</t>
        </is>
      </c>
      <c r="B567" s="11" t="inlineStr">
        <is>
          <t>On My consents the principal sees her choices, the exact notice she was served and the record</t>
        </is>
      </c>
      <c r="C567" s="11" t="n">
        <v>1</v>
      </c>
      <c r="D567" s="11" t="inlineStr">
        <is>
          <t>Open http://localhost:3001/sign-in. Under 'Sign in with' select 'Email', type tester01@example.org in 'Email address' and click 'Send me a code'. Then type the code the coordinator relays into 'Six-digit code' and click 'Verify'.</t>
        </is>
      </c>
      <c r="E567" s="11" t="inlineStr">
        <is>
          <t>After 'Send me a code' a blue box 'Check your messages' says 'If tester01@example.org is registered with us, a six-digit code is on its way. It expires in ten minutes.' After 'Verify' the page 'My consents' opens and 'My consents' is highlighted in the sidebar.</t>
        </is>
      </c>
      <c r="F567" s="16" t="n"/>
      <c r="G567" s="16" t="n"/>
    </row>
    <row r="568">
      <c r="A568" s="10" t="inlineStr">
        <is>
          <t>CON-09</t>
        </is>
      </c>
      <c r="B568" s="11" t="inlineStr">
        <is>
          <t>On My consents the principal sees her choices, the exact notice she was served and the record</t>
        </is>
      </c>
      <c r="C568" s="11" t="n">
        <v>2</v>
      </c>
      <c r="D568" s="11" t="inlineStr">
        <is>
          <t>Read the page header and the card for 'Gait Identification Study 2026'.</t>
        </is>
      </c>
      <c r="E568" s="11" t="inlineStr">
        <is>
          <t>Description: 'Everything you have agreed to, the exact wording you were shown, and who it has been shared with. You can withdraw at any time.' The card shows 'NTC-GAIT-2026 v1 · hindi · &lt;date and time&gt;', status 'Partial', 'You agreed to 1 of 2 purposes.' and the buttons 'See what you agreed to', 'What was recorded' and 'Withdraw everything'. There is no button for a request about this one consent: a rights request covers everything held about her and is made from 'My requests' (step 8).</t>
        </is>
      </c>
      <c r="F568" s="16" t="n"/>
      <c r="G568" s="16" t="n"/>
    </row>
    <row r="569">
      <c r="A569" s="10" t="inlineStr">
        <is>
          <t>CON-09</t>
        </is>
      </c>
      <c r="B569" s="11" t="inlineStr">
        <is>
          <t>On My consents the principal sees her choices, the exact notice she was served and the record</t>
        </is>
      </c>
      <c r="C569" s="11" t="n">
        <v>3</v>
      </c>
      <c r="D569" s="11" t="inlineStr">
        <is>
          <t>Click 'See what you agreed to'.</t>
        </is>
      </c>
      <c r="E569" s="11" t="inlineStr">
        <is>
          <t>The button changes to 'Hide details'. 'Gait model training' shows the badge 'Consented' and a 'Withdraw just this one' button; 'Recording quality assurance' shows 'Declined' and no withdraw button. Each shows 'Data:' and 'Kept for:'.</t>
        </is>
      </c>
      <c r="F569" s="16" t="n"/>
      <c r="G569" s="16" t="n"/>
    </row>
    <row r="570">
      <c r="A570" s="10" t="inlineStr">
        <is>
          <t>CON-09</t>
        </is>
      </c>
      <c r="B570" s="11" t="inlineStr">
        <is>
          <t>On My consents the principal sees her choices, the exact notice she was served and the record</t>
        </is>
      </c>
      <c r="C570" s="11" t="n">
        <v>4</v>
      </c>
      <c r="D570" s="11" t="inlineStr">
        <is>
          <t>Click 'Show the exact notice I was given'.</t>
        </is>
      </c>
      <c r="E570" s="11" t="inlineStr">
        <is>
          <t>A box shows 'Served &lt;date and time&gt;', a green 'Integrity verified', the Hindi notice text exactly as it was shown at the link (starting 'धारा 5'), and 'Hash recorded at capture:' with a code.</t>
        </is>
      </c>
      <c r="F570" s="16" t="n"/>
      <c r="G570" s="16" t="n"/>
    </row>
    <row r="571">
      <c r="A571" s="10" t="inlineStr">
        <is>
          <t>CON-09</t>
        </is>
      </c>
      <c r="B571" s="11" t="inlineStr">
        <is>
          <t>On My consents the principal sees her choices, the exact notice she was served and the record</t>
        </is>
      </c>
      <c r="C571" s="11" t="n">
        <v>5</v>
      </c>
      <c r="D571" s="11" t="inlineStr">
        <is>
          <t>Click 'What was recorded'.</t>
        </is>
      </c>
      <c r="E571" s="11" t="inlineStr">
        <is>
          <t>A panel 'What was recorded' opens ('The same record the Privacy Office sees, for this consent and every change to it. Oldest first.') listing at least the consent being given. The button now reads 'Hide the record'.</t>
        </is>
      </c>
      <c r="F571" s="16" t="n"/>
      <c r="G571" s="16" t="n"/>
    </row>
    <row r="572">
      <c r="A572" s="10" t="inlineStr">
        <is>
          <t>CON-09</t>
        </is>
      </c>
      <c r="B572" s="11" t="inlineStr">
        <is>
          <t>On My consents the principal sees her choices, the exact notice she was served and the record</t>
        </is>
      </c>
      <c r="C572" s="11" t="n">
        <v>6</v>
      </c>
      <c r="D572" s="11" t="inlineStr">
        <is>
          <t>Scroll to 'Who your data has been shared with'.</t>
        </is>
      </c>
      <c r="E572" s="11" t="inlineStr">
        <is>
          <t>Before any export (CON-14): 'No sharing recorded here' / 'This lists every file of your details this platform has sent to a processor. None has been sent.' After CON-14: an entry naming the processor 'SEED' with the project name and date.</t>
        </is>
      </c>
      <c r="F572" s="16" t="n"/>
      <c r="G572" s="16" t="n"/>
    </row>
    <row r="573">
      <c r="A573" s="10" t="inlineStr">
        <is>
          <t>CON-09</t>
        </is>
      </c>
      <c r="B573" s="11" t="inlineStr">
        <is>
          <t>On My consents the principal sees her choices, the exact notice she was served and the record</t>
        </is>
      </c>
      <c r="C573" s="11" t="n">
        <v>7</v>
      </c>
      <c r="D573" s="11" t="inlineStr">
        <is>
          <t>Click 'Hide details' and 'Hide the record'.</t>
        </is>
      </c>
      <c r="E573" s="11" t="inlineStr">
        <is>
          <t>Both sections close. Nothing has changed: the status is still 'Partial'.</t>
        </is>
      </c>
      <c r="F573" s="16" t="n"/>
      <c r="G573" s="16" t="n"/>
    </row>
    <row r="574">
      <c r="A574" s="10" t="inlineStr">
        <is>
          <t>CON-09</t>
        </is>
      </c>
      <c r="B574" s="11" t="inlineStr">
        <is>
          <t>On My consents the principal sees her choices, the exact notice she was served and the record</t>
        </is>
      </c>
      <c r="C574" s="11" t="n">
        <v>8</v>
      </c>
      <c r="D574" s="11" t="inlineStr">
        <is>
          <t>Click 'My requests' in the sidebar, then 'Make a request'. Read the dialog, then close it with the × at its top right without sending anything.</t>
        </is>
      </c>
      <c r="E574" s="11" t="inlineStr">
        <is>
          <t>A dialog 'Make a request' opens with 'What are you asking for' and 'Your request', and the line 'A request is about everything we hold about you - every project and every consent.' There is no box for choosing a consent or a project. Closing it sends nothing.</t>
        </is>
      </c>
      <c r="F574" s="16" t="n"/>
      <c r="G574" s="16" t="n"/>
    </row>
    <row r="575">
      <c r="A575" s="10" t="inlineStr">
        <is>
          <t>CON-10</t>
        </is>
      </c>
      <c r="B575" s="11" t="inlineStr">
        <is>
          <t>The principal withdraws everything, with a confirmation she can cancel</t>
        </is>
      </c>
      <c r="C575" s="11" t="n">
        <v>1</v>
      </c>
      <c r="D575" s="11" t="inlineStr">
        <is>
          <t>Open http://localhost:3001/sign-in. Under 'Sign in with' select 'Email', type dcoadmin@cmp.local in 'Email address' and click 'Send me a code'. Then type the code the coordinator relays into 'Six-digit code' and click 'Verify'.</t>
        </is>
      </c>
      <c r="E575" s="11" t="inlineStr">
        <is>
          <t>After 'Send me a code' a blue box 'Check your messages' says 'If dcoadmin@cmp.local is registered with us, a six-digit code is on its way. It expires in ten minutes.' After 'Verify' the page 'My consents' opens and 'My consents' is highlighted in the sidebar.</t>
        </is>
      </c>
      <c r="F575" s="16" t="n"/>
      <c r="G575" s="16" t="n"/>
    </row>
    <row r="576">
      <c r="A576" s="10" t="inlineStr">
        <is>
          <t>CON-10</t>
        </is>
      </c>
      <c r="B576" s="11" t="inlineStr">
        <is>
          <t>The principal withdraws everything, with a confirmation she can cancel</t>
        </is>
      </c>
      <c r="C576" s="11" t="n">
        <v>2</v>
      </c>
      <c r="D576" s="11" t="inlineStr">
        <is>
          <t>On the card 'Gait Identification Study 2026' (status 'Consented', 'You agreed to both purposes.') click 'Withdraw everything'.</t>
        </is>
      </c>
      <c r="E576" s="11" t="inlineStr">
        <is>
          <t>A warning 'Withdraw all purposes?' appears: 'Processing for these purposes will stop. Data already collected is not deleted by a withdrawal — if you want it erased, make a rights request.' with the buttons 'Withdraw' and 'Keep my consent'.</t>
        </is>
      </c>
      <c r="F576" s="16" t="n"/>
      <c r="G576" s="16" t="n"/>
    </row>
    <row r="577">
      <c r="A577" s="10" t="inlineStr">
        <is>
          <t>CON-10</t>
        </is>
      </c>
      <c r="B577" s="11" t="inlineStr">
        <is>
          <t>The principal withdraws everything, with a confirmation she can cancel</t>
        </is>
      </c>
      <c r="C577" s="11" t="n">
        <v>3</v>
      </c>
      <c r="D577" s="11" t="inlineStr">
        <is>
          <t>Click 'Keep my consent'.</t>
        </is>
      </c>
      <c r="E577" s="11" t="inlineStr">
        <is>
          <t>The warning closes and the status is still 'Consented'.</t>
        </is>
      </c>
      <c r="F577" s="16" t="n"/>
      <c r="G577" s="16" t="n"/>
    </row>
    <row r="578">
      <c r="A578" s="10" t="inlineStr">
        <is>
          <t>CON-10</t>
        </is>
      </c>
      <c r="B578" s="11" t="inlineStr">
        <is>
          <t>The principal withdraws everything, with a confirmation she can cancel</t>
        </is>
      </c>
      <c r="C578" s="11" t="n">
        <v>4</v>
      </c>
      <c r="D578" s="11" t="inlineStr">
        <is>
          <t>Click 'Withdraw everything' again, then 'Withdraw'.</t>
        </is>
      </c>
      <c r="E578" s="11" t="inlineStr">
        <is>
          <t>A notice 'Withdrawal recorded' appears with 'Stopped: Gait model training, Recording quality assurance.' (the order may differ).</t>
        </is>
      </c>
      <c r="F578" s="16" t="n"/>
      <c r="G578" s="16" t="n"/>
    </row>
    <row r="579">
      <c r="A579" s="10" t="inlineStr">
        <is>
          <t>CON-10</t>
        </is>
      </c>
      <c r="B579" s="11" t="inlineStr">
        <is>
          <t>The principal withdraws everything, with a confirmation she can cancel</t>
        </is>
      </c>
      <c r="C579" s="11" t="n">
        <v>5</v>
      </c>
      <c r="D579" s="11" t="inlineStr">
        <is>
          <t>Look at the card.</t>
        </is>
      </c>
      <c r="E579" s="11" t="inlineStr">
        <is>
          <t>The status is 'Withdrawn' and the text reads 'You were asked about 2 purposes and agreed to none.' The 'Withdraw everything' button is gone.</t>
        </is>
      </c>
      <c r="F579" s="16" t="n"/>
      <c r="G579" s="16" t="n"/>
    </row>
    <row r="580">
      <c r="A580" s="10" t="inlineStr">
        <is>
          <t>CON-10</t>
        </is>
      </c>
      <c r="B580" s="11" t="inlineStr">
        <is>
          <t>The principal withdraws everything, with a confirmation she can cancel</t>
        </is>
      </c>
      <c r="C580" s="11" t="n">
        <v>6</v>
      </c>
      <c r="D580" s="11" t="inlineStr">
        <is>
          <t>Click 'See what you were asked', then 'Show the exact notice I was given'.</t>
        </is>
      </c>
      <c r="E580" s="11" t="inlineStr">
        <is>
          <t>Both purposes show 'Declined'. The notice box still shows the English text originally served, with 'Integrity verified'.</t>
        </is>
      </c>
      <c r="F580" s="16" t="n"/>
      <c r="G580" s="16" t="n"/>
    </row>
    <row r="581">
      <c r="A581" s="10" t="inlineStr">
        <is>
          <t>CON-10</t>
        </is>
      </c>
      <c r="B581" s="11" t="inlineStr">
        <is>
          <t>The principal withdraws everything, with a confirmation she can cancel</t>
        </is>
      </c>
      <c r="C581" s="11" t="n">
        <v>7</v>
      </c>
      <c r="D581" s="11" t="inlineStr">
        <is>
          <t>Click 'What was recorded'.</t>
        </is>
      </c>
      <c r="E581" s="11" t="inlineStr">
        <is>
          <t>The list shows the consent and, after it, the withdrawal.</t>
        </is>
      </c>
      <c r="F581" s="16" t="n"/>
      <c r="G581" s="16" t="n"/>
    </row>
    <row r="582">
      <c r="A582" s="10" t="inlineStr">
        <is>
          <t>CON-10</t>
        </is>
      </c>
      <c r="B582" s="11" t="inlineStr">
        <is>
          <t>The principal withdraws everything, with a confirmation she can cancel</t>
        </is>
      </c>
      <c r="C582" s="11" t="n">
        <v>8</v>
      </c>
      <c r="D582" s="11" t="inlineStr">
        <is>
          <t>Ask the coordinator to check the outbox for dcoadmin@cmp.local.</t>
        </is>
      </c>
      <c r="E582" s="11" t="inlineStr">
        <is>
          <t>A withdrawal confirmation message is present.</t>
        </is>
      </c>
      <c r="F582" s="16" t="n"/>
      <c r="G582" s="16" t="n"/>
    </row>
    <row r="583">
      <c r="A583" s="10" t="inlineStr">
        <is>
          <t>CON-11</t>
        </is>
      </c>
      <c r="B583" s="11" t="inlineStr">
        <is>
          <t>Without a date of birth, My consents and My requests stay open while other pages ask for it</t>
        </is>
      </c>
      <c r="C583" s="11" t="n">
        <v>1</v>
      </c>
      <c r="D583" s="11" t="inlineStr">
        <is>
          <t>Open http://localhost:3001/sign-in. Under 'Sign in with' select 'Email', type admin@cmp.local in 'Email address' and click 'Send me a code'. Then type the code the coordinator relays into 'Six-digit code' and click 'Verify'.</t>
        </is>
      </c>
      <c r="E583" s="11" t="inlineStr">
        <is>
          <t>'My consents' opens — it is NOT replaced by a date-of-birth question. A blue note 'We need your date of birth' reads 'You can withdraw a consent or make a request without it, but we need it before you give a new consent.' with a link 'Add it now'.</t>
        </is>
      </c>
      <c r="F583" s="16" t="n"/>
      <c r="G583" s="16" t="n"/>
    </row>
    <row r="584">
      <c r="A584" s="10" t="inlineStr">
        <is>
          <t>CON-11</t>
        </is>
      </c>
      <c r="B584" s="11" t="inlineStr">
        <is>
          <t>Without a date of birth, My consents and My requests stay open while other pages ask for it</t>
        </is>
      </c>
      <c r="C584" s="11" t="n">
        <v>2</v>
      </c>
      <c r="D584" s="11" t="inlineStr">
        <is>
          <t>Look below the note.</t>
        </is>
      </c>
      <c r="E584" s="11" t="inlineStr">
        <is>
          <t>The page works normally; with no consents it shows 'No consent records'.</t>
        </is>
      </c>
      <c r="F584" s="16" t="n"/>
      <c r="G584" s="16" t="n"/>
    </row>
    <row r="585">
      <c r="A585" s="10" t="inlineStr">
        <is>
          <t>CON-11</t>
        </is>
      </c>
      <c r="B585" s="11" t="inlineStr">
        <is>
          <t>Without a date of birth, My consents and My requests stay open while other pages ask for it</t>
        </is>
      </c>
      <c r="C585" s="11" t="n">
        <v>3</v>
      </c>
      <c r="D585" s="11" t="inlineStr">
        <is>
          <t>Click 'Add it now' in the note.</t>
        </is>
      </c>
      <c r="E585" s="11" t="inlineStr">
        <is>
          <t>'My profile' opens and shows the card 'Your date of birth' with 'Save and continue'. Do not enter a date.</t>
        </is>
      </c>
      <c r="F585" s="16" t="n"/>
      <c r="G585" s="16" t="n"/>
    </row>
    <row r="586">
      <c r="A586" s="10" t="inlineStr">
        <is>
          <t>CON-11</t>
        </is>
      </c>
      <c r="B586" s="11" t="inlineStr">
        <is>
          <t>Without a date of birth, My consents and My requests stay open while other pages ask for it</t>
        </is>
      </c>
      <c r="C586" s="11" t="n">
        <v>4</v>
      </c>
      <c r="D586" s="11" t="inlineStr">
        <is>
          <t>Click 'My requests' in the sidebar.</t>
        </is>
      </c>
      <c r="E586" s="11" t="inlineStr">
        <is>
          <t>The requests page opens normally, with the same 'We need your date of birth' note.</t>
        </is>
      </c>
      <c r="F586" s="16" t="n"/>
      <c r="G586" s="16" t="n"/>
    </row>
    <row r="587">
      <c r="A587" s="10" t="inlineStr">
        <is>
          <t>CON-11</t>
        </is>
      </c>
      <c r="B587" s="11" t="inlineStr">
        <is>
          <t>Without a date of birth, My consents and My requests stay open while other pages ask for it</t>
        </is>
      </c>
      <c r="C587" s="11" t="n">
        <v>5</v>
      </c>
      <c r="D587" s="11" t="inlineStr">
        <is>
          <t>Click your name at the top right to open the account menu, then click 'My profile'.</t>
        </is>
      </c>
      <c r="E587" s="11" t="inlineStr">
        <is>
          <t>The page is replaced by the card 'Your date of birth' with 'Save and continue', and the line 'You can still withdraw a consent or make a request without it.'</t>
        </is>
      </c>
      <c r="F587" s="16" t="n"/>
      <c r="G587" s="16" t="n"/>
    </row>
    <row r="588">
      <c r="A588" s="10" t="inlineStr">
        <is>
          <t>CON-11</t>
        </is>
      </c>
      <c r="B588" s="11" t="inlineStr">
        <is>
          <t>Without a date of birth, My consents and My requests stay open while other pages ask for it</t>
        </is>
      </c>
      <c r="C588" s="11" t="n">
        <v>6</v>
      </c>
      <c r="D588" s="11" t="inlineStr">
        <is>
          <t>Click the 'withdraw a consent' link on that card.</t>
        </is>
      </c>
      <c r="E588" s="11" t="inlineStr">
        <is>
          <t>'My consents' opens again, with the note.</t>
        </is>
      </c>
      <c r="F588" s="16" t="n"/>
      <c r="G588" s="16" t="n"/>
    </row>
    <row r="589">
      <c r="A589" s="10" t="inlineStr">
        <is>
          <t>CON-11</t>
        </is>
      </c>
      <c r="B589" s="11" t="inlineStr">
        <is>
          <t>Without a date of birth, My consents and My requests stay open while other pages ask for it</t>
        </is>
      </c>
      <c r="C589" s="11" t="n">
        <v>7</v>
      </c>
      <c r="D589" s="11" t="inlineStr">
        <is>
          <t>Do not enter a date. Click 'Sign out'.</t>
        </is>
      </c>
      <c r="E589" s="11" t="inlineStr">
        <is>
          <t>You are signed out; no date of birth was saved.</t>
        </is>
      </c>
      <c r="F589" s="16" t="n"/>
      <c r="G589" s="16" t="n"/>
    </row>
    <row r="590">
      <c r="A590" s="10" t="inlineStr">
        <is>
          <t>CON-11</t>
        </is>
      </c>
      <c r="B590" s="11" t="inlineStr">
        <is>
          <t>Without a date of birth, My consents and My requests stay open while other pages ask for it</t>
        </is>
      </c>
      <c r="C590" s="11" t="n">
        <v>8</v>
      </c>
      <c r="D590" s="11" t="inlineStr">
        <is>
          <t>Only if the coordinator supplied an account with no date of birth and an active consent: sign in as it, click 'Withdraw everything' on its card, then 'Withdraw'.</t>
        </is>
      </c>
      <c r="E590" s="11" t="inlineStr">
        <is>
          <t>'Withdrawal recorded' appears and the card shows 'Withdrawn'. No date of birth was asked for at any point.</t>
        </is>
      </c>
      <c r="F590" s="16" t="n"/>
      <c r="G590" s="16" t="n"/>
    </row>
    <row r="591">
      <c r="A591" s="10" t="inlineStr">
        <is>
          <t>CON-12</t>
        </is>
      </c>
      <c r="B591" s="11" t="inlineStr">
        <is>
          <t>The DPO reads the consent register and a consent record as evidence</t>
        </is>
      </c>
      <c r="C591" s="11" t="n">
        <v>1</v>
      </c>
      <c r="D591" s="11" t="inlineStr">
        <is>
          <t>In the sidebar, under 'Consent', click 'Consents'.</t>
        </is>
      </c>
      <c r="E591" s="11" t="inlineStr">
        <is>
          <t>The page 'Consents' opens ('The current position for every data subject in scope…') with a 'Status' filter and the columns Data subject, Project, Site, Status, Purposes, Recorded.</t>
        </is>
      </c>
      <c r="F591" s="16" t="n"/>
      <c r="G591" s="16" t="n"/>
    </row>
    <row r="592">
      <c r="A592" s="10" t="inlineStr">
        <is>
          <t>CON-12</t>
        </is>
      </c>
      <c r="B592" s="11" t="inlineStr">
        <is>
          <t>The DPO reads the consent register and a consent record as evidence</t>
        </is>
      </c>
      <c r="C592" s="11" t="n">
        <v>2</v>
      </c>
      <c r="D592" s="11" t="inlineStr">
        <is>
          <t>Find the four test people on 'Gait Identification Study 2026', site 'CIT'.</t>
        </is>
      </c>
      <c r="E592" s="11" t="inlineStr">
        <is>
          <t>Each appears once (latest record only): Anjali Verma 'Consented' '2 of 2'; UAT Tester One 'Partial' '1 of 2'; UAT Tester Two 'Declined' '0 of 2'; Nikhil Bose 'Withdrawn'.</t>
        </is>
      </c>
      <c r="F592" s="16" t="n"/>
      <c r="G592" s="16" t="n"/>
    </row>
    <row r="593">
      <c r="A593" s="10" t="inlineStr">
        <is>
          <t>CON-12</t>
        </is>
      </c>
      <c r="B593" s="11" t="inlineStr">
        <is>
          <t>The DPO reads the consent register and a consent record as evidence</t>
        </is>
      </c>
      <c r="C593" s="11" t="n">
        <v>3</v>
      </c>
      <c r="D593" s="11" t="inlineStr">
        <is>
          <t>Set 'Status' to 'Partial', then 'Declined', then 'Withdrawn', then 'Consented', then back to 'All statuses'.</t>
        </is>
      </c>
      <c r="E593" s="11" t="inlineStr">
        <is>
          <t>Each time only rows with that status are listed, and the matching test person is among them. 'All statuses' shows everyone again.</t>
        </is>
      </c>
      <c r="F593" s="16" t="n"/>
      <c r="G593" s="16" t="n"/>
    </row>
    <row r="594">
      <c r="A594" s="10" t="inlineStr">
        <is>
          <t>CON-12</t>
        </is>
      </c>
      <c r="B594" s="11" t="inlineStr">
        <is>
          <t>The DPO reads the consent register and a consent record as evidence</t>
        </is>
      </c>
      <c r="C594" s="11" t="n">
        <v>4</v>
      </c>
      <c r="D594" s="11" t="inlineStr">
        <is>
          <t>Click 'UAT Tester One'.</t>
        </is>
      </c>
      <c r="E594" s="11" t="inlineStr">
        <is>
          <t>The record page opens: small heading 'Consent', title 'UAT Tester One', 'Gait Identification Study 2026 · CIT', the status 'Partial', an 'Audit trail' button and the back link 'All consents'.</t>
        </is>
      </c>
      <c r="F594" s="16" t="n"/>
      <c r="G594" s="16" t="n"/>
    </row>
    <row r="595">
      <c r="A595" s="10" t="inlineStr">
        <is>
          <t>CON-12</t>
        </is>
      </c>
      <c r="B595" s="11" t="inlineStr">
        <is>
          <t>The DPO reads the consent register and a consent record as evidence</t>
        </is>
      </c>
      <c r="C595" s="11" t="n">
        <v>5</v>
      </c>
      <c r="D595" s="11" t="inlineStr">
        <is>
          <t>Read the 'Purposes' card.</t>
        </is>
      </c>
      <c r="E595" s="11" t="inlineStr">
        <is>
          <t>'1 of 2 purposes agreed.' 'Gait model training' shows 'Agreed'; 'Recording quality assurance' shows 'Not agreed'. Each line shows 'Lawful basis:', 'Retention:' and 'Categories:'.</t>
        </is>
      </c>
      <c r="F595" s="16" t="n"/>
      <c r="G595" s="16" t="n"/>
    </row>
    <row r="596">
      <c r="A596" s="10" t="inlineStr">
        <is>
          <t>CON-12</t>
        </is>
      </c>
      <c r="B596" s="11" t="inlineStr">
        <is>
          <t>The DPO reads the consent register and a consent record as evidence</t>
        </is>
      </c>
      <c r="C596" s="11" t="n">
        <v>6</v>
      </c>
      <c r="D596" s="11" t="inlineStr">
        <is>
          <t>Read the 'Evidence' card.</t>
        </is>
      </c>
      <c r="E596" s="11" t="inlineStr">
        <is>
          <t>'Notice' NTC-GAIT-2026 v1 (a link), 'Language' Hindi, 'Content hash', 'Served at' and 'Acted at' (Served at is not later than Acted at), 'Action' Checkbox click. A note explains the gap between served and acted evidences s.5(1).</t>
        </is>
      </c>
      <c r="F596" s="16" t="n"/>
      <c r="G596" s="16" t="n"/>
    </row>
    <row r="597">
      <c r="A597" s="10" t="inlineStr">
        <is>
          <t>CON-12</t>
        </is>
      </c>
      <c r="B597" s="11" t="inlineStr">
        <is>
          <t>The DPO reads the consent register and a consent record as evidence</t>
        </is>
      </c>
      <c r="C597" s="11" t="n">
        <v>7</v>
      </c>
      <c r="D597" s="11" t="inlineStr">
        <is>
          <t>Read the 'Data subject' card and 'Assets containing this person'.</t>
        </is>
      </c>
      <c r="E597" s="11" t="inlineStr">
        <is>
          <t>'Data subject' shows Name, Email (tester01@example.org), Mobile, Site CIT, Project, Record and Recorded — no date of birth or other personal data. 'Assets containing this person' shows 'No assets mapped' (before CON-18).</t>
        </is>
      </c>
      <c r="F597" s="16" t="n"/>
      <c r="G597" s="16" t="n"/>
    </row>
    <row r="598">
      <c r="A598" s="10" t="inlineStr">
        <is>
          <t>CON-12</t>
        </is>
      </c>
      <c r="B598" s="11" t="inlineStr">
        <is>
          <t>The DPO reads the consent register and a consent record as evidence</t>
        </is>
      </c>
      <c r="C598" s="11" t="n">
        <v>8</v>
      </c>
      <c r="D598" s="11" t="inlineStr">
        <is>
          <t>Look for any control to edit or delete the record.</t>
        </is>
      </c>
      <c r="E598" s="11" t="inlineStr">
        <is>
          <t>There is none; the record is read-only.</t>
        </is>
      </c>
      <c r="F598" s="16" t="n"/>
      <c r="G598" s="16" t="n"/>
    </row>
    <row r="599">
      <c r="A599" s="10" t="inlineStr">
        <is>
          <t>CON-12</t>
        </is>
      </c>
      <c r="B599" s="11" t="inlineStr">
        <is>
          <t>The DPO reads the consent register and a consent record as evidence</t>
        </is>
      </c>
      <c r="C599" s="11" t="n">
        <v>9</v>
      </c>
      <c r="D599" s="11" t="inlineStr">
        <is>
          <t>Click 'All consents' and open 'Nikhil Bose'.</t>
        </is>
      </c>
      <c r="E599" s="11" t="inlineStr">
        <is>
          <t>A warning 'This record is a withdrawal' says it supersedes an earlier consent rather than replacing it. Both purposes show 'Not agreed' and 'Action' is 'Button press'.</t>
        </is>
      </c>
      <c r="F599" s="16" t="n"/>
      <c r="G599" s="16" t="n"/>
    </row>
    <row r="600">
      <c r="A600" s="10" t="inlineStr">
        <is>
          <t>CON-12</t>
        </is>
      </c>
      <c r="B600" s="11" t="inlineStr">
        <is>
          <t>The DPO reads the consent register and a consent record as evidence</t>
        </is>
      </c>
      <c r="C600" s="11" t="n">
        <v>10</v>
      </c>
      <c r="D600" s="11" t="inlineStr">
        <is>
          <t>Click 'Audit trail' on this record.</t>
        </is>
      </c>
      <c r="E600" s="11" t="inlineStr">
        <is>
          <t>The 'Audit trail' page opens already filtered to this record (a filter chip is shown) and lists 'Consent withdrawn'.</t>
        </is>
      </c>
      <c r="F600" s="16" t="n"/>
      <c r="G600" s="16" t="n"/>
    </row>
    <row r="601">
      <c r="A601" s="10" t="inlineStr">
        <is>
          <t>CON-13</t>
        </is>
      </c>
      <c r="B601" s="11" t="inlineStr">
        <is>
          <t>Consent records and exports are limited to the sites a role runs; other roles have no access</t>
        </is>
      </c>
      <c r="C601" s="11" t="n">
        <v>1</v>
      </c>
      <c r="D601" s="11" t="inlineStr">
        <is>
          <t>Sign in as dco@cmp.local and click 'Consents'.</t>
        </is>
      </c>
      <c r="E601" s="11" t="inlineStr">
        <is>
          <t>The CIT rows for Anjali Verma, UAT Tester One, UAT Tester Two and Nikhil Bose are listed.</t>
        </is>
      </c>
      <c r="F601" s="16" t="n"/>
      <c r="G601" s="16" t="n"/>
    </row>
    <row r="602">
      <c r="A602" s="10" t="inlineStr">
        <is>
          <t>CON-13</t>
        </is>
      </c>
      <c r="B602" s="11" t="inlineStr">
        <is>
          <t>Consent records and exports are limited to the sites a role runs; other roles have no access</t>
        </is>
      </c>
      <c r="C602" s="11" t="n">
        <v>2</v>
      </c>
      <c r="D602" s="11" t="inlineStr">
        <is>
          <t>Open one of them.</t>
        </is>
      </c>
      <c r="E602" s="11" t="inlineStr">
        <is>
          <t>The record opens read-only, as for the DPO.</t>
        </is>
      </c>
      <c r="F602" s="16" t="n"/>
      <c r="G602" s="16" t="n"/>
    </row>
    <row r="603">
      <c r="A603" s="10" t="inlineStr">
        <is>
          <t>CON-13</t>
        </is>
      </c>
      <c r="B603" s="11" t="inlineStr">
        <is>
          <t>Consent records and exports are limited to the sites a role runs; other roles have no access</t>
        </is>
      </c>
      <c r="C603" s="11" t="n">
        <v>3</v>
      </c>
      <c r="D603" s="11" t="inlineStr">
        <is>
          <t>Sign out, sign in as rco@cmp.local and click 'Consents'.</t>
        </is>
      </c>
      <c r="E603" s="11" t="inlineStr">
        <is>
          <t>None of the CIT test people are listed (the RCO runs only the SE site); the list is empty ('No consent records yet') unless someone consented at SE.</t>
        </is>
      </c>
      <c r="F603" s="16" t="n"/>
      <c r="G603" s="16" t="n"/>
    </row>
    <row r="604">
      <c r="A604" s="10" t="inlineStr">
        <is>
          <t>CON-13</t>
        </is>
      </c>
      <c r="B604" s="11" t="inlineStr">
        <is>
          <t>Consent records and exports are limited to the sites a role runs; other roles have no access</t>
        </is>
      </c>
      <c r="C604" s="11" t="n">
        <v>4</v>
      </c>
      <c r="D604" s="11" t="inlineStr">
        <is>
          <t>As the RCO click 'My projects', type 'Gait Identification' in 'Search' (the list updates as you type), open 'Gait Identification Study 2026', click the 'Collections &amp; exchanges' tab, then 'Generate export' and 'Generate the export'.</t>
        </is>
      </c>
      <c r="E604" s="11" t="inlineStr">
        <is>
          <t>The notice 'Export generated' says 'Nobody has consented on this project yet, so the file carries the project details only.' — the RCO's export contains none of the CIT people.</t>
        </is>
      </c>
      <c r="F604" s="16" t="n"/>
      <c r="G604" s="16" t="n"/>
    </row>
    <row r="605">
      <c r="A605" s="10" t="inlineStr">
        <is>
          <t>CON-13</t>
        </is>
      </c>
      <c r="B605" s="11" t="inlineStr">
        <is>
          <t>Consent records and exports are limited to the sites a role runs; other roles have no access</t>
        </is>
      </c>
      <c r="C605" s="11" t="n">
        <v>5</v>
      </c>
      <c r="D605" s="11" t="inlineStr">
        <is>
          <t>Sign out, sign in as rnd@cmp.local and look at the sidebar.</t>
        </is>
      </c>
      <c r="E605" s="11" t="inlineStr">
        <is>
          <t>There is no 'Consents', 'Consent links' or 'Exports' entry.</t>
        </is>
      </c>
      <c r="F605" s="16" t="n"/>
      <c r="G605" s="16" t="n"/>
    </row>
    <row r="606">
      <c r="A606" s="10" t="inlineStr">
        <is>
          <t>CON-13</t>
        </is>
      </c>
      <c r="B606" s="11" t="inlineStr">
        <is>
          <t>Consent records and exports are limited to the sites a role runs; other roles have no access</t>
        </is>
      </c>
      <c r="C606" s="11" t="n">
        <v>6</v>
      </c>
      <c r="D606" s="11" t="inlineStr">
        <is>
          <t>Type http://localhost:3000/consents in the address bar, then http://localhost:3000/exports.</t>
        </is>
      </c>
      <c r="E606" s="11" t="inlineStr">
        <is>
          <t>Each shows 'Not part of your account' ('This section belongs to a different role, so there is nothing here for you…'). No consent or export data is shown.</t>
        </is>
      </c>
      <c r="F606" s="16" t="n"/>
      <c r="G606" s="16" t="n"/>
    </row>
    <row r="607">
      <c r="A607" s="10" t="inlineStr">
        <is>
          <t>CON-13</t>
        </is>
      </c>
      <c r="B607" s="11" t="inlineStr">
        <is>
          <t>Consent records and exports are limited to the sites a role runs; other roles have no access</t>
        </is>
      </c>
      <c r="C607" s="11" t="n">
        <v>7</v>
      </c>
      <c r="D607" s="11" t="inlineStr">
        <is>
          <t>Sign out, sign in as admin@cmp.local and look at the sidebar; then open http://localhost:3000/consents.</t>
        </is>
      </c>
      <c r="E607" s="11" t="inlineStr">
        <is>
          <t>The sidebar has no 'Consents', 'Exports', 'Imports' or 'Collections'. The address shows 'Not part of your account'.</t>
        </is>
      </c>
      <c r="F607" s="16" t="n"/>
      <c r="G607" s="16" t="n"/>
    </row>
    <row r="608">
      <c r="A608" s="10" t="inlineStr">
        <is>
          <t>CON-14</t>
        </is>
      </c>
      <c r="B608" s="11" t="inlineStr">
        <is>
          <t>The DPO generates a project export for processors in India and downloads it</t>
        </is>
      </c>
      <c r="C608" s="11" t="n">
        <v>1</v>
      </c>
      <c r="D608" s="11" t="inlineStr">
        <is>
          <t>In the sidebar click 'Processors'.</t>
        </is>
      </c>
      <c r="E608" s="11" t="inlineStr">
        <is>
          <t>The 'Country' column shows 'IN' for 'SEED', 'SRIB' and 'Pune Motion Lab Pvt Ltd'. If any shows something else, set it back to IN (Edit, Country, Save changes) before continuing.</t>
        </is>
      </c>
      <c r="F608" s="16" t="n"/>
      <c r="G608" s="16" t="n"/>
    </row>
    <row r="609">
      <c r="A609" s="10" t="inlineStr">
        <is>
          <t>CON-14</t>
        </is>
      </c>
      <c r="B609" s="11" t="inlineStr">
        <is>
          <t>The DPO generates a project export for processors in India and downloads it</t>
        </is>
      </c>
      <c r="C609" s="11" t="n">
        <v>2</v>
      </c>
      <c r="D609" s="11" t="inlineStr">
        <is>
          <t>Click 'Projects', type 'Gait Identification' in 'Search' (the list updates as you type) and open 'Gait Identification Study 2026'.</t>
        </is>
      </c>
      <c r="E609" s="11" t="inlineStr">
        <is>
          <t>The project page opens with the status approved.</t>
        </is>
      </c>
      <c r="F609" s="16" t="n"/>
      <c r="G609" s="16" t="n"/>
    </row>
    <row r="610">
      <c r="A610" s="10" t="inlineStr">
        <is>
          <t>CON-14</t>
        </is>
      </c>
      <c r="B610" s="11" t="inlineStr">
        <is>
          <t>The DPO generates a project export for processors in India and downloads it</t>
        </is>
      </c>
      <c r="C610" s="11" t="n">
        <v>3</v>
      </c>
      <c r="D610" s="11" t="inlineStr">
        <is>
          <t>Click the 'Collections &amp; exchanges' tab, then 'Generate export' on the 'Exports' card.</t>
        </is>
      </c>
      <c r="E610" s="11" t="inlineStr">
        <is>
          <t>A dialog 'Generate an export' opens with a warning ('This CSV contains personal data — name, email and mobile number for every person who consented. Generating it writes one disclosure row each…'), an information box ('One row per consent… People who have withdrawn are included and marked…') and the buttons 'Cancel' and 'Generate the export'. There is nothing to choose.</t>
        </is>
      </c>
      <c r="F610" s="16" t="n"/>
      <c r="G610" s="16" t="n"/>
    </row>
    <row r="611">
      <c r="A611" s="10" t="inlineStr">
        <is>
          <t>CON-14</t>
        </is>
      </c>
      <c r="B611" s="11" t="inlineStr">
        <is>
          <t>The DPO generates a project export for processors in India and downloads it</t>
        </is>
      </c>
      <c r="C611" s="11" t="n">
        <v>4</v>
      </c>
      <c r="D611" s="11" t="inlineStr">
        <is>
          <t>Click 'Cancel'.</t>
        </is>
      </c>
      <c r="E611" s="11" t="inlineStr">
        <is>
          <t>The dialog closes and nothing is generated.</t>
        </is>
      </c>
      <c r="F611" s="16" t="n"/>
      <c r="G611" s="16" t="n"/>
    </row>
    <row r="612">
      <c r="A612" s="10" t="inlineStr">
        <is>
          <t>CON-14</t>
        </is>
      </c>
      <c r="B612" s="11" t="inlineStr">
        <is>
          <t>The DPO generates a project export for processors in India and downloads it</t>
        </is>
      </c>
      <c r="C612" s="11" t="n">
        <v>5</v>
      </c>
      <c r="D612" s="11" t="inlineStr">
        <is>
          <t>Click 'Generate export' again, then 'Generate the export'.</t>
        </is>
      </c>
      <c r="E612" s="11" t="inlineStr">
        <is>
          <t>The notice 'Export generated' says '&lt;N&gt; consent(s). Download it from the Exports page — downloading is repeatable.' The dialog closes. Write down N.</t>
        </is>
      </c>
      <c r="F612" s="16" t="n"/>
      <c r="G612" s="16" t="n"/>
    </row>
    <row r="613">
      <c r="A613" s="10" t="inlineStr">
        <is>
          <t>CON-14</t>
        </is>
      </c>
      <c r="B613" s="11" t="inlineStr">
        <is>
          <t>The DPO generates a project export for processors in India and downloads it</t>
        </is>
      </c>
      <c r="C613" s="11" t="n">
        <v>6</v>
      </c>
      <c r="D613" s="11" t="inlineStr">
        <is>
          <t>In the sidebar click 'Exports'.</t>
        </is>
      </c>
      <c r="E613" s="11" t="inlineStr">
        <is>
          <t>The top row shows the time just now 'by Priya Menon', project 'Gait Identification Study 2026', Site 'Whole project', Type 'Project export', Subjects = N, a SHA-256 code and a 'Download' button.</t>
        </is>
      </c>
      <c r="F613" s="16" t="n"/>
      <c r="G613" s="16" t="n"/>
    </row>
    <row r="614">
      <c r="A614" s="10" t="inlineStr">
        <is>
          <t>CON-14</t>
        </is>
      </c>
      <c r="B614" s="11" t="inlineStr">
        <is>
          <t>The DPO generates a project export for processors in India and downloads it</t>
        </is>
      </c>
      <c r="C614" s="11" t="n">
        <v>7</v>
      </c>
      <c r="D614" s="11" t="inlineStr">
        <is>
          <t>Click 'Download' on that row.</t>
        </is>
      </c>
      <c r="E614" s="11" t="inlineStr">
        <is>
          <t>The notice 'Downloaded' with the file name appears and one .csv file is saved.</t>
        </is>
      </c>
      <c r="F614" s="16" t="n"/>
      <c r="G614" s="16" t="n"/>
    </row>
    <row r="615">
      <c r="A615" s="10" t="inlineStr">
        <is>
          <t>CON-14</t>
        </is>
      </c>
      <c r="B615" s="11" t="inlineStr">
        <is>
          <t>The DPO generates a project export for processors in India and downloads it</t>
        </is>
      </c>
      <c r="C615" s="11" t="n">
        <v>8</v>
      </c>
      <c r="D615" s="11" t="inlineStr">
        <is>
          <t>Open the CSV in a spreadsheet.</t>
        </is>
      </c>
      <c r="E615" s="11" t="inlineStr">
        <is>
          <t>One file with a header row including project_name, site_label, consent_uuid, full_name, email, mobile, consent_status, granted_purposes, notice_code and notice_version. Anjali Verma: consent_status 'consented', granted_purposes lists PUR-GAIT-TRAIN and PUR-QUALITY. UAT Tester One: 'partial', PUR-GAIT-TRAIN only. Nikhil Bose: 'withdrawn', granted_purposes empty. There is NO row for UAT Tester Two. Names and contacts are readable. Note Anjali's consent_uuid (needed in CON-18).</t>
        </is>
      </c>
      <c r="F615" s="16" t="n"/>
      <c r="G615" s="16" t="n"/>
    </row>
    <row r="616">
      <c r="A616" s="10" t="inlineStr">
        <is>
          <t>CON-14</t>
        </is>
      </c>
      <c r="B616" s="11" t="inlineStr">
        <is>
          <t>The DPO generates a project export for processors in India and downloads it</t>
        </is>
      </c>
      <c r="C616" s="11" t="n">
        <v>9</v>
      </c>
      <c r="D616" s="11" t="inlineStr">
        <is>
          <t>Click 'Download' on the same row again.</t>
        </is>
      </c>
      <c r="E616" s="11" t="inlineStr">
        <is>
          <t>The same file downloads again, and no new row appears on the Exports page (downloading does not create a new export).</t>
        </is>
      </c>
      <c r="F616" s="16" t="n"/>
      <c r="G616" s="16" t="n"/>
    </row>
    <row r="617">
      <c r="A617" s="10" t="inlineStr">
        <is>
          <t>CON-14</t>
        </is>
      </c>
      <c r="B617" s="11" t="inlineStr">
        <is>
          <t>The DPO generates a project export for processors in India and downloads it</t>
        </is>
      </c>
      <c r="C617" s="11" t="n">
        <v>10</v>
      </c>
      <c r="D617" s="11" t="inlineStr">
        <is>
          <t>Set the 'Type' filter to 'Project export (CSV, personal data)'.</t>
        </is>
      </c>
      <c r="E617" s="11" t="inlineStr">
        <is>
          <t>The new export is still listed.</t>
        </is>
      </c>
      <c r="F617" s="16" t="n"/>
      <c r="G617" s="16" t="n"/>
    </row>
    <row r="618">
      <c r="A618" s="10" t="inlineStr">
        <is>
          <t>CON-15</t>
        </is>
      </c>
      <c r="B618" s="11" t="inlineStr">
        <is>
          <t>An export is refused when a site's processor is in a restricted country</t>
        </is>
      </c>
      <c r="C618" s="11" t="n">
        <v>1</v>
      </c>
      <c r="D618" s="11" t="inlineStr">
        <is>
          <t>Click 'Processors'. On the 'SEED' row click 'Edit'.</t>
        </is>
      </c>
      <c r="E618" s="11" t="inlineStr">
        <is>
          <t>A dialog 'Edit processor' opens. 'Country' shows IN with the hint 'Where it is, as a two-letter code (IN for India). An export to a processor with no country is refused; one abroad goes only where the law and every purpose allow.'</t>
        </is>
      </c>
      <c r="F618" s="16" t="n"/>
      <c r="G618" s="16" t="n"/>
    </row>
    <row r="619">
      <c r="A619" s="10" t="inlineStr">
        <is>
          <t>CON-15</t>
        </is>
      </c>
      <c r="B619" s="11" t="inlineStr">
        <is>
          <t>An export is refused when a site's processor is in a restricted country</t>
        </is>
      </c>
      <c r="C619" s="11" t="n">
        <v>2</v>
      </c>
      <c r="D619" s="11" t="inlineStr">
        <is>
          <t>Replace the country with 1N and click 'Save changes'.</t>
        </is>
      </c>
      <c r="E619" s="11" t="inlineStr">
        <is>
          <t>The message 'Two letters: the ISO country code, e.g. IN' appears under 'Country'; nothing is saved.</t>
        </is>
      </c>
      <c r="F619" s="16" t="n"/>
      <c r="G619" s="16" t="n"/>
    </row>
    <row r="620">
      <c r="A620" s="10" t="inlineStr">
        <is>
          <t>CON-15</t>
        </is>
      </c>
      <c r="B620" s="11" t="inlineStr">
        <is>
          <t>An export is refused when a site's processor is in a restricted country</t>
        </is>
      </c>
      <c r="C620" s="11" t="n">
        <v>3</v>
      </c>
      <c r="D620" s="11" t="inlineStr">
        <is>
          <t>Replace it with SG and click 'Save changes'.</t>
        </is>
      </c>
      <c r="E620" s="11" t="inlineStr">
        <is>
          <t>The notice 'Processor updated' appears and the 'Country' column for SEED shows SG.</t>
        </is>
      </c>
      <c r="F620" s="16" t="n"/>
      <c r="G620" s="16" t="n"/>
    </row>
    <row r="621">
      <c r="A621" s="10" t="inlineStr">
        <is>
          <t>CON-15</t>
        </is>
      </c>
      <c r="B621" s="11" t="inlineStr">
        <is>
          <t>An export is refused when a site's processor is in a restricted country</t>
        </is>
      </c>
      <c r="C621" s="11" t="n">
        <v>4</v>
      </c>
      <c r="D621" s="11" t="inlineStr">
        <is>
          <t>Scroll down to the card 'Restricted countries (s.16)'. Type SG in 'Country' and UAT-TEST-NOTIF-01 in 'Notification' and click 'Restrict'.</t>
        </is>
      </c>
      <c r="E621" s="11" t="inlineStr">
        <is>
          <t>'Restrict' is greyed out until both boxes are filled. After clicking, the notice 'Country restricted' ('Exports whose rows would go there are refused from now on.') appears and the list shows 'SG UAT-TEST-NOTIF-01 since &lt;today&gt;' with a 'Lift' button.</t>
        </is>
      </c>
      <c r="F621" s="16" t="n"/>
      <c r="G621" s="16" t="n"/>
    </row>
    <row r="622">
      <c r="A622" s="10" t="inlineStr">
        <is>
          <t>CON-15</t>
        </is>
      </c>
      <c r="B622" s="11" t="inlineStr">
        <is>
          <t>An export is refused when a site's processor is in a restricted country</t>
        </is>
      </c>
      <c r="C622" s="11" t="n">
        <v>5</v>
      </c>
      <c r="D622" s="11" t="inlineStr">
        <is>
          <t>Open 'Projects' &gt; 'Gait Identification Study 2026', click the 'Collections &amp; exchanges' tab, then 'Generate export' and 'Generate the export'.</t>
        </is>
      </c>
      <c r="E622" s="11" t="inlineStr">
        <is>
          <t>A red message appears inside the dialog: 'This export cannot go: SEED is in SG, restricted by UAT-TEST-NOTIF-01.' The dialog stays open and there is no 'Export generated' notice.</t>
        </is>
      </c>
      <c r="F622" s="16" t="n"/>
      <c r="G622" s="16" t="n"/>
    </row>
    <row r="623">
      <c r="A623" s="10" t="inlineStr">
        <is>
          <t>CON-15</t>
        </is>
      </c>
      <c r="B623" s="11" t="inlineStr">
        <is>
          <t>An export is refused when a site's processor is in a restricted country</t>
        </is>
      </c>
      <c r="C623" s="11" t="n">
        <v>6</v>
      </c>
      <c r="D623" s="11" t="inlineStr">
        <is>
          <t>Click 'Cancel' and open 'Exports'.</t>
        </is>
      </c>
      <c r="E623" s="11" t="inlineStr">
        <is>
          <t>No new export row has been added since CON-14.</t>
        </is>
      </c>
      <c r="F623" s="16" t="n"/>
      <c r="G623" s="16" t="n"/>
    </row>
    <row r="624">
      <c r="A624" s="10" t="inlineStr">
        <is>
          <t>CON-15</t>
        </is>
      </c>
      <c r="B624" s="11" t="inlineStr">
        <is>
          <t>An export is refused when a site's processor is in a restricted country</t>
        </is>
      </c>
      <c r="C624" s="11" t="n">
        <v>7</v>
      </c>
      <c r="D624" s="11" t="inlineStr">
        <is>
          <t>Go back to 'Processors'; in 'Restricted countries (s.16)' click 'Lift' on SG.</t>
        </is>
      </c>
      <c r="E624" s="11" t="inlineStr">
        <is>
          <t>The notice 'SG lifted' ('Exports there are judged by the purposes again.') appears and SG leaves the list.</t>
        </is>
      </c>
      <c r="F624" s="16" t="n"/>
      <c r="G624" s="16" t="n"/>
    </row>
    <row r="625">
      <c r="A625" s="10" t="inlineStr">
        <is>
          <t>CON-15</t>
        </is>
      </c>
      <c r="B625" s="11" t="inlineStr">
        <is>
          <t>An export is refused when a site's processor is in a restricted country</t>
        </is>
      </c>
      <c r="C625" s="11" t="n">
        <v>8</v>
      </c>
      <c r="D625" s="11" t="inlineStr">
        <is>
          <t>Restore: on the 'SEED' row click 'Edit', set 'Country' to IN and click 'Save changes'.</t>
        </is>
      </c>
      <c r="E625" s="11" t="inlineStr">
        <is>
          <t>'Processor updated' appears and SEED's Country shows IN again.</t>
        </is>
      </c>
      <c r="F625" s="16" t="n"/>
      <c r="G625" s="16" t="n"/>
    </row>
    <row r="626">
      <c r="A626" s="10" t="inlineStr">
        <is>
          <t>CON-16</t>
        </is>
      </c>
      <c r="B626" s="11" t="inlineStr">
        <is>
          <t>An export abroad is refused when an agreed purpose does not permit cross-border transfer, and goes once India is restored</t>
        </is>
      </c>
      <c r="C626" s="11" t="n">
        <v>1</v>
      </c>
      <c r="D626" s="11" t="inlineStr">
        <is>
          <t>Click 'Processors'; on 'SEED' click 'Edit', set 'Country' to SG and click 'Save changes'.</t>
        </is>
      </c>
      <c r="E626" s="11" t="inlineStr">
        <is>
          <t>'Processor updated' appears and SEED shows SG.</t>
        </is>
      </c>
      <c r="F626" s="16" t="n"/>
      <c r="G626" s="16" t="n"/>
    </row>
    <row r="627">
      <c r="A627" s="10" t="inlineStr">
        <is>
          <t>CON-16</t>
        </is>
      </c>
      <c r="B627" s="11" t="inlineStr">
        <is>
          <t>An export abroad is refused when an agreed purpose does not permit cross-border transfer, and goes once India is restored</t>
        </is>
      </c>
      <c r="C627" s="11" t="n">
        <v>2</v>
      </c>
      <c r="D627" s="11" t="inlineStr">
        <is>
          <t>Check the 'Restricted countries (s.16)' card.</t>
        </is>
      </c>
      <c r="E627" s="11" t="inlineStr">
        <is>
          <t>SG is not listed.</t>
        </is>
      </c>
      <c r="F627" s="16" t="n"/>
      <c r="G627" s="16" t="n"/>
    </row>
    <row r="628">
      <c r="A628" s="10" t="inlineStr">
        <is>
          <t>CON-16</t>
        </is>
      </c>
      <c r="B628" s="11" t="inlineStr">
        <is>
          <t>An export abroad is refused when an agreed purpose does not permit cross-border transfer, and goes once India is restored</t>
        </is>
      </c>
      <c r="C628" s="11" t="n">
        <v>3</v>
      </c>
      <c r="D628" s="11" t="inlineStr">
        <is>
          <t>Open 'Gait Identification Study 2026', click the 'Collections &amp; exchanges' tab, then 'Generate export' and 'Generate the export'.</t>
        </is>
      </c>
      <c r="E628" s="11" t="inlineStr">
        <is>
          <t>A red message in the dialog: 'This export cannot go: SEED is in SG, and PUR-GAIT-TRAIN, PUR-QUALITY does not permit a transfer outside India.' (it names the purposes people agreed to at CIT). No 'Export generated' notice.</t>
        </is>
      </c>
      <c r="F628" s="16" t="n"/>
      <c r="G628" s="16" t="n"/>
    </row>
    <row r="629">
      <c r="A629" s="10" t="inlineStr">
        <is>
          <t>CON-16</t>
        </is>
      </c>
      <c r="B629" s="11" t="inlineStr">
        <is>
          <t>An export abroad is refused when an agreed purpose does not permit cross-border transfer, and goes once India is restored</t>
        </is>
      </c>
      <c r="C629" s="11" t="n">
        <v>4</v>
      </c>
      <c r="D629" s="11" t="inlineStr">
        <is>
          <t>Click 'Cancel' and open 'Exports'.</t>
        </is>
      </c>
      <c r="E629" s="11" t="inlineStr">
        <is>
          <t>No new export row was added by the refused attempt.</t>
        </is>
      </c>
      <c r="F629" s="16" t="n"/>
      <c r="G629" s="16" t="n"/>
    </row>
    <row r="630">
      <c r="A630" s="10" t="inlineStr">
        <is>
          <t>CON-16</t>
        </is>
      </c>
      <c r="B630" s="11" t="inlineStr">
        <is>
          <t>An export abroad is refused when an agreed purpose does not permit cross-border transfer, and goes once India is restored</t>
        </is>
      </c>
      <c r="C630" s="11" t="n">
        <v>5</v>
      </c>
      <c r="D630" s="11" t="inlineStr">
        <is>
          <t>Restore: 'Processors' &gt; 'SEED' &gt; 'Edit', set 'Country' to IN, 'Save changes'.</t>
        </is>
      </c>
      <c r="E630" s="11" t="inlineStr">
        <is>
          <t>SEED shows IN.</t>
        </is>
      </c>
      <c r="F630" s="16" t="n"/>
      <c r="G630" s="16" t="n"/>
    </row>
    <row r="631">
      <c r="A631" s="10" t="inlineStr">
        <is>
          <t>CON-16</t>
        </is>
      </c>
      <c r="B631" s="11" t="inlineStr">
        <is>
          <t>An export abroad is refused when an agreed purpose does not permit cross-border transfer, and goes once India is restored</t>
        </is>
      </c>
      <c r="C631" s="11" t="n">
        <v>6</v>
      </c>
      <c r="D631" s="11" t="inlineStr">
        <is>
          <t>Open the project again, click the 'Collections &amp; exchanges' tab, then 'Generate export' and 'Generate the export'.</t>
        </is>
      </c>
      <c r="E631" s="11" t="inlineStr">
        <is>
          <t>'Export generated' appears with the number of consents.</t>
        </is>
      </c>
      <c r="F631" s="16" t="n"/>
      <c r="G631" s="16" t="n"/>
    </row>
    <row r="632">
      <c r="A632" s="10" t="inlineStr">
        <is>
          <t>CON-16</t>
        </is>
      </c>
      <c r="B632" s="11" t="inlineStr">
        <is>
          <t>An export abroad is refused when an agreed purpose does not permit cross-border transfer, and goes once India is restored</t>
        </is>
      </c>
      <c r="C632" s="11" t="n">
        <v>7</v>
      </c>
      <c r="D632" s="11" t="inlineStr">
        <is>
          <t>Open 'Exports' and click 'Download' on the new top row, then open the CSV.</t>
        </is>
      </c>
      <c r="E632" s="11" t="inlineStr">
        <is>
          <t>A new 'Project export' row is listed; the CSV holds the same people and statuses as in CON-14.</t>
        </is>
      </c>
      <c r="F632" s="16" t="n"/>
      <c r="G632" s="16" t="n"/>
    </row>
    <row r="633">
      <c r="A633" s="10" t="inlineStr">
        <is>
          <t>CON-17</t>
        </is>
      </c>
      <c r="B633" s="11" t="inlineStr">
        <is>
          <t>An export is refused when a site's processor has no recorded country</t>
        </is>
      </c>
      <c r="C633" s="11" t="n">
        <v>1</v>
      </c>
      <c r="D633" s="11" t="inlineStr">
        <is>
          <t>Click 'Processors', then 'Register processor'. Fill 'Registered legal name', 'Type', 'Contract reference' and 'Security confirmed on' from the test data, leave 'Country' empty and click 'Register processor'.</t>
        </is>
      </c>
      <c r="E633" s="11" t="inlineStr">
        <is>
          <t>The notice 'Processor registered' appears. The new row shows 'not recorded' in the Country column; hovering it shows 'An export to this processor is refused until its country is recorded'.</t>
        </is>
      </c>
      <c r="F633" s="16" t="n"/>
      <c r="G633" s="16" t="n"/>
    </row>
    <row r="634">
      <c r="A634" s="10" t="inlineStr">
        <is>
          <t>CON-17</t>
        </is>
      </c>
      <c r="B634" s="11" t="inlineStr">
        <is>
          <t>An export is refused when a site's processor has no recorded country</t>
        </is>
      </c>
      <c r="C634" s="11" t="n">
        <v>2</v>
      </c>
      <c r="D634" s="11" t="inlineStr">
        <is>
          <t>Find the coordinator's prepared processor in the list.</t>
        </is>
      </c>
      <c r="E634" s="11" t="inlineStr">
        <is>
          <t>Its Country also shows 'not recorded'.</t>
        </is>
      </c>
      <c r="F634" s="16" t="n"/>
      <c r="G634" s="16" t="n"/>
    </row>
    <row r="635">
      <c r="A635" s="10" t="inlineStr">
        <is>
          <t>CON-17</t>
        </is>
      </c>
      <c r="B635" s="11" t="inlineStr">
        <is>
          <t>An export is refused when a site's processor has no recorded country</t>
        </is>
      </c>
      <c r="C635" s="11" t="n">
        <v>3</v>
      </c>
      <c r="D635" s="11" t="inlineStr">
        <is>
          <t>Open the prepared project, click the 'Collections &amp; exchanges' tab, then 'Generate export' and 'Generate the export'.</t>
        </is>
      </c>
      <c r="E635" s="11" t="inlineStr">
        <is>
          <t>A red message in the dialog: 'This export cannot go: &lt;processor name&gt; has no recorded location - record its country first.' No 'Export generated' notice.</t>
        </is>
      </c>
      <c r="F635" s="16" t="n"/>
      <c r="G635" s="16" t="n"/>
    </row>
    <row r="636">
      <c r="A636" s="10" t="inlineStr">
        <is>
          <t>CON-17</t>
        </is>
      </c>
      <c r="B636" s="11" t="inlineStr">
        <is>
          <t>An export is refused when a site's processor has no recorded country</t>
        </is>
      </c>
      <c r="C636" s="11" t="n">
        <v>4</v>
      </c>
      <c r="D636" s="11" t="inlineStr">
        <is>
          <t>Click 'Cancel' and open 'Exports'.</t>
        </is>
      </c>
      <c r="E636" s="11" t="inlineStr">
        <is>
          <t>No new export row for that project.</t>
        </is>
      </c>
      <c r="F636" s="16" t="n"/>
      <c r="G636" s="16" t="n"/>
    </row>
    <row r="637">
      <c r="A637" s="10" t="inlineStr">
        <is>
          <t>CON-17</t>
        </is>
      </c>
      <c r="B637" s="11" t="inlineStr">
        <is>
          <t>An export is refused when a site's processor has no recorded country</t>
        </is>
      </c>
      <c r="C637" s="11" t="n">
        <v>5</v>
      </c>
      <c r="D637" s="11" t="inlineStr">
        <is>
          <t>Go to 'Processors', click 'Edit' on the prepared processor, set 'Country' to IN and click 'Save changes'.</t>
        </is>
      </c>
      <c r="E637" s="11" t="inlineStr">
        <is>
          <t>'Processor updated' appears and the row shows IN.</t>
        </is>
      </c>
      <c r="F637" s="16" t="n"/>
      <c r="G637" s="16" t="n"/>
    </row>
    <row r="638">
      <c r="A638" s="10" t="inlineStr">
        <is>
          <t>CON-17</t>
        </is>
      </c>
      <c r="B638" s="11" t="inlineStr">
        <is>
          <t>An export is refused when a site's processor has no recorded country</t>
        </is>
      </c>
      <c r="C638" s="11" t="n">
        <v>6</v>
      </c>
      <c r="D638" s="11" t="inlineStr">
        <is>
          <t>Open the prepared project again, click the 'Collections &amp; exchanges' tab, then 'Generate export' and 'Generate the export'.</t>
        </is>
      </c>
      <c r="E638" s="11" t="inlineStr">
        <is>
          <t>'Export generated' appears and a new 'Project export' row is listed on 'Exports'.</t>
        </is>
      </c>
      <c r="F638" s="16" t="n"/>
      <c r="G638" s="16" t="n"/>
    </row>
    <row r="639">
      <c r="A639" s="10" t="inlineStr">
        <is>
          <t>CON-17</t>
        </is>
      </c>
      <c r="B639" s="11" t="inlineStr">
        <is>
          <t>An export is refused when a site's processor has no recorded country</t>
        </is>
      </c>
      <c r="C639" s="11" t="n">
        <v>7</v>
      </c>
      <c r="D639" s="11" t="inlineStr">
        <is>
          <t>Clean-up: on the 'UAT No Country Lab Pvt Ltd' row click 'Suspend'.</t>
        </is>
      </c>
      <c r="E639" s="11" t="inlineStr">
        <is>
          <t>'Processor suspended' appears and its status changes.</t>
        </is>
      </c>
      <c r="F639" s="16" t="n"/>
      <c r="G639" s="16" t="n"/>
    </row>
    <row r="640">
      <c r="A640" s="10" t="inlineStr">
        <is>
          <t>CON-18</t>
        </is>
      </c>
      <c r="B640" s="11" t="inlineStr">
        <is>
          <t>A collection owner downloads the manifest template, validates a manifest, imports it and sees the collection and assets</t>
        </is>
      </c>
      <c r="C640" s="11" t="n">
        <v>1</v>
      </c>
      <c r="D640" s="11" t="inlineStr">
        <is>
          <t>In the sidebar, under 'Data movement', click 'Imports', then 'Import a manifest'.</t>
        </is>
      </c>
      <c r="E640" s="11" t="inlineStr">
        <is>
          <t>A dialog 'Import a manifest' opens with three numbered steps: '1 Start from the template', '2 Where it came from, and where it goes' and '3 Check the file' — step 3 is dimmed with 'Choose a source and a project first — the checks depend on both.' The 'Import' button is greyed out.</t>
        </is>
      </c>
      <c r="F640" s="16" t="n"/>
      <c r="G640" s="16" t="n"/>
    </row>
    <row r="641">
      <c r="A641" s="10" t="inlineStr">
        <is>
          <t>CON-18</t>
        </is>
      </c>
      <c r="B641" s="11" t="inlineStr">
        <is>
          <t>A collection owner downloads the manifest template, validates a manifest, imports it and sees the collection and assets</t>
        </is>
      </c>
      <c r="C641" s="11" t="n">
        <v>2</v>
      </c>
      <c r="D641" s="11" t="inlineStr">
        <is>
          <t>Click 'What the file must contain'.</t>
        </is>
      </c>
      <c r="E641" s="11" t="inlineStr">
        <is>
          <t>It lists source_collection_ref, source_asset_ref, asset_type, collected_on and subject_role, each with a short explanation.</t>
        </is>
      </c>
      <c r="F641" s="16" t="n"/>
      <c r="G641" s="16" t="n"/>
    </row>
    <row r="642">
      <c r="A642" s="10" t="inlineStr">
        <is>
          <t>CON-18</t>
        </is>
      </c>
      <c r="B642" s="11" t="inlineStr">
        <is>
          <t>A collection owner downloads the manifest template, validates a manifest, imports it and sees the collection and assets</t>
        </is>
      </c>
      <c r="C642" s="11" t="n">
        <v>3</v>
      </c>
      <c r="D642" s="11" t="inlineStr">
        <is>
          <t>Click 'Download the manifest template' and open the file.</t>
        </is>
      </c>
      <c r="E642" s="11" t="inlineStr">
        <is>
          <t>collection-manifest-template.csv is saved. It has a header row, one example row (RUN-2026-001, IMG_0001.jpg, image, …, consented) and guidance lines starting with '#', including '# Delete every line below before uploading.'</t>
        </is>
      </c>
      <c r="F642" s="16" t="n"/>
      <c r="G642" s="16" t="n"/>
    </row>
    <row r="643">
      <c r="A643" s="10" t="inlineStr">
        <is>
          <t>CON-18</t>
        </is>
      </c>
      <c r="B643" s="11" t="inlineStr">
        <is>
          <t>A collection owner downloads the manifest template, validates a manifest, imports it and sees the collection and assets</t>
        </is>
      </c>
      <c r="C643" s="11" t="n">
        <v>4</v>
      </c>
      <c r="D643" s="11" t="inlineStr">
        <is>
          <t>Save it unchanged as uat-template-asis.csv. In the dialog choose 'CIT · SRC-SEED-CIT' in 'Data source' and 'Gait Identification Study 2026' in 'Project'.</t>
        </is>
      </c>
      <c r="E643" s="11" t="inlineStr">
        <is>
          <t>Step 3 becomes available with a 'Manifest' file picker (hint 'CSV, up to 25 MB.') and the button 'Check it — this writes nothing', which is greyed out until a file is chosen.</t>
        </is>
      </c>
      <c r="F643" s="16" t="n"/>
      <c r="G643" s="16" t="n"/>
    </row>
    <row r="644">
      <c r="A644" s="10" t="inlineStr">
        <is>
          <t>CON-18</t>
        </is>
      </c>
      <c r="B644" s="11" t="inlineStr">
        <is>
          <t>A collection owner downloads the manifest template, validates a manifest, imports it and sees the collection and assets</t>
        </is>
      </c>
      <c r="C644" s="11" t="n">
        <v>5</v>
      </c>
      <c r="D644" s="11" t="inlineStr">
        <is>
          <t>Choose uat-template-asis.csv and click 'Check it — this writes nothing'.</t>
        </is>
      </c>
      <c r="E644" s="11" t="inlineStr">
        <is>
          <t>A red box '1 problem(s) found' ('Nothing has been written. Fix the manifest and check it again…') and a table Row / Column / Problem: row 2, consent_uuid, 'A consented subject requires a consent_uuid'. 'Import' stays greyed out.</t>
        </is>
      </c>
      <c r="F644" s="16" t="n"/>
      <c r="G644" s="16" t="n"/>
    </row>
    <row r="645">
      <c r="A645" s="10" t="inlineStr">
        <is>
          <t>CON-18</t>
        </is>
      </c>
      <c r="B645" s="11" t="inlineStr">
        <is>
          <t>A collection owner downloads the manifest template, validates a manifest, imports it and sees the collection and assets</t>
        </is>
      </c>
      <c r="C645" s="11" t="n">
        <v>6</v>
      </c>
      <c r="D645" s="11" t="inlineStr">
        <is>
          <t>Create uat-manifest-01.csv from the test data, choose it and click 'Check it — this writes nothing'.</t>
        </is>
      </c>
      <c r="E645" s="11" t="inlineStr">
        <is>
          <t>The earlier result disappears when the file changes. Then a green box 'Manifest is valid': '2 row(s) parsed with no errors. Nothing has been written yet.' with 'File SHA-256 …', a notice 'Manifest is valid' / '2 row(s) ready to import.', and the footer button now reads 'Import 2 row(s)'.</t>
        </is>
      </c>
      <c r="F645" s="16" t="n"/>
      <c r="G645" s="16" t="n"/>
    </row>
    <row r="646">
      <c r="A646" s="10" t="inlineStr">
        <is>
          <t>CON-18</t>
        </is>
      </c>
      <c r="B646" s="11" t="inlineStr">
        <is>
          <t>A collection owner downloads the manifest template, validates a manifest, imports it and sees the collection and assets</t>
        </is>
      </c>
      <c r="C646" s="11" t="n">
        <v>7</v>
      </c>
      <c r="D646" s="11" t="inlineStr">
        <is>
          <t>Click 'Import 2 row(s)'.</t>
        </is>
      </c>
      <c r="E646" s="11" t="inlineStr">
        <is>
          <t>The notice 'Import accepted' / '2 accepted, 0 rejected.' appears and the dialog closes. The Imports list shows a new row: File uat-manifest-01.csv, Source SRC-SEED-CIT, Project Gait Identification Study 2026, Status 'Accepted', Rows '2 of 2', Received just now.</t>
        </is>
      </c>
      <c r="F646" s="16" t="n"/>
      <c r="G646" s="16" t="n"/>
    </row>
    <row r="647">
      <c r="A647" s="10" t="inlineStr">
        <is>
          <t>CON-18</t>
        </is>
      </c>
      <c r="B647" s="11" t="inlineStr">
        <is>
          <t>A collection owner downloads the manifest template, validates a manifest, imports it and sees the collection and assets</t>
        </is>
      </c>
      <c r="C647" s="11" t="n">
        <v>8</v>
      </c>
      <c r="D647" s="11" t="inlineStr">
        <is>
          <t>Click the file name uat-manifest-01.csv.</t>
        </is>
      </c>
      <c r="E647" s="11" t="inlineStr">
        <is>
          <t>The batch page shows the tiles 'Declared' 2, 'Accepted' 2, 'Rejected' 0, 'Not processed' 0, an 'Outcome' bar, 'Rejected rows' with 'Nothing was rejected', and a card 'The file' with its hash.</t>
        </is>
      </c>
      <c r="F647" s="16" t="n"/>
      <c r="G647" s="16" t="n"/>
    </row>
    <row r="648">
      <c r="A648" s="10" t="inlineStr">
        <is>
          <t>CON-18</t>
        </is>
      </c>
      <c r="B648" s="11" t="inlineStr">
        <is>
          <t>A collection owner downloads the manifest template, validates a manifest, imports it and sees the collection and assets</t>
        </is>
      </c>
      <c r="C648" s="11" t="n">
        <v>9</v>
      </c>
      <c r="D648" s="11" t="inlineStr">
        <is>
          <t>In the sidebar click 'Collections'.</t>
        </is>
      </c>
      <c r="E648" s="11" t="inlineStr">
        <is>
          <t>A row with Reference 'RUN-UAT-CON-01' (site CIT underneath), Project 'Gait Identification Study 2026', Source CIT, Collected 20 Sep 2026.</t>
        </is>
      </c>
      <c r="F648" s="16" t="n"/>
      <c r="G648" s="16" t="n"/>
    </row>
    <row r="649">
      <c r="A649" s="10" t="inlineStr">
        <is>
          <t>CON-18</t>
        </is>
      </c>
      <c r="B649" s="11" t="inlineStr">
        <is>
          <t>A collection owner downloads the manifest template, validates a manifest, imports it and sees the collection and assets</t>
        </is>
      </c>
      <c r="C649" s="11" t="n">
        <v>10</v>
      </c>
      <c r="D649" s="11" t="inlineStr">
        <is>
          <t>Click 'RUN-UAT-CON-01'.</t>
        </is>
      </c>
      <c r="E649" s="11" t="inlineStr">
        <is>
          <t>The collection page shows 'Gait Identification Study 2026 · collected …'; the note 'This collection carries no declaration' (no declared_asset_count was given); the tile 'Assets flagged' = 1 ('Contain someone with no consent'); the 'Assets' table lists IMG_UAT_0001.jpg (Image, Subjects 1) and VID_UAT_0002.mp4 (Video, Bystanders 1); 'Provenance' shows Source CIT SRC-SEED-CIT.</t>
        </is>
      </c>
      <c r="F649" s="16" t="n"/>
      <c r="G649" s="16" t="n"/>
    </row>
    <row r="650">
      <c r="A650" s="10" t="inlineStr">
        <is>
          <t>CON-18</t>
        </is>
      </c>
      <c r="B650" s="11" t="inlineStr">
        <is>
          <t>A collection owner downloads the manifest template, validates a manifest, imports it and sees the collection and assets</t>
        </is>
      </c>
      <c r="C650" s="11" t="n">
        <v>11</v>
      </c>
      <c r="D650" s="11" t="inlineStr">
        <is>
          <t>Open 'Consents' and click 'Anjali Verma'.</t>
        </is>
      </c>
      <c r="E650" s="11" t="inlineStr">
        <is>
          <t>'Assets containing this person' now lists IMG_UAT_0001.jpg with Source CIT, Collected 20 Sep 2026, Role Consented and a Disposition (Active).</t>
        </is>
      </c>
      <c r="F650" s="16" t="n"/>
      <c r="G650" s="16" t="n"/>
    </row>
    <row r="651">
      <c r="A651" s="10" t="inlineStr">
        <is>
          <t>CON-19</t>
        </is>
      </c>
      <c r="B651" s="11" t="inlineStr">
        <is>
          <t>Imports refuse bad manifests, never duplicate a file, and reject rows whose consent does not exist</t>
        </is>
      </c>
      <c r="C651" s="11" t="n">
        <v>1</v>
      </c>
      <c r="D651" s="11" t="inlineStr">
        <is>
          <t>Sign in as rnd@cmp.local and click 'Imports'.</t>
        </is>
      </c>
      <c r="E651" s="11" t="inlineStr">
        <is>
          <t>The list is visible but there is NO 'Import a manifest' button. Sign out and sign in as dco@cmp.local.</t>
        </is>
      </c>
      <c r="F651" s="16" t="n"/>
      <c r="G651" s="16" t="n"/>
    </row>
    <row r="652">
      <c r="A652" s="10" t="inlineStr">
        <is>
          <t>CON-19</t>
        </is>
      </c>
      <c r="B652" s="11" t="inlineStr">
        <is>
          <t>Imports refuse bad manifests, never duplicate a file, and reject rows whose consent does not exist</t>
        </is>
      </c>
      <c r="C652" s="11" t="n">
        <v>2</v>
      </c>
      <c r="D652" s="11" t="inlineStr">
        <is>
          <t>As the DCO click 'Imports' &gt; 'Import a manifest'. Choose only a 'Data source'.</t>
        </is>
      </c>
      <c r="E652" s="11" t="inlineStr">
        <is>
          <t>Step 3 stays dimmed with 'Choose a source and a project first — the checks depend on both.' 'Import' is greyed out.</t>
        </is>
      </c>
      <c r="F652" s="16" t="n"/>
      <c r="G652" s="16" t="n"/>
    </row>
    <row r="653">
      <c r="A653" s="10" t="inlineStr">
        <is>
          <t>CON-19</t>
        </is>
      </c>
      <c r="B653" s="11" t="inlineStr">
        <is>
          <t>Imports refuse bad manifests, never duplicate a file, and reject rows whose consent does not exist</t>
        </is>
      </c>
      <c r="C653" s="11" t="n">
        <v>3</v>
      </c>
      <c r="D653" s="11" t="inlineStr">
        <is>
          <t>Choose the 'Project' too.</t>
        </is>
      </c>
      <c r="E653" s="11" t="inlineStr">
        <is>
          <t>Step 3 opens; 'Check it — this writes nothing' is greyed out until a file is chosen; 'Import' is still greyed out.</t>
        </is>
      </c>
      <c r="F653" s="16" t="n"/>
      <c r="G653" s="16" t="n"/>
    </row>
    <row r="654">
      <c r="A654" s="10" t="inlineStr">
        <is>
          <t>CON-19</t>
        </is>
      </c>
      <c r="B654" s="11" t="inlineStr">
        <is>
          <t>Imports refuse bad manifests, never duplicate a file, and reject rows whose consent does not exist</t>
        </is>
      </c>
      <c r="C654" s="11" t="n">
        <v>4</v>
      </c>
      <c r="D654" s="11" t="inlineStr">
        <is>
          <t>Choose bad-values.csv and click 'Check it — this writes nothing'.</t>
        </is>
      </c>
      <c r="E654" s="11" t="inlineStr">
        <is>
          <t>A red '&lt;n&gt; problem(s) found' box and a table including: asset_type 'Must be one of: audio, document, image, other, sensor, video'; collected_on 'Collection date is in the future'; consent_uuid 'A incidental subject must not carry a consent_uuid'; collected_on 'Must be YYYY-MM-DD'. 'Import' stays greyed out.</t>
        </is>
      </c>
      <c r="F654" s="16" t="n"/>
      <c r="G654" s="16" t="n"/>
    </row>
    <row r="655">
      <c r="A655" s="10" t="inlineStr">
        <is>
          <t>CON-19</t>
        </is>
      </c>
      <c r="B655" s="11" t="inlineStr">
        <is>
          <t>Imports refuse bad manifests, never duplicate a file, and reject rows whose consent does not exist</t>
        </is>
      </c>
      <c r="C655" s="11" t="n">
        <v>5</v>
      </c>
      <c r="D655" s="11" t="inlineStr">
        <is>
          <t>Choose extra-column.csv and check it.</t>
        </is>
      </c>
      <c r="E655" s="11" t="inlineStr">
        <is>
          <t>The table shows Row 'file', Column 'notes', Problem 'Unknown column(s): notes'.</t>
        </is>
      </c>
      <c r="F655" s="16" t="n"/>
      <c r="G655" s="16" t="n"/>
    </row>
    <row r="656">
      <c r="A656" s="10" t="inlineStr">
        <is>
          <t>CON-19</t>
        </is>
      </c>
      <c r="B656" s="11" t="inlineStr">
        <is>
          <t>Imports refuse bad manifests, never duplicate a file, and reject rows whose consent does not exist</t>
        </is>
      </c>
      <c r="C656" s="11" t="n">
        <v>6</v>
      </c>
      <c r="D656" s="11" t="inlineStr">
        <is>
          <t>Choose uat-manifest-01.csv and check it; then change 'Data source' to a different source.</t>
        </is>
      </c>
      <c r="E656" s="11" t="inlineStr">
        <is>
          <t>The check first reports 'Already imported' ('This exact file has been imported before (batch …)…'). Changing the data source clears the result, so the file must be checked again before anything can be imported.</t>
        </is>
      </c>
      <c r="F656" s="16" t="n"/>
      <c r="G656" s="16" t="n"/>
    </row>
    <row r="657">
      <c r="A657" s="10" t="inlineStr">
        <is>
          <t>CON-19</t>
        </is>
      </c>
      <c r="B657" s="11" t="inlineStr">
        <is>
          <t>Imports refuse bad manifests, never duplicate a file, and reject rows whose consent does not exist</t>
        </is>
      </c>
      <c r="C657" s="11" t="n">
        <v>7</v>
      </c>
      <c r="D657" s="11" t="inlineStr">
        <is>
          <t>Set 'Data source' back to 'CIT · SRC-SEED-CIT', check uat-manifest-01.csv again and, if 'Import' is available, click it.</t>
        </is>
      </c>
      <c r="E657" s="11" t="inlineStr">
        <is>
          <t>'Already imported' is shown again; if imported, the notice 'Nothing to do' / 'This file has already been imported. Nothing was written.' appears. No second batch and no second RUN-UAT-CON-01 collection appear.</t>
        </is>
      </c>
      <c r="F657" s="16" t="n"/>
      <c r="G657" s="16" t="n"/>
    </row>
    <row r="658">
      <c r="A658" s="10" t="inlineStr">
        <is>
          <t>CON-19</t>
        </is>
      </c>
      <c r="B658" s="11" t="inlineStr">
        <is>
          <t>Imports refuse bad manifests, never duplicate a file, and reject rows whose consent does not exist</t>
        </is>
      </c>
      <c r="C658" s="11" t="n">
        <v>8</v>
      </c>
      <c r="D658" s="11" t="inlineStr">
        <is>
          <t>Open 'Import a manifest' again, choose CIT and the Gait project, choose unknown-consent.csv and check it.</t>
        </is>
      </c>
      <c r="E658" s="11" t="inlineStr">
        <is>
          <t>'Manifest is valid' — the dry run checks the file's shape, not whether the consent exists.</t>
        </is>
      </c>
      <c r="F658" s="16" t="n"/>
      <c r="G658" s="16" t="n"/>
    </row>
    <row r="659">
      <c r="A659" s="10" t="inlineStr">
        <is>
          <t>CON-19</t>
        </is>
      </c>
      <c r="B659" s="11" t="inlineStr">
        <is>
          <t>Imports refuse bad manifests, never duplicate a file, and reject rows whose consent does not exist</t>
        </is>
      </c>
      <c r="C659" s="11" t="n">
        <v>9</v>
      </c>
      <c r="D659" s="11" t="inlineStr">
        <is>
          <t>Click 'Import 1 row(s)'.</t>
        </is>
      </c>
      <c r="E659" s="11" t="inlineStr">
        <is>
          <t>The notice 'Import rejected' / '0 accepted, 1 rejected.' appears. The Imports list shows the batch with Status 'Rejected', Rows '0 of 1' and '1 rejected'.</t>
        </is>
      </c>
      <c r="F659" s="16" t="n"/>
      <c r="G659" s="16" t="n"/>
    </row>
    <row r="660">
      <c r="A660" s="10" t="inlineStr">
        <is>
          <t>CON-19</t>
        </is>
      </c>
      <c r="B660" s="11" t="inlineStr">
        <is>
          <t>Imports refuse bad manifests, never duplicate a file, and reject rows whose consent does not exist</t>
        </is>
      </c>
      <c r="C660" s="11" t="n">
        <v>10</v>
      </c>
      <c r="D660" s="11" t="inlineStr">
        <is>
          <t>Open that batch.</t>
        </is>
      </c>
      <c r="E660" s="11" t="inlineStr">
        <is>
          <t>'Rejected' = 1 and the 'Rejected rows' table gives the Reason 'Consent artefact not found'.</t>
        </is>
      </c>
      <c r="F660" s="16" t="n"/>
      <c r="G660" s="16" t="n"/>
    </row>
    <row r="661">
      <c r="A661" s="10" t="inlineStr">
        <is>
          <t>CON-20</t>
        </is>
      </c>
      <c r="B661" s="11" t="inlineStr">
        <is>
          <t>Consent, export, cross-border and import events appear in the audit trail</t>
        </is>
      </c>
      <c r="C661" s="11" t="n">
        <v>1</v>
      </c>
      <c r="D661" s="11" t="inlineStr">
        <is>
          <t>Under 'Oversight' click 'Audit trail'.</t>
        </is>
      </c>
      <c r="E661" s="11" t="inlineStr">
        <is>
          <t>The page 'Audit trail' opens ('Append-only and hash-chained…') with 'Export CSV' and 'Verify chain' buttons, filters 'Area', 'Event', 'Record type', 'Actor role', 'From', 'To' and a 'Search' box, and the columns When, Event, Actor, About, Record.</t>
        </is>
      </c>
      <c r="F661" s="16" t="n"/>
      <c r="G661" s="16" t="n"/>
    </row>
    <row r="662">
      <c r="A662" s="10" t="inlineStr">
        <is>
          <t>CON-20</t>
        </is>
      </c>
      <c r="B662" s="11" t="inlineStr">
        <is>
          <t>Consent, export, cross-border and import events appear in the audit trail</t>
        </is>
      </c>
      <c r="C662" s="11" t="n">
        <v>2</v>
      </c>
      <c r="D662" s="11" t="inlineStr">
        <is>
          <t>Set 'Area' to 'Consent'.</t>
        </is>
      </c>
      <c r="E662" s="11" t="inlineStr">
        <is>
          <t>Entries such as 'Consent given', 'Consent declined' and 'Consent withdrawn' for the test people are listed.</t>
        </is>
      </c>
      <c r="F662" s="16" t="n"/>
      <c r="G662" s="16" t="n"/>
    </row>
    <row r="663">
      <c r="A663" s="10" t="inlineStr">
        <is>
          <t>CON-20</t>
        </is>
      </c>
      <c r="B663" s="11" t="inlineStr">
        <is>
          <t>Consent, export, cross-border and import events appear in the audit trail</t>
        </is>
      </c>
      <c r="C663" s="11" t="n">
        <v>3</v>
      </c>
      <c r="D663" s="11" t="inlineStr">
        <is>
          <t>Set 'Area' to 'Exports'.</t>
        </is>
      </c>
      <c r="E663" s="11" t="inlineStr">
        <is>
          <t>Entries 'Export generated' (Actor Priya Menon, and Meera Iyer from CON-13), 'Export downloaded' and 'Export refused' (from CON-15, CON-16, CON-17) are listed.</t>
        </is>
      </c>
      <c r="F663" s="16" t="n"/>
      <c r="G663" s="16" t="n"/>
    </row>
    <row r="664">
      <c r="A664" s="10" t="inlineStr">
        <is>
          <t>CON-20</t>
        </is>
      </c>
      <c r="B664" s="11" t="inlineStr">
        <is>
          <t>Consent, export, cross-border and import events appear in the audit trail</t>
        </is>
      </c>
      <c r="C664" s="11" t="n">
        <v>4</v>
      </c>
      <c r="D664" s="11" t="inlineStr">
        <is>
          <t>Click an 'Export refused' row.</t>
        </is>
      </c>
      <c r="E664" s="11" t="inlineStr">
        <is>
          <t>A detail panel titled 'Export refused' opens with What, When, Who. It concerns the project and names the processor/cause; it does not name any data principal.</t>
        </is>
      </c>
      <c r="F664" s="16" t="n"/>
      <c r="G664" s="16" t="n"/>
    </row>
    <row r="665">
      <c r="A665" s="10" t="inlineStr">
        <is>
          <t>CON-20</t>
        </is>
      </c>
      <c r="B665" s="11" t="inlineStr">
        <is>
          <t>Consent, export, cross-border and import events appear in the audit trail</t>
        </is>
      </c>
      <c r="C665" s="11" t="n">
        <v>5</v>
      </c>
      <c r="D665" s="11" t="inlineStr">
        <is>
          <t>Set 'Area' to 'Cross-border transfers'.</t>
        </is>
      </c>
      <c r="E665" s="11" t="inlineStr">
        <is>
          <t>'Transfer country restricted' and 'Transfer country lifted' entries for SG are listed.</t>
        </is>
      </c>
      <c r="F665" s="16" t="n"/>
      <c r="G665" s="16" t="n"/>
    </row>
    <row r="666">
      <c r="A666" s="10" t="inlineStr">
        <is>
          <t>CON-20</t>
        </is>
      </c>
      <c r="B666" s="11" t="inlineStr">
        <is>
          <t>Consent, export, cross-border and import events appear in the audit trail</t>
        </is>
      </c>
      <c r="C666" s="11" t="n">
        <v>6</v>
      </c>
      <c r="D666" s="11" t="inlineStr">
        <is>
          <t>Set 'Area' to 'Processors'.</t>
        </is>
      </c>
      <c r="E666" s="11" t="inlineStr">
        <is>
          <t>'Processor updated' entries for the SEED country changes and 'Processor created' for UAT No Country Lab Pvt Ltd are listed.</t>
        </is>
      </c>
      <c r="F666" s="16" t="n"/>
      <c r="G666" s="16" t="n"/>
    </row>
    <row r="667">
      <c r="A667" s="10" t="inlineStr">
        <is>
          <t>CON-20</t>
        </is>
      </c>
      <c r="B667" s="11" t="inlineStr">
        <is>
          <t>Consent, export, cross-border and import events appear in the audit trail</t>
        </is>
      </c>
      <c r="C667" s="11" t="n">
        <v>7</v>
      </c>
      <c r="D667" s="11" t="inlineStr">
        <is>
          <t>Set 'Area' to 'Imports'.</t>
        </is>
      </c>
      <c r="E667" s="11" t="inlineStr">
        <is>
          <t>'Import validated' (one per check), 'Import accepted' and 'Import rejected' entries are listed with Actor Arun Shetty.</t>
        </is>
      </c>
      <c r="F667" s="16" t="n"/>
      <c r="G667" s="16" t="n"/>
    </row>
    <row r="668">
      <c r="A668" s="10" t="inlineStr">
        <is>
          <t>CON-20</t>
        </is>
      </c>
      <c r="B668" s="11" t="inlineStr">
        <is>
          <t>Consent, export, cross-border and import events appear in the audit trail</t>
        </is>
      </c>
      <c r="C668" s="11" t="n">
        <v>8</v>
      </c>
      <c r="D668" s="11" t="inlineStr">
        <is>
          <t>Click 'Verify chain'.</t>
        </is>
      </c>
      <c r="E668" s="11" t="inlineStr">
        <is>
          <t>A green box 'Chain intact' appears.</t>
        </is>
      </c>
      <c r="F668" s="16" t="n"/>
      <c r="G668" s="16" t="n"/>
    </row>
    <row r="669">
      <c r="A669" s="10" t="inlineStr">
        <is>
          <t>CON-21</t>
        </is>
      </c>
      <c r="B669" s="11" t="inlineStr">
        <is>
          <t>After an export the principal sees who received her data, and withdraws one purpose while keeping the other</t>
        </is>
      </c>
      <c r="C669" s="11" t="n">
        <v>1</v>
      </c>
      <c r="D669" s="11" t="inlineStr">
        <is>
          <t>Open http://localhost:3001/sign-in. Under 'Sign in with' select 'Mobile', type +91 90000 00001 in 'Mobile number' and click 'Send me a code'. Then type the code the coordinator relays into 'Six-digit code' and click 'Verify'.</t>
        </is>
      </c>
      <c r="E669" s="11" t="inlineStr">
        <is>
          <t>After 'Send me a code' a blue box 'Check your messages' says 'If +91 90000 00001 is registered with us, a six-digit code is on its way. It expires in ten minutes.' After 'Verify' the page 'My consents' opens and 'My consents' is highlighted in the sidebar.</t>
        </is>
      </c>
      <c r="F669" s="16" t="n"/>
      <c r="G669" s="16" t="n"/>
    </row>
    <row r="670">
      <c r="A670" s="10" t="inlineStr">
        <is>
          <t>CON-21</t>
        </is>
      </c>
      <c r="B670" s="11" t="inlineStr">
        <is>
          <t>After an export the principal sees who received her data, and withdraws one purpose while keeping the other</t>
        </is>
      </c>
      <c r="C670" s="11" t="n">
        <v>2</v>
      </c>
      <c r="D670" s="11" t="inlineStr">
        <is>
          <t>Scroll to 'Who your data has been shared with'.</t>
        </is>
      </c>
      <c r="E670" s="11" t="inlineStr">
        <is>
          <t>At least one entry names the processor 'SEED' with 'Gait Identification Study 2026 · &lt;date and time&gt;' of the export.</t>
        </is>
      </c>
      <c r="F670" s="16" t="n"/>
      <c r="G670" s="16" t="n"/>
    </row>
    <row r="671">
      <c r="A671" s="10" t="inlineStr">
        <is>
          <t>CON-21</t>
        </is>
      </c>
      <c r="B671" s="11" t="inlineStr">
        <is>
          <t>After an export the principal sees who received her data, and withdraws one purpose while keeping the other</t>
        </is>
      </c>
      <c r="C671" s="11" t="n">
        <v>3</v>
      </c>
      <c r="D671" s="11" t="inlineStr">
        <is>
          <t>On the 'Gait Identification Study 2026' card (status 'Consented') click 'See what you agreed to'.</t>
        </is>
      </c>
      <c r="E671" s="11" t="inlineStr">
        <is>
          <t>Both purposes show 'Consented', each with a 'Withdraw just this one' button.</t>
        </is>
      </c>
      <c r="F671" s="16" t="n"/>
      <c r="G671" s="16" t="n"/>
    </row>
    <row r="672">
      <c r="A672" s="10" t="inlineStr">
        <is>
          <t>CON-21</t>
        </is>
      </c>
      <c r="B672" s="11" t="inlineStr">
        <is>
          <t>After an export the principal sees who received her data, and withdraws one purpose while keeping the other</t>
        </is>
      </c>
      <c r="C672" s="11" t="n">
        <v>4</v>
      </c>
      <c r="D672" s="11" t="inlineStr">
        <is>
          <t>Click 'Withdraw just this one' under 'Recording quality assurance'.</t>
        </is>
      </c>
      <c r="E672" s="11" t="inlineStr">
        <is>
          <t>The notice 'Withdrawal recorded' / 'Stopped: Recording quality assurance.' appears.</t>
        </is>
      </c>
      <c r="F672" s="16" t="n"/>
      <c r="G672" s="16" t="n"/>
    </row>
    <row r="673">
      <c r="A673" s="10" t="inlineStr">
        <is>
          <t>CON-21</t>
        </is>
      </c>
      <c r="B673" s="11" t="inlineStr">
        <is>
          <t>After an export the principal sees who received her data, and withdraws one purpose while keeping the other</t>
        </is>
      </c>
      <c r="C673" s="11" t="n">
        <v>5</v>
      </c>
      <c r="D673" s="11" t="inlineStr">
        <is>
          <t>Look at the card.</t>
        </is>
      </c>
      <c r="E673" s="11" t="inlineStr">
        <is>
          <t>The line reads 'You agreed to 1 of 2 purposes.' 'Recording quality assurance' now shows 'Declined' and 'Gait model training' still shows 'Consented'. The status badge reads 'Partial', not 'Withdrawn'.</t>
        </is>
      </c>
      <c r="F673" s="16" t="n"/>
      <c r="G673" s="16" t="n"/>
    </row>
    <row r="674">
      <c r="A674" s="10" t="inlineStr">
        <is>
          <t>CON-21</t>
        </is>
      </c>
      <c r="B674" s="11" t="inlineStr">
        <is>
          <t>After an export the principal sees who received her data, and withdraws one purpose while keeping the other</t>
        </is>
      </c>
      <c r="C674" s="11" t="n">
        <v>6</v>
      </c>
      <c r="D674" s="11" t="inlineStr">
        <is>
          <t>Look for a way to withdraw the remaining purpose, 'Gait model training'.</t>
        </is>
      </c>
      <c r="E674" s="11" t="inlineStr">
        <is>
          <t>A 'Withdraw just this one' button is still offered under 'Gait model training' (and 'Withdraw everything' on the card), so the rest can be withdrawn as easily as consent was given (s.6(4)).</t>
        </is>
      </c>
      <c r="F674" s="16" t="n"/>
      <c r="G674" s="16" t="n"/>
    </row>
    <row r="675">
      <c r="A675" s="10" t="inlineStr">
        <is>
          <t>CON-21</t>
        </is>
      </c>
      <c r="B675" s="11" t="inlineStr">
        <is>
          <t>After an export the principal sees who received her data, and withdraws one purpose while keeping the other</t>
        </is>
      </c>
      <c r="C675" s="11" t="n">
        <v>7</v>
      </c>
      <c r="D675" s="11" t="inlineStr">
        <is>
          <t>Click 'What was recorded'.</t>
        </is>
      </c>
      <c r="E675" s="11" t="inlineStr">
        <is>
          <t>The list shows the original consent followed by the withdrawal.</t>
        </is>
      </c>
      <c r="F675" s="16" t="n"/>
      <c r="G675" s="16" t="n"/>
    </row>
    <row r="676">
      <c r="A676" s="10" t="inlineStr">
        <is>
          <t>CON-21</t>
        </is>
      </c>
      <c r="B676" s="11" t="inlineStr">
        <is>
          <t>After an export the principal sees who received her data, and withdraws one purpose while keeping the other</t>
        </is>
      </c>
      <c r="C676" s="11" t="n">
        <v>8</v>
      </c>
      <c r="D676" s="11" t="inlineStr">
        <is>
          <t>Ask the coordinator to check the outbox for Anjali.</t>
        </is>
      </c>
      <c r="E676" s="11" t="inlineStr">
        <is>
          <t>A withdrawal confirmation message is present.</t>
        </is>
      </c>
      <c r="F676" s="16" t="n"/>
      <c r="G676" s="16" t="n"/>
    </row>
    <row r="677">
      <c r="A677" s="10" t="inlineStr">
        <is>
          <t>CON-21</t>
        </is>
      </c>
      <c r="B677" s="11" t="inlineStr">
        <is>
          <t>After an export the principal sees who received her data, and withdraws one purpose while keeping the other</t>
        </is>
      </c>
      <c r="C677" s="11" t="n">
        <v>9</v>
      </c>
      <c r="D677" s="11" t="inlineStr">
        <is>
          <t>In the console as the DPO open 'Consents' &gt; 'Anjali Verma'.</t>
        </is>
      </c>
      <c r="E677" s="11" t="inlineStr">
        <is>
          <t>The record shows the warning 'This record is a withdrawal'; 'Purposes' shows 'Gait model training' Agreed and 'Recording quality assurance' Not agreed. Its status reads 'Partial', not 'Withdrawn'.</t>
        </is>
      </c>
      <c r="F677" s="16" t="n"/>
      <c r="G677" s="16" t="n"/>
    </row>
    <row r="678">
      <c r="A678" s="10" t="inlineStr">
        <is>
          <t>RGT-01</t>
        </is>
      </c>
      <c r="B678" s="11" t="inlineStr">
        <is>
          <t>Data principal raises an access request from My requests and sends a document with it</t>
        </is>
      </c>
      <c r="C678" s="11" t="n">
        <v>1</v>
      </c>
      <c r="D678" s="11" t="inlineStr">
        <is>
          <t>In Browser A open http://localhost:3001/sign-in. Under 'Sign in with' choose 'Email', type subject@cmp.local in 'Email address' and click 'Send me a code'. Ask the coordinator for the code, type it in 'Six-digit code' and click 'Verify'.</t>
        </is>
      </c>
      <c r="E678" s="11" t="inlineStr">
        <is>
          <t>A 'Check your messages' box appears after the first click. After 'Verify' you are signed in and the 'My consents' page opens; the sidebar shows 'My consents' and 'My requests'.</t>
        </is>
      </c>
      <c r="F678" s="16" t="n"/>
      <c r="G678" s="16" t="n"/>
    </row>
    <row r="679">
      <c r="A679" s="10" t="inlineStr">
        <is>
          <t>RGT-01</t>
        </is>
      </c>
      <c r="B679" s="11" t="inlineStr">
        <is>
          <t>Data principal raises an access request from My requests and sends a document with it</t>
        </is>
      </c>
      <c r="C679" s="11" t="n">
        <v>2</v>
      </c>
      <c r="D679" s="11" t="inlineStr">
        <is>
          <t>In the sidebar click 'My requests'.</t>
        </is>
      </c>
      <c r="E679" s="11" t="inlineStr">
        <is>
          <t>The page 'My requests' opens with the text 'Ask for access to everything we hold about you, ask for it to be erased, or raise a complaint...' and a 'Make a request' button at the top right. At the foot of the page a line says naming someone to act for you is under 'My nominations'.</t>
        </is>
      </c>
      <c r="F679" s="16" t="n"/>
      <c r="G679" s="16" t="n"/>
    </row>
    <row r="680">
      <c r="A680" s="10" t="inlineStr">
        <is>
          <t>RGT-01</t>
        </is>
      </c>
      <c r="B680" s="11" t="inlineStr">
        <is>
          <t>Data principal raises an access request from My requests and sends a document with it</t>
        </is>
      </c>
      <c r="C680" s="11" t="n">
        <v>3</v>
      </c>
      <c r="D680" s="11" t="inlineStr">
        <is>
          <t>Click 'Make a request'.</t>
        </is>
      </c>
      <c r="E680" s="11" t="inlineStr">
        <is>
          <t>A dialog titled 'Make a request' opens with the line 'You are signed in, so this counts as verified and the clock starts now.' It has 'What are you asking for', the line 'A request is about everything we hold about you - every project and every consent.', 'Your request', a 'Documents' section marked '(optional)' with an 'Add documents' button, and a 'Send the request' button. There is no 'About' field and no list of consents to choose from.</t>
        </is>
      </c>
      <c r="F680" s="16" t="n"/>
      <c r="G680" s="16" t="n"/>
    </row>
    <row r="681">
      <c r="A681" s="10" t="inlineStr">
        <is>
          <t>RGT-01</t>
        </is>
      </c>
      <c r="B681" s="11" t="inlineStr">
        <is>
          <t>Data principal raises an access request from My requests and sends a document with it</t>
        </is>
      </c>
      <c r="C681" s="11" t="n">
        <v>4</v>
      </c>
      <c r="D681" s="11" t="inlineStr">
        <is>
          <t>Open 'What are you asking for' and choose 'Access (s.11)'.</t>
        </is>
      </c>
      <c r="E681" s="11" t="inlineStr">
        <is>
          <t>The list has exactly three choices: 'Access (s.11)', 'Erasure (s.12(3))' and 'Complaint (grievance) (s.13)'. After choosing Access a blue note under it reads 'A summary of the personal data we hold about you, what we do with it, and who it has been shared with.'</t>
        </is>
      </c>
      <c r="F681" s="16" t="n"/>
      <c r="G681" s="16" t="n"/>
    </row>
    <row r="682">
      <c r="A682" s="10" t="inlineStr">
        <is>
          <t>RGT-01</t>
        </is>
      </c>
      <c r="B682" s="11" t="inlineStr">
        <is>
          <t>Data principal raises an access request from My requests and sends a document with it</t>
        </is>
      </c>
      <c r="C682" s="11" t="n">
        <v>5</v>
      </c>
      <c r="D682" s="11" t="inlineStr">
        <is>
          <t>Type the test text in 'Your request'. Click 'Add documents' and choose id-proof.pdf.</t>
        </is>
      </c>
      <c r="E682" s="11" t="inlineStr">
        <is>
          <t>id-proof.pdf is listed with its size and a small X to take it off the list. The button now reads 'Add more documents'. The hint says 'PDF, image, text or Word; up to 10 files, 25 MB each.'</t>
        </is>
      </c>
      <c r="F682" s="16" t="n"/>
      <c r="G682" s="16" t="n"/>
    </row>
    <row r="683">
      <c r="A683" s="10" t="inlineStr">
        <is>
          <t>RGT-01</t>
        </is>
      </c>
      <c r="B683" s="11" t="inlineStr">
        <is>
          <t>Data principal raises an access request from My requests and sends a document with it</t>
        </is>
      </c>
      <c r="C683" s="11" t="n">
        <v>6</v>
      </c>
      <c r="D683" s="11" t="inlineStr">
        <is>
          <t>Click 'Send the request'.</t>
        </is>
      </c>
      <c r="E683" s="11" t="inlineStr">
        <is>
          <t>The dialog closes. A message 'Recorded as RR-YYYY-NNNNNN' appears with 'You will hear from us by &lt;date&gt;. 1 document sent with it.' Write down the reference (RR-A).</t>
        </is>
      </c>
      <c r="F683" s="16" t="n"/>
      <c r="G683" s="16" t="n"/>
    </row>
    <row r="684">
      <c r="A684" s="10" t="inlineStr">
        <is>
          <t>RGT-01</t>
        </is>
      </c>
      <c r="B684" s="11" t="inlineStr">
        <is>
          <t>Data principal raises an access request from My requests and sends a document with it</t>
        </is>
      </c>
      <c r="C684" s="11" t="n">
        <v>7</v>
      </c>
      <c r="D684" s="11" t="inlineStr">
        <is>
          <t>Look at the new card for RR-A at the top of the list.</t>
        </is>
      </c>
      <c r="E684" s="11" t="inlineStr">
        <is>
          <t>The card shows the reference, the badges 'Access · s.11' and 'Received', and the line 'Received &lt;date and time&gt; · you will hear by &lt;date&gt;'. Your request text is shown, and under it 'Documents you sent' lists id-proof.pdf with its size. There is NO yellow box saying 'We have not yet confirmed this came from you'.</t>
        </is>
      </c>
      <c r="F684" s="16" t="n"/>
      <c r="G684" s="16" t="n"/>
    </row>
    <row r="685">
      <c r="A685" s="10" t="inlineStr">
        <is>
          <t>RGT-01</t>
        </is>
      </c>
      <c r="B685" s="11" t="inlineStr">
        <is>
          <t>Data principal raises an access request from My requests and sends a document with it</t>
        </is>
      </c>
      <c r="C685" s="11" t="n">
        <v>8</v>
      </c>
      <c r="D685" s="11" t="inlineStr">
        <is>
          <t>Look at the lower half of the card (it opens already expanded after sending).</t>
        </is>
      </c>
      <c r="E685" s="11" t="inlineStr">
        <is>
          <t>Two columns are shown: 'Clock' with the checkpoints, and 'The path' with steps including 'Request received', 'Acknowledge', 'Identity verified?', 'A valid access request?', 'The CMP answers its own records', 'Holders found, DPO confirms', 'Tickets sent to each holder' and 'Every answer accepted?'. The button reads 'Hide details'.</t>
        </is>
      </c>
      <c r="F685" s="16" t="n"/>
      <c r="G685" s="16" t="n"/>
    </row>
    <row r="686">
      <c r="A686" s="10" t="inlineStr">
        <is>
          <t>RGT-01</t>
        </is>
      </c>
      <c r="B686" s="11" t="inlineStr">
        <is>
          <t>Data principal raises an access request from My requests and sends a document with it</t>
        </is>
      </c>
      <c r="C686" s="11" t="n">
        <v>9</v>
      </c>
      <c r="D686" s="11" t="inlineStr">
        <is>
          <t>Click 'Hide details', then 'Show details'.</t>
        </is>
      </c>
      <c r="E686" s="11" t="inlineStr">
        <is>
          <t>The card folds to a summary - reference, badges, dates and the first lines of your request - and opens again.</t>
        </is>
      </c>
      <c r="F686" s="16" t="n"/>
      <c r="G686" s="16" t="n"/>
    </row>
    <row r="687">
      <c r="A687" s="10" t="inlineStr">
        <is>
          <t>RGT-01</t>
        </is>
      </c>
      <c r="B687" s="11" t="inlineStr">
        <is>
          <t>Data principal raises an access request from My requests and sends a document with it</t>
        </is>
      </c>
      <c r="C687" s="11" t="n">
        <v>10</v>
      </c>
      <c r="D687" s="11" t="inlineStr">
        <is>
          <t>Click 'Show what was recorded' on the card.</t>
        </is>
      </c>
      <c r="E687" s="11" t="inlineStr">
        <is>
          <t>A list of recorded events opens, oldest first, starting with the request being received. The button now reads 'Hide what was recorded'.</t>
        </is>
      </c>
      <c r="F687" s="16" t="n"/>
      <c r="G687" s="16" t="n"/>
    </row>
    <row r="688">
      <c r="A688" s="10" t="inlineStr">
        <is>
          <t>RGT-01</t>
        </is>
      </c>
      <c r="B688" s="11" t="inlineStr">
        <is>
          <t>Data principal raises an access request from My requests and sends a document with it</t>
        </is>
      </c>
      <c r="C688" s="11" t="n">
        <v>11</v>
      </c>
      <c r="D688" s="11" t="inlineStr">
        <is>
          <t>Ask the coordinator to check the outbox for an acknowledgement sent to subject@cmp.local.</t>
        </is>
      </c>
      <c r="E688" s="11" t="inlineStr">
        <is>
          <t>An acknowledgement for RR-A is in the outbox, quoting the reference and the date by which she will hear.</t>
        </is>
      </c>
      <c r="F688" s="16" t="n"/>
      <c r="G688" s="16" t="n"/>
    </row>
    <row r="689">
      <c r="A689" s="10" t="inlineStr">
        <is>
          <t>RGT-02</t>
        </is>
      </c>
      <c r="B689" s="11" t="inlineStr">
        <is>
          <t>Correction is not a kind of request on any form; a name is corrected from the account</t>
        </is>
      </c>
      <c r="C689" s="11" t="n">
        <v>1</v>
      </c>
      <c r="D689" s="11" t="inlineStr">
        <is>
          <t>In Browser A click 'My requests', then 'Make a request', and open 'What are you asking for'.</t>
        </is>
      </c>
      <c r="E689" s="11" t="inlineStr">
        <is>
          <t>Exactly three choices: 'Access (s.11)', 'Erasure (s.12(3))' and 'Complaint (grievance) (s.13)'. There is no 'Correction'. Close the dialog with Esc.</t>
        </is>
      </c>
      <c r="F689" s="16" t="n"/>
      <c r="G689" s="16" t="n"/>
    </row>
    <row r="690">
      <c r="A690" s="10" t="inlineStr">
        <is>
          <t>RGT-02</t>
        </is>
      </c>
      <c r="B690" s="11" t="inlineStr">
        <is>
          <t>Correction is not a kind of request on any form; a name is corrected from the account</t>
        </is>
      </c>
      <c r="C690" s="11" t="n">
        <v>2</v>
      </c>
      <c r="D690" s="11" t="inlineStr">
        <is>
          <t>In the sidebar click 'My nominations' and look at 'Which of your rights they may exercise'.</t>
        </is>
      </c>
      <c r="E690" s="11" t="inlineStr">
        <is>
          <t>Three boxes: 'Access (s.11)', 'Erasure (s.12(3))' and 'Complaint (grievance) (s.13)'. There is no 'Correction' box.</t>
        </is>
      </c>
      <c r="F690" s="16" t="n"/>
      <c r="G690" s="16" t="n"/>
    </row>
    <row r="691">
      <c r="A691" s="10" t="inlineStr">
        <is>
          <t>RGT-02</t>
        </is>
      </c>
      <c r="B691" s="11" t="inlineStr">
        <is>
          <t>Correction is not a kind of request on any form; a name is corrected from the account</t>
        </is>
      </c>
      <c r="C691" s="11" t="n">
        <v>3</v>
      </c>
      <c r="D691" s="11" t="inlineStr">
        <is>
          <t>In the private window open http://localhost:3001/rights. In the 'Make a request' card open 'What are you asking for'.</t>
        </is>
      </c>
      <c r="E691" s="11" t="inlineStr">
        <is>
          <t>The same three choices; no 'Correction'.</t>
        </is>
      </c>
      <c r="F691" s="16" t="n"/>
      <c r="G691" s="16" t="n"/>
    </row>
    <row r="692">
      <c r="A692" s="10" t="inlineStr">
        <is>
          <t>RGT-02</t>
        </is>
      </c>
      <c r="B692" s="11" t="inlineStr">
        <is>
          <t>Correction is not a kind of request on any form; a name is corrected from the account</t>
        </is>
      </c>
      <c r="C692" s="11" t="n">
        <v>4</v>
      </c>
      <c r="D692" s="11" t="inlineStr">
        <is>
          <t>In Browser B open http://localhost:3000. Type dpo@cmp.local in 'Email or username' and SeedPassw0rd!2026 in 'Password' and click 'Sign in'. If the 'Verify it is you' page appears, ask the coordinator for the code, type it in '6-digit code' and click 'Verify and continue'.</t>
        </is>
      </c>
      <c r="E692" s="11" t="inlineStr">
        <is>
          <t>The Dashboard opens, signed in as Priya Menon (DPO).</t>
        </is>
      </c>
      <c r="F692" s="16" t="n"/>
      <c r="G692" s="16" t="n"/>
    </row>
    <row r="693">
      <c r="A693" s="10" t="inlineStr">
        <is>
          <t>RGT-02</t>
        </is>
      </c>
      <c r="B693" s="11" t="inlineStr">
        <is>
          <t>Correction is not a kind of request on any form; a name is corrected from the account</t>
        </is>
      </c>
      <c r="C693" s="11" t="n">
        <v>5</v>
      </c>
      <c r="D693" s="11" t="inlineStr">
        <is>
          <t>Click 'Rights requests' and open the 'Kind' filter.</t>
        </is>
      </c>
      <c r="E693" s="11" t="inlineStr">
        <is>
          <t>The choices are 'All kinds', 'Access', 'Erasure' and 'Complaint (grievance)'. There is no 'Correction'.</t>
        </is>
      </c>
      <c r="F693" s="16" t="n"/>
      <c r="G693" s="16" t="n"/>
    </row>
    <row r="694">
      <c r="A694" s="10" t="inlineStr">
        <is>
          <t>RGT-02</t>
        </is>
      </c>
      <c r="B694" s="11" t="inlineStr">
        <is>
          <t>Correction is not a kind of request on any form; a name is corrected from the account</t>
        </is>
      </c>
      <c r="C694" s="11" t="n">
        <v>6</v>
      </c>
      <c r="D694" s="11" t="inlineStr">
        <is>
          <t>Click 'Log a request received by email' and open 'Kind of request'.</t>
        </is>
      </c>
      <c r="E694" s="11" t="inlineStr">
        <is>
          <t>The dialog 'Log a request received by email' opens. 'Kind of request' offers the same three kinds and no 'Correction'. Close the dialog with Esc without logging anything.</t>
        </is>
      </c>
      <c r="F694" s="16" t="n"/>
      <c r="G694" s="16" t="n"/>
    </row>
    <row r="695">
      <c r="A695" s="10" t="inlineStr">
        <is>
          <t>RGT-02</t>
        </is>
      </c>
      <c r="B695" s="11" t="inlineStr">
        <is>
          <t>Correction is not a kind of request on any form; a name is corrected from the account</t>
        </is>
      </c>
      <c r="C695" s="11" t="n">
        <v>7</v>
      </c>
      <c r="D695" s="11" t="inlineStr">
        <is>
          <t>Open RR-A and, in the card '4 · A valid access request?', open 'This is a request for'. Do not confirm anything.</t>
        </is>
      </c>
      <c r="E695" s="11" t="inlineStr">
        <is>
          <t>The same three kinds are offered; a request cannot be reclassified as a correction.</t>
        </is>
      </c>
      <c r="F695" s="16" t="n"/>
      <c r="G695" s="16" t="n"/>
    </row>
    <row r="696">
      <c r="A696" s="10" t="inlineStr">
        <is>
          <t>RGT-02</t>
        </is>
      </c>
      <c r="B696" s="11" t="inlineStr">
        <is>
          <t>Correction is not a kind of request on any form; a name is corrected from the account</t>
        </is>
      </c>
      <c r="C696" s="11" t="n">
        <v>8</v>
      </c>
      <c r="D696" s="11" t="inlineStr">
        <is>
          <t>In Browser A click your name at the top right, then 'My profile'.</t>
        </is>
      </c>
      <c r="E696" s="11" t="inlineStr">
        <is>
          <t>Beside her name there is a 'Change' button: a person corrects her own name here, not by a request (ACC-21 tests the change itself).</t>
        </is>
      </c>
      <c r="F696" s="16" t="n"/>
      <c r="G696" s="16" t="n"/>
    </row>
    <row r="697">
      <c r="A697" s="10" t="inlineStr">
        <is>
          <t>RGT-03</t>
        </is>
      </c>
      <c r="B697" s="11" t="inlineStr">
        <is>
          <t>Data principal raises an erasure request and is told erasure is not withdrawal</t>
        </is>
      </c>
      <c r="C697" s="11" t="n">
        <v>1</v>
      </c>
      <c r="D697" s="11" t="inlineStr">
        <is>
          <t>In 'My requests' click 'Make a request' and in 'What are you asking for' choose 'Erasure (s.12(3))'.</t>
        </is>
      </c>
      <c r="E697" s="11" t="inlineStr">
        <is>
          <t>A yellow (warning) note appears: 'Erase personal data that is no longer needed. Consent records are kept as evidence of what was agreed; withdrawing consent is a separate, quicker step you can take yourself.'</t>
        </is>
      </c>
      <c r="F697" s="16" t="n"/>
      <c r="G697" s="16" t="n"/>
    </row>
    <row r="698">
      <c r="A698" s="10" t="inlineStr">
        <is>
          <t>RGT-03</t>
        </is>
      </c>
      <c r="B698" s="11" t="inlineStr">
        <is>
          <t>Data principal raises an erasure request and is told erasure is not withdrawal</t>
        </is>
      </c>
      <c r="C698" s="11" t="n">
        <v>2</v>
      </c>
      <c r="D698" s="11" t="inlineStr">
        <is>
          <t>Type the test text in 'Your request' and click 'Send the request'.</t>
        </is>
      </c>
      <c r="E698" s="11" t="inlineStr">
        <is>
          <t>'Recorded as RR-...' appears with the date she will hear by. Write down the reference (RR-E).</t>
        </is>
      </c>
      <c r="F698" s="16" t="n"/>
      <c r="G698" s="16" t="n"/>
    </row>
    <row r="699">
      <c r="A699" s="10" t="inlineStr">
        <is>
          <t>RGT-03</t>
        </is>
      </c>
      <c r="B699" s="11" t="inlineStr">
        <is>
          <t>Data principal raises an erasure request and is told erasure is not withdrawal</t>
        </is>
      </c>
      <c r="C699" s="11" t="n">
        <v>3</v>
      </c>
      <c r="D699" s="11" t="inlineStr">
        <is>
          <t>Look at the RR-E card.</t>
        </is>
      </c>
      <c r="E699" s="11" t="inlineStr">
        <is>
          <t>The card shows 'Erasure · s.12(3)' and 'Received', and no 'not yet confirmed' warning.</t>
        </is>
      </c>
      <c r="F699" s="16" t="n"/>
      <c r="G699" s="16" t="n"/>
    </row>
    <row r="700">
      <c r="A700" s="10" t="inlineStr">
        <is>
          <t>RGT-03</t>
        </is>
      </c>
      <c r="B700" s="11" t="inlineStr">
        <is>
          <t>Data principal raises an erasure request and is told erasure is not withdrawal</t>
        </is>
      </c>
      <c r="C700" s="11" t="n">
        <v>4</v>
      </c>
      <c r="D700" s="11" t="inlineStr">
        <is>
          <t>Read 'The path' on the RR-E card.</t>
        </is>
      </c>
      <c r="E700" s="11" t="inlineStr">
        <is>
          <t>The steps include 'Withdrawal, or erasure?', 'Scope determined', 'Inside the one-year floor?', 'Holders found, DPO confirms', 'Erasure tickets sent', 'Every confirmation accepted?' and 'Respond and close'.</t>
        </is>
      </c>
      <c r="F700" s="16" t="n"/>
      <c r="G700" s="16" t="n"/>
    </row>
    <row r="701">
      <c r="A701" s="10" t="inlineStr">
        <is>
          <t>RGT-03</t>
        </is>
      </c>
      <c r="B701" s="11" t="inlineStr">
        <is>
          <t>Data principal raises an erasure request and is told erasure is not withdrawal</t>
        </is>
      </c>
      <c r="C701" s="11" t="n">
        <v>5</v>
      </c>
      <c r="D701" s="11" t="inlineStr">
        <is>
          <t>Click 'My consents' in the sidebar.</t>
        </is>
      </c>
      <c r="E701" s="11" t="inlineStr">
        <is>
          <t>Her consents are unchanged - raising an erasure request did not withdraw any consent.</t>
        </is>
      </c>
      <c r="F701" s="16" t="n"/>
      <c r="G701" s="16" t="n"/>
    </row>
    <row r="702">
      <c r="A702" s="10" t="inlineStr">
        <is>
          <t>RGT-04</t>
        </is>
      </c>
      <c r="B702" s="11" t="inlineStr">
        <is>
          <t>Request forms refuse incomplete or badly formed input</t>
        </is>
      </c>
      <c r="C702" s="11" t="n">
        <v>1</v>
      </c>
      <c r="D702" s="11" t="inlineStr">
        <is>
          <t>In 'My requests' click 'Make a request', choose 'Access (s.11)', type 'short' in 'Your request' and click 'Send the request'.</t>
        </is>
      </c>
      <c r="E702" s="11" t="inlineStr">
        <is>
          <t>The dialog stays open with the error 'Say what you are asking for, in a sentence or two.' under 'Your request'. No new card appears.</t>
        </is>
      </c>
      <c r="F702" s="16" t="n"/>
      <c r="G702" s="16" t="n"/>
    </row>
    <row r="703">
      <c r="A703" s="10" t="inlineStr">
        <is>
          <t>RGT-04</t>
        </is>
      </c>
      <c r="B703" s="11" t="inlineStr">
        <is>
          <t>Request forms refuse incomplete or badly formed input</t>
        </is>
      </c>
      <c r="C703" s="11" t="n">
        <v>2</v>
      </c>
      <c r="D703" s="11" t="inlineStr">
        <is>
          <t>In the same dialog change 'What are you asking for' to 'Complaint (grievance) (s.13)'.</t>
        </is>
      </c>
      <c r="E703" s="11" t="inlineStr">
        <is>
          <t>A checkbox appears: 'This complaint is about the Data Protection Officer's own decisions.' with 'It will be reviewed by somebody independent of the DPO.' Close the dialog with Esc.</t>
        </is>
      </c>
      <c r="F703" s="16" t="n"/>
      <c r="G703" s="16" t="n"/>
    </row>
    <row r="704">
      <c r="A704" s="10" t="inlineStr">
        <is>
          <t>RGT-04</t>
        </is>
      </c>
      <c r="B704" s="11" t="inlineStr">
        <is>
          <t>Request forms refuse incomplete or badly formed input</t>
        </is>
      </c>
      <c r="C704" s="11" t="n">
        <v>3</v>
      </c>
      <c r="D704" s="11" t="inlineStr">
        <is>
          <t>In the private window open http://localhost:3001/rights. In 'Make a request' type 'ab' in 'The email or mobile you registered with', a full sentence in 'Your request', and click 'Send the request'.</t>
        </is>
      </c>
      <c r="E704" s="11" t="inlineStr">
        <is>
          <t>The error 'The email or mobile you registered with.' appears under the contact field. No 'Recorded' box appears.</t>
        </is>
      </c>
      <c r="F704" s="16" t="n"/>
      <c r="G704" s="16" t="n"/>
    </row>
    <row r="705">
      <c r="A705" s="10" t="inlineStr">
        <is>
          <t>RGT-04</t>
        </is>
      </c>
      <c r="B705" s="11" t="inlineStr">
        <is>
          <t>Request forms refuse incomplete or badly formed input</t>
        </is>
      </c>
      <c r="C705" s="11" t="n">
        <v>4</v>
      </c>
      <c r="D705" s="11" t="inlineStr">
        <is>
          <t>Click 'Already have a reference and a code? Verify it here.'</t>
        </is>
      </c>
      <c r="E705" s="11" t="inlineStr">
        <is>
          <t>The form changes to 'Your reference' and 'The code we sent' with a 'Confirm it is me' button and a 'Make a new request instead' link.</t>
        </is>
      </c>
      <c r="F705" s="16" t="n"/>
      <c r="G705" s="16" t="n"/>
    </row>
    <row r="706">
      <c r="A706" s="10" t="inlineStr">
        <is>
          <t>RGT-04</t>
        </is>
      </c>
      <c r="B706" s="11" t="inlineStr">
        <is>
          <t>Request forms refuse incomplete or badly formed input</t>
        </is>
      </c>
      <c r="C706" s="11" t="n">
        <v>5</v>
      </c>
      <c r="D706" s="11" t="inlineStr">
        <is>
          <t>Type 12345 in 'Your reference' and 12ab in 'The code we sent'. Click 'Confirm it is me'.</t>
        </is>
      </c>
      <c r="E706" s="11" t="inlineStr">
        <is>
          <t>'A reference looks like RR-2026-000123.' appears under the reference and 'The code is digits only.' under the code. Nothing is verified.</t>
        </is>
      </c>
      <c r="F706" s="16" t="n"/>
      <c r="G706" s="16" t="n"/>
    </row>
    <row r="707">
      <c r="A707" s="10" t="inlineStr">
        <is>
          <t>RGT-04</t>
        </is>
      </c>
      <c r="B707" s="11" t="inlineStr">
        <is>
          <t>Request forms refuse incomplete or badly formed input</t>
        </is>
      </c>
      <c r="C707" s="11" t="n">
        <v>6</v>
      </c>
      <c r="D707" s="11" t="inlineStr">
        <is>
          <t>Click 'Make a new request instead'.</t>
        </is>
      </c>
      <c r="E707" s="11" t="inlineStr">
        <is>
          <t>The request form ('What are you asking for', contact, 'Your name', 'Your request') is shown again.</t>
        </is>
      </c>
      <c r="F707" s="16" t="n"/>
      <c r="G707" s="16" t="n"/>
    </row>
    <row r="708">
      <c r="A708" s="10" t="inlineStr">
        <is>
          <t>RGT-05</t>
        </is>
      </c>
      <c r="B708" s="11" t="inlineStr">
        <is>
          <t>Person without a portal session makes a request on the public rights page and verifies it by code</t>
        </is>
      </c>
      <c r="C708" s="11" t="n">
        <v>1</v>
      </c>
      <c r="D708" s="11" t="inlineStr">
        <is>
          <t>Open http://localhost:3001/rights.</t>
        </is>
      </c>
      <c r="E708" s="11" t="inlineStr">
        <is>
          <t>The page 'Your rights' opens without sign-in. It shows cards 'What you can ask for', 'Make a request', 'Withdrawing your consent', 'Acting for someone who nominated you', 'Contacting us', and a box 'If you are not satisfied' describing the Data Protection Board route.</t>
        </is>
      </c>
      <c r="F708" s="16" t="n"/>
      <c r="G708" s="16" t="n"/>
    </row>
    <row r="709">
      <c r="A709" s="10" t="inlineStr">
        <is>
          <t>RGT-05</t>
        </is>
      </c>
      <c r="B709" s="11" t="inlineStr">
        <is>
          <t>Person without a portal session makes a request on the public rights page and verifies it by code</t>
        </is>
      </c>
      <c r="C709" s="11" t="n">
        <v>2</v>
      </c>
      <c r="D709" s="11" t="inlineStr">
        <is>
          <t>In 'Make a request' choose 'Access (s.11)' in 'What are you asking for'. Read the hint under 'The email or mobile you registered with'.</t>
        </is>
      </c>
      <c r="E709" s="11" t="inlineStr">
        <is>
          <t>The hint reads 'We send a verification code to the contact we already hold for you - never to a new one typed here.'</t>
        </is>
      </c>
      <c r="F709" s="16" t="n"/>
      <c r="G709" s="16" t="n"/>
    </row>
    <row r="710">
      <c r="A710" s="10" t="inlineStr">
        <is>
          <t>RGT-05</t>
        </is>
      </c>
      <c r="B710" s="11" t="inlineStr">
        <is>
          <t>Person without a portal session makes a request on the public rights page and verifies it by code</t>
        </is>
      </c>
      <c r="C710" s="11" t="n">
        <v>3</v>
      </c>
      <c r="D710" s="11" t="inlineStr">
        <is>
          <t>Fill in the contact, name and request from the test data and click 'Send the request'.</t>
        </is>
      </c>
      <c r="E710" s="11" t="inlineStr">
        <is>
          <t>A box titled 'Recorded' reads 'Thank you. Your request has been recorded. If we hold records for the contact you gave, a verification code has been sent to it.' and 'Your reference is RR-.... Quote it if you contact us.' Below it 'Your reference' is already filled in and 'The code we sent' is empty.</t>
        </is>
      </c>
      <c r="F710" s="16" t="n"/>
      <c r="G710" s="16" t="n"/>
    </row>
    <row r="711">
      <c r="A711" s="10" t="inlineStr">
        <is>
          <t>RGT-05</t>
        </is>
      </c>
      <c r="B711" s="11" t="inlineStr">
        <is>
          <t>Person without a portal session makes a request on the public rights page and verifies it by code</t>
        </is>
      </c>
      <c r="C711" s="11" t="n">
        <v>4</v>
      </c>
      <c r="D711" s="11" t="inlineStr">
        <is>
          <t>Ask the coordinator for the code sent to subject@cmp.local for this reference.</t>
        </is>
      </c>
      <c r="E711" s="11" t="inlineStr">
        <is>
          <t>The coordinator finds a verification code in the outbox addressed to subject@cmp.local.</t>
        </is>
      </c>
      <c r="F711" s="16" t="n"/>
      <c r="G711" s="16" t="n"/>
    </row>
    <row r="712">
      <c r="A712" s="10" t="inlineStr">
        <is>
          <t>RGT-05</t>
        </is>
      </c>
      <c r="B712" s="11" t="inlineStr">
        <is>
          <t>Person without a portal session makes a request on the public rights page and verifies it by code</t>
        </is>
      </c>
      <c r="C712" s="11" t="n">
        <v>5</v>
      </c>
      <c r="D712" s="11" t="inlineStr">
        <is>
          <t>Type the code in 'The code we sent' and click 'Confirm it is me'.</t>
        </is>
      </c>
      <c r="E712" s="11" t="inlineStr">
        <is>
          <t>A box titled 'Verified' reads 'Thank you, your identity is verified. You will hear from us by &lt;date&gt;.' and 'Your reference is RR-.... Keep it.'</t>
        </is>
      </c>
      <c r="F712" s="16" t="n"/>
      <c r="G712" s="16" t="n"/>
    </row>
    <row r="713">
      <c r="A713" s="10" t="inlineStr">
        <is>
          <t>RGT-05</t>
        </is>
      </c>
      <c r="B713" s="11" t="inlineStr">
        <is>
          <t>Person without a portal session makes a request on the public rights page and verifies it by code</t>
        </is>
      </c>
      <c r="C713" s="11" t="n">
        <v>6</v>
      </c>
      <c r="D713" s="11" t="inlineStr">
        <is>
          <t>In Browser B open http://localhost:3000. Type dpo@cmp.local in 'Email or username' and SeedPassw0rd!2026 in 'Password' and click 'Sign in'. If the 'Verify it is you' page appears, ask the coordinator for the code, type it in '6-digit code' and click 'Verify and continue'.</t>
        </is>
      </c>
      <c r="E713" s="11" t="inlineStr">
        <is>
          <t>The Dashboard opens, signed in as Priya Menon (DPO).</t>
        </is>
      </c>
      <c r="F713" s="16" t="n"/>
      <c r="G713" s="16" t="n"/>
    </row>
    <row r="714">
      <c r="A714" s="10" t="inlineStr">
        <is>
          <t>RGT-05</t>
        </is>
      </c>
      <c r="B714" s="11" t="inlineStr">
        <is>
          <t>Person without a portal session makes a request on the public rights page and verifies it by code</t>
        </is>
      </c>
      <c r="C714" s="11" t="n">
        <v>7</v>
      </c>
      <c r="D714" s="11" t="inlineStr">
        <is>
          <t>Click 'Rights requests' in the sidebar and find RR-PUB.</t>
        </is>
      </c>
      <c r="E714" s="11" t="inlineStr">
        <is>
          <t>The row shows 'Anjali Verma' under 'Who', 'Access · s.11' under 'Kind' and 'Received' under 'Status', with no 'unverified' tag.</t>
        </is>
      </c>
      <c r="F714" s="16" t="n"/>
      <c r="G714" s="16" t="n"/>
    </row>
    <row r="715">
      <c r="A715" s="10" t="inlineStr">
        <is>
          <t>RGT-05</t>
        </is>
      </c>
      <c r="B715" s="11" t="inlineStr">
        <is>
          <t>Person without a portal session makes a request on the public rights page and verifies it by code</t>
        </is>
      </c>
      <c r="C715" s="11" t="n">
        <v>8</v>
      </c>
      <c r="D715" s="11" t="inlineStr">
        <is>
          <t>Open RR-PUB.</t>
        </is>
      </c>
      <c r="E715" s="11" t="inlineStr">
        <is>
          <t>The line under the heading reads 'Access · s.11 · Public form'. The card '3 · Identity verified?' shows a green note 'Verified by code on &lt;date&gt;'.</t>
        </is>
      </c>
      <c r="F715" s="16" t="n"/>
      <c r="G715" s="16" t="n"/>
    </row>
    <row r="716">
      <c r="A716" s="10" t="inlineStr">
        <is>
          <t>RGT-06</t>
        </is>
      </c>
      <c r="B716" s="11" t="inlineStr">
        <is>
          <t>Public form stays neutral for an unknown contact; wrong code refused; DPO closes it as not verified</t>
        </is>
      </c>
      <c r="C716" s="11" t="n">
        <v>1</v>
      </c>
      <c r="D716" s="11" t="inlineStr">
        <is>
          <t>Signed out, open http://localhost:3001/rights, choose 'Access (s.11)', enter the test contact, name and request, and click 'Send the request'.</t>
        </is>
      </c>
      <c r="E716" s="11" t="inlineStr">
        <is>
          <t>The same 'Recorded' box as for a known person appears, with a reference. Nothing on the page says 'no account', 'not found' or 'unknown contact'.</t>
        </is>
      </c>
      <c r="F716" s="16" t="n"/>
      <c r="G716" s="16" t="n"/>
    </row>
    <row r="717">
      <c r="A717" s="10" t="inlineStr">
        <is>
          <t>RGT-06</t>
        </is>
      </c>
      <c r="B717" s="11" t="inlineStr">
        <is>
          <t>Public form stays neutral for an unknown contact; wrong code refused; DPO closes it as not verified</t>
        </is>
      </c>
      <c r="C717" s="11" t="n">
        <v>2</v>
      </c>
      <c r="D717" s="11" t="inlineStr">
        <is>
          <t>Ask the coordinator whether any code was sent to stranger.rgt@example.org.</t>
        </is>
      </c>
      <c r="E717" s="11" t="inlineStr">
        <is>
          <t>No code or message to stranger.rgt@example.org is in the outbox.</t>
        </is>
      </c>
      <c r="F717" s="16" t="n"/>
      <c r="G717" s="16" t="n"/>
    </row>
    <row r="718">
      <c r="A718" s="10" t="inlineStr">
        <is>
          <t>RGT-06</t>
        </is>
      </c>
      <c r="B718" s="11" t="inlineStr">
        <is>
          <t>Public form stays neutral for an unknown contact; wrong code refused; DPO closes it as not verified</t>
        </is>
      </c>
      <c r="C718" s="11" t="n">
        <v>3</v>
      </c>
      <c r="D718" s="11" t="inlineStr">
        <is>
          <t>Type 123456 in 'The code we sent' and click 'Confirm it is me'.</t>
        </is>
      </c>
      <c r="E718" s="11" t="inlineStr">
        <is>
          <t>The error 'Invalid or expired code' appears. No 'Verified' box.</t>
        </is>
      </c>
      <c r="F718" s="16" t="n"/>
      <c r="G718" s="16" t="n"/>
    </row>
    <row r="719">
      <c r="A719" s="10" t="inlineStr">
        <is>
          <t>RGT-06</t>
        </is>
      </c>
      <c r="B719" s="11" t="inlineStr">
        <is>
          <t>Public form stays neutral for an unknown contact; wrong code refused; DPO closes it as not verified</t>
        </is>
      </c>
      <c r="C719" s="11" t="n">
        <v>4</v>
      </c>
      <c r="D719" s="11" t="inlineStr">
        <is>
          <t>Reload the page, click 'Already have a reference and a code? Verify it here.', enter RR-PUB (already verified in RGT-05) and code 000000, and click 'Confirm it is me'.</t>
        </is>
      </c>
      <c r="E719" s="11" t="inlineStr">
        <is>
          <t>The same 'Invalid or expired code' error appears - the page does not reveal that RR-PUB is already verified.</t>
        </is>
      </c>
      <c r="F719" s="16" t="n"/>
      <c r="G719" s="16" t="n"/>
    </row>
    <row r="720">
      <c r="A720" s="10" t="inlineStr">
        <is>
          <t>RGT-06</t>
        </is>
      </c>
      <c r="B720" s="11" t="inlineStr">
        <is>
          <t>Public form stays neutral for an unknown contact; wrong code refused; DPO closes it as not verified</t>
        </is>
      </c>
      <c r="C720" s="11" t="n">
        <v>5</v>
      </c>
      <c r="D720" s="11" t="inlineStr">
        <is>
          <t>In Browser B open http://localhost:3000. Type dpo@cmp.local in 'Email or username' and SeedPassw0rd!2026 in 'Password' and click 'Sign in'. If the 'Verify it is you' page appears, ask the coordinator for the code, type it in '6-digit code' and click 'Verify and continue'.</t>
        </is>
      </c>
      <c r="E720" s="11" t="inlineStr">
        <is>
          <t>The Dashboard opens, signed in as Priya Menon (DPO).</t>
        </is>
      </c>
      <c r="F720" s="16" t="n"/>
      <c r="G720" s="16" t="n"/>
    </row>
    <row r="721">
      <c r="A721" s="10" t="inlineStr">
        <is>
          <t>RGT-06</t>
        </is>
      </c>
      <c r="B721" s="11" t="inlineStr">
        <is>
          <t>Public form stays neutral for an unknown contact; wrong code refused; DPO closes it as not verified</t>
        </is>
      </c>
      <c r="C721" s="11" t="n">
        <v>6</v>
      </c>
      <c r="D721" s="11" t="inlineStr">
        <is>
          <t>Click 'Rights requests'. Find RR-X.</t>
        </is>
      </c>
      <c r="E721" s="11" t="inlineStr">
        <is>
          <t>The row shows 'A Stranger' and the contact under 'Who', 'Received' under 'Status' and the small tag 'unverified'.</t>
        </is>
      </c>
      <c r="F721" s="16" t="n"/>
      <c r="G721" s="16" t="n"/>
    </row>
    <row r="722">
      <c r="A722" s="10" t="inlineStr">
        <is>
          <t>RGT-06</t>
        </is>
      </c>
      <c r="B722" s="11" t="inlineStr">
        <is>
          <t>Public form stays neutral for an unknown contact; wrong code refused; DPO closes it as not verified</t>
        </is>
      </c>
      <c r="C722" s="11" t="n">
        <v>7</v>
      </c>
      <c r="D722" s="11" t="inlineStr">
        <is>
          <t>Open RR-X and look at 'Who' and '3 · Identity verified?'.</t>
        </is>
      </c>
      <c r="E722" s="11" t="inlineStr">
        <is>
          <t>'Who' shows 'A Stranger' and 'No account matches this contact'. The box 'A code to the stored channel' says 'No account matches this contact, so there is no stored channel. Verify manually, or close as not verified.' There is no 'Send a code' button.</t>
        </is>
      </c>
      <c r="F722" s="16" t="n"/>
      <c r="G722" s="16" t="n"/>
    </row>
    <row r="723">
      <c r="A723" s="10" t="inlineStr">
        <is>
          <t>RGT-06</t>
        </is>
      </c>
      <c r="B723" s="11" t="inlineStr">
        <is>
          <t>Public form stays neutral for an unknown contact; wrong code refused; DPO closes it as not verified</t>
        </is>
      </c>
      <c r="C723" s="11" t="n">
        <v>8</v>
      </c>
      <c r="D723" s="11" t="inlineStr">
        <is>
          <t>Look at the 'What happens next' card.</t>
        </is>
      </c>
      <c r="E723" s="11" t="inlineStr">
        <is>
          <t>'Move to in progress' shows the warning 'Identity is not verified' and its 'In progress' button is greyed out.</t>
        </is>
      </c>
      <c r="F723" s="16" t="n"/>
      <c r="G723" s="16" t="n"/>
    </row>
    <row r="724">
      <c r="A724" s="10" t="inlineStr">
        <is>
          <t>RGT-06</t>
        </is>
      </c>
      <c r="B724" s="11" t="inlineStr">
        <is>
          <t>Public form stays neutral for an unknown contact; wrong code refused; DPO closes it as not verified</t>
        </is>
      </c>
      <c r="C724" s="11" t="n">
        <v>9</v>
      </c>
      <c r="D724" s="11" t="inlineStr">
        <is>
          <t>In '3 · Identity verified?' click 'No match, or not satisfied'.</t>
        </is>
      </c>
      <c r="E724" s="11" t="inlineStr">
        <is>
          <t>A warning appears: 'Closes the request as not verified and audits it. The requester gets a neutral message - nothing is confirmed either way - and may try again.' with a 'Close as not verified' button.</t>
        </is>
      </c>
      <c r="F724" s="16" t="n"/>
      <c r="G724" s="16" t="n"/>
    </row>
    <row r="725">
      <c r="A725" s="10" t="inlineStr">
        <is>
          <t>RGT-06</t>
        </is>
      </c>
      <c r="B725" s="11" t="inlineStr">
        <is>
          <t>Public form stays neutral for an unknown contact; wrong code refused; DPO closes it as not verified</t>
        </is>
      </c>
      <c r="C725" s="11" t="n">
        <v>10</v>
      </c>
      <c r="D725" s="11" t="inlineStr">
        <is>
          <t>Click 'Close as not verified'.</t>
        </is>
      </c>
      <c r="E725" s="11" t="inlineStr">
        <is>
          <t>The message 'Closed as not verified' appears. The header badge reads 'Not verified'. The card shows 'Not satisfied. The requester was told nothing either way, and may try again.' 'What happens next' is replaced by 'Closed. Disagreement with the outcome is a grievance - a new request linked to this one.'</t>
        </is>
      </c>
      <c r="F725" s="16" t="n"/>
      <c r="G725" s="16" t="n"/>
    </row>
    <row r="726">
      <c r="A726" s="10" t="inlineStr">
        <is>
          <t>RGT-07</t>
        </is>
      </c>
      <c r="B726" s="11" t="inlineStr">
        <is>
          <t>DPO finds a request in the register, checks identity, classifies it and starts it</t>
        </is>
      </c>
      <c r="C726" s="11" t="n">
        <v>1</v>
      </c>
      <c r="D726" s="11" t="inlineStr">
        <is>
          <t>In Browser B open http://localhost:3000. Type dpo@cmp.local in 'Email or username' and SeedPassw0rd!2026 in 'Password' and click 'Sign in'. If the 'Verify it is you' page appears, ask the coordinator for the code, type it in '6-digit code' and click 'Verify and continue'.</t>
        </is>
      </c>
      <c r="E726" s="11" t="inlineStr">
        <is>
          <t>The Dashboard opens, signed in as Priya Menon (DPO). The sidebar shows 'Rights requests' under 'Your work'.</t>
        </is>
      </c>
      <c r="F726" s="16" t="n"/>
      <c r="G726" s="16" t="n"/>
    </row>
    <row r="727">
      <c r="A727" s="10" t="inlineStr">
        <is>
          <t>RGT-07</t>
        </is>
      </c>
      <c r="B727" s="11" t="inlineStr">
        <is>
          <t>DPO finds a request in the register, checks identity, classifies it and starts it</t>
        </is>
      </c>
      <c r="C727" s="11" t="n">
        <v>2</v>
      </c>
      <c r="D727" s="11" t="inlineStr">
        <is>
          <t>Click 'Rights requests'.</t>
        </is>
      </c>
      <c r="E727" s="11" t="inlineStr">
        <is>
          <t>The page 'Rights requests' opens with a 'Log a request received by email' button. Filters 'Status', 'Kind', 'Clock' and 'Tickets' are shown, and the columns 'Reference', 'Who', 'Kind', 'Status', 'Received', 'Due'.</t>
        </is>
      </c>
      <c r="F727" s="16" t="n"/>
      <c r="G727" s="16" t="n"/>
    </row>
    <row r="728">
      <c r="A728" s="10" t="inlineStr">
        <is>
          <t>RGT-07</t>
        </is>
      </c>
      <c r="B728" s="11" t="inlineStr">
        <is>
          <t>DPO finds a request in the register, checks identity, classifies it and starts it</t>
        </is>
      </c>
      <c r="C728" s="11" t="n">
        <v>3</v>
      </c>
      <c r="D728" s="11" t="inlineStr">
        <is>
          <t>In the 'Kind' filter choose 'Access'.</t>
        </is>
      </c>
      <c r="E728" s="11" t="inlineStr">
        <is>
          <t>Only access requests are listed. RR-A shows 'Anjali Verma' and her contact, 'Access · s.11', 'Received', its received time, and a due date with 'N days left' under it.</t>
        </is>
      </c>
      <c r="F728" s="16" t="n"/>
      <c r="G728" s="16" t="n"/>
    </row>
    <row r="729">
      <c r="A729" s="10" t="inlineStr">
        <is>
          <t>RGT-07</t>
        </is>
      </c>
      <c r="B729" s="11" t="inlineStr">
        <is>
          <t>DPO finds a request in the register, checks identity, classifies it and starts it</t>
        </is>
      </c>
      <c r="C729" s="11" t="n">
        <v>4</v>
      </c>
      <c r="D729" s="11" t="inlineStr">
        <is>
          <t>Click RR-A.</t>
        </is>
      </c>
      <c r="E729" s="11" t="inlineStr">
        <is>
          <t>The heading is RR-A, the line under it reads 'Access · s.11 · Portal', and the badges 'Access · s.11' and 'Received' are at the right. A summary at the top shows 'Due', 'Current step', 'With' and 'Next'. Under 'The request' the details show 'Who' (Anjali Verma with email and mobile), 'Contact given', 'Received' and 'Acknowledged', then her request text and 'Documents from the requester · 1' (id-proof.pdf). A folded card 'Clock and path' follows.</t>
        </is>
      </c>
      <c r="F729" s="16" t="n"/>
      <c r="G729" s="16" t="n"/>
    </row>
    <row r="730">
      <c r="A730" s="10" t="inlineStr">
        <is>
          <t>RGT-07</t>
        </is>
      </c>
      <c r="B730" s="11" t="inlineStr">
        <is>
          <t>DPO finds a request in the register, checks identity, classifies it and starts it</t>
        </is>
      </c>
      <c r="C730" s="11" t="n">
        <v>5</v>
      </c>
      <c r="D730" s="11" t="inlineStr">
        <is>
          <t>Look at the card '3 · Identity verified?'.</t>
        </is>
      </c>
      <c r="E730" s="11" t="inlineStr">
        <is>
          <t>A green note reads 'Verified by session on &lt;date&gt;'. No code or manual verification controls are shown.</t>
        </is>
      </c>
      <c r="F730" s="16" t="n"/>
      <c r="G730" s="16" t="n"/>
    </row>
    <row r="731">
      <c r="A731" s="10" t="inlineStr">
        <is>
          <t>RGT-07</t>
        </is>
      </c>
      <c r="B731" s="11" t="inlineStr">
        <is>
          <t>DPO finds a request in the register, checks identity, classifies it and starts it</t>
        </is>
      </c>
      <c r="C731" s="11" t="n">
        <v>6</v>
      </c>
      <c r="D731" s="11" t="inlineStr">
        <is>
          <t>Look at the card '4 · A valid access request?'.</t>
        </is>
      </c>
      <c r="E731" s="11" t="inlineStr">
        <is>
          <t>It has 'This is a request for' (showing 'Access (s.11)'), 'Confirm classification', a 'Note' box, and a box 'Not a rights request, or cannot be met?' with the text 'Refuse it with a written reason. The requester is told why, with the grievance route, and the request closes.' and a red-edged 'Refuse this request' button. Do not click it (RGT-28 does).</t>
        </is>
      </c>
      <c r="F731" s="16" t="n"/>
      <c r="G731" s="16" t="n"/>
    </row>
    <row r="732">
      <c r="A732" s="10" t="inlineStr">
        <is>
          <t>RGT-07</t>
        </is>
      </c>
      <c r="B732" s="11" t="inlineStr">
        <is>
          <t>DPO finds a request in the register, checks identity, classifies it and starts it</t>
        </is>
      </c>
      <c r="C732" s="11" t="n">
        <v>7</v>
      </c>
      <c r="D732" s="11" t="inlineStr">
        <is>
          <t>Look at the group 'Next step' straight below 'Identity and classification'.</t>
        </is>
      </c>
      <c r="E732" s="11" t="inlineStr">
        <is>
          <t>It sits before the 'Holders' group. Its card 'What happens next' reads 'Currently received. Rendered from the server's answer.' The row 'Move to in progress' carries the warning 'The request has not been classified as a rights request' and its 'In progress' button is greyed out. In the summary, 'Next' reads 'Move to in progress' with the same warning.</t>
        </is>
      </c>
      <c r="F732" s="16" t="n"/>
      <c r="G732" s="16" t="n"/>
    </row>
    <row r="733">
      <c r="A733" s="10" t="inlineStr">
        <is>
          <t>RGT-07</t>
        </is>
      </c>
      <c r="B733" s="11" t="inlineStr">
        <is>
          <t>DPO finds a request in the register, checks identity, classifies it and starts it</t>
        </is>
      </c>
      <c r="C733" s="11" t="n">
        <v>8</v>
      </c>
      <c r="D733" s="11" t="inlineStr">
        <is>
          <t>Type 'Clear access request' in 'Note' and click 'Confirm classification'.</t>
        </is>
      </c>
      <c r="E733" s="11" t="inlineStr">
        <is>
          <t>The message 'Classified' appears and the card shows 'Classified as access on &lt;date&gt;.'</t>
        </is>
      </c>
      <c r="F733" s="16" t="n"/>
      <c r="G733" s="16" t="n"/>
    </row>
    <row r="734">
      <c r="A734" s="10" t="inlineStr">
        <is>
          <t>RGT-07</t>
        </is>
      </c>
      <c r="B734" s="11" t="inlineStr">
        <is>
          <t>DPO finds a request in the register, checks identity, classifies it and starts it</t>
        </is>
      </c>
      <c r="C734" s="11" t="n">
        <v>9</v>
      </c>
      <c r="D734" s="11" t="inlineStr">
        <is>
          <t>Click 'Move to in progress' under 'Next' in the summary.</t>
        </is>
      </c>
      <c r="E734" s="11" t="inlineStr">
        <is>
          <t>The page scrolls to the 'Next step' group, where 'In progress' can now be clicked.</t>
        </is>
      </c>
      <c r="F734" s="16" t="n"/>
      <c r="G734" s="16" t="n"/>
    </row>
    <row r="735">
      <c r="A735" s="10" t="inlineStr">
        <is>
          <t>RGT-07</t>
        </is>
      </c>
      <c r="B735" s="11" t="inlineStr">
        <is>
          <t>DPO finds a request in the register, checks identity, classifies it and starts it</t>
        </is>
      </c>
      <c r="C735" s="11" t="n">
        <v>10</v>
      </c>
      <c r="D735" s="11" t="inlineStr">
        <is>
          <t>Click 'In progress'.</t>
        </is>
      </c>
      <c r="E735" s="11" t="inlineStr">
        <is>
          <t>The message 'Moved to In progress' appears. The header badge reads 'In progress'. 'What happens next' now offers 'Move to awaiting holders' (warning 'No tickets have been issued yet') and 'Move to collating'.</t>
        </is>
      </c>
      <c r="F735" s="16" t="n"/>
      <c r="G735" s="16" t="n"/>
    </row>
    <row r="736">
      <c r="A736" s="10" t="inlineStr">
        <is>
          <t>RGT-07</t>
        </is>
      </c>
      <c r="B736" s="11" t="inlineStr">
        <is>
          <t>DPO finds a request in the register, checks identity, classifies it and starts it</t>
        </is>
      </c>
      <c r="C736" s="11" t="n">
        <v>11</v>
      </c>
      <c r="D736" s="11" t="inlineStr">
        <is>
          <t>Go back to 'Rights requests' and set 'Status' to 'In progress'.</t>
        </is>
      </c>
      <c r="E736" s="11" t="inlineStr">
        <is>
          <t>RR-A is listed with status 'In progress'.</t>
        </is>
      </c>
      <c r="F736" s="16" t="n"/>
      <c r="G736" s="16" t="n"/>
    </row>
    <row r="737">
      <c r="A737" s="10" t="inlineStr">
        <is>
          <t>RGT-07</t>
        </is>
      </c>
      <c r="B737" s="11" t="inlineStr">
        <is>
          <t>DPO finds a request in the register, checks identity, classifies it and starts it</t>
        </is>
      </c>
      <c r="C737" s="11" t="n">
        <v>12</v>
      </c>
      <c r="D737" s="11" t="inlineStr">
        <is>
          <t>In Browser A (Anjali on the portal) reload 'My requests'.</t>
        </is>
      </c>
      <c r="E737" s="11" t="inlineStr">
        <is>
          <t>RR-A now shows the badge 'In progress'.</t>
        </is>
      </c>
      <c r="F737" s="16" t="n"/>
      <c r="G737" s="16" t="n"/>
    </row>
    <row r="738">
      <c r="A738" s="10" t="inlineStr">
        <is>
          <t>RGT-08</t>
        </is>
      </c>
      <c r="B738" s="11" t="inlineStr">
        <is>
          <t>DPO sends a ticket to a holder outside the organisation, who answers by link on the portal; the DPO accepts the answer</t>
        </is>
      </c>
      <c r="C738" s="11" t="n">
        <v>1</v>
      </c>
      <c r="D738" s="11" t="inlineStr">
        <is>
          <t>Open RR-A and scroll to the group 'Holders' and its card '6–8 · Holders and tickets'.</t>
        </is>
      </c>
      <c r="E738" s="11" t="inlineStr">
        <is>
          <t>The card reads 'Who holds this person's data, what each was asked, and their answers. An answer counts once you accept it.' A row of steps shows '1 Find who holds the data', '2 Choose who answers', '3 Send tickets', '4 Wait for answers', '5 Review answers', the first highlighted. Buttons 'Find who holds the data' and 'Add a holder' are offered, and the text 'No holders yet. Find who holds the data from the records, or add one you know of.'</t>
        </is>
      </c>
      <c r="F738" s="16" t="n"/>
      <c r="G738" s="16" t="n"/>
    </row>
    <row r="739">
      <c r="A739" s="10" t="inlineStr">
        <is>
          <t>RGT-08</t>
        </is>
      </c>
      <c r="B739" s="11" t="inlineStr">
        <is>
          <t>DPO sends a ticket to a holder outside the organisation, who answers by link on the portal; the DPO accepts the answer</t>
        </is>
      </c>
      <c r="C739" s="11" t="n">
        <v>2</v>
      </c>
      <c r="D739" s="11" t="inlineStr">
        <is>
          <t>Click 'Add a holder'.</t>
        </is>
      </c>
      <c r="E739" s="11" t="inlineStr">
        <is>
          <t>A dialog 'Add a holder' opens: 'Somebody the records did not name. Added as confirmed - you are the source.' with 'A registered processor', 'Who holds it', 'Who answers: name', 'Their email' and 'Add'.</t>
        </is>
      </c>
      <c r="F739" s="16" t="n"/>
      <c r="G739" s="16" t="n"/>
    </row>
    <row r="740">
      <c r="A740" s="10" t="inlineStr">
        <is>
          <t>RGT-08</t>
        </is>
      </c>
      <c r="B740" s="11" t="inlineStr">
        <is>
          <t>DPO sends a ticket to a holder outside the organisation, who answers by link on the portal; the DPO accepts the answer</t>
        </is>
      </c>
      <c r="C740" s="11" t="n">
        <v>3</v>
      </c>
      <c r="D740" s="11" t="inlineStr">
        <is>
          <t>Choose SEED in 'A registered processor', fill 'Who answers: name' and 'Their email' from the test data, and click 'Add'.</t>
        </is>
      </c>
      <c r="E740" s="11" t="inlineStr">
        <is>
          <t>The message 'Holder added' appears. A table with the columns 'Holder', 'State', 'Answer by', 'Last activity' and 'Next' shows a row for SEED with the badge 'Not sent' and 'By email · SEED Privacy Desk'. A box below reads '1 holder is ready for a ticket' with a 'Send tickets' button.</t>
        </is>
      </c>
      <c r="F740" s="16" t="n"/>
      <c r="G740" s="16" t="n"/>
    </row>
    <row r="741">
      <c r="A741" s="10" t="inlineStr">
        <is>
          <t>RGT-08</t>
        </is>
      </c>
      <c r="B741" s="11" t="inlineStr">
        <is>
          <t>DPO sends a ticket to a holder outside the organisation, who answers by link on the portal; the DPO accepts the answer</t>
        </is>
      </c>
      <c r="C741" s="11" t="n">
        <v>4</v>
      </c>
      <c r="D741" s="11" t="inlineStr">
        <is>
          <t>Click the holder's name (SEED) in the table.</t>
        </is>
      </c>
      <c r="E741" s="11" t="inlineStr">
        <is>
          <t>A dialog titled with the holder's name opens: 'Not sent. Reached by email at privacy.desk@seed.example; an internal colleague gets a console login, anyone else a link, when the ticket is sent.' It shows 'What their ticket will ask', already filled with the standard words, the hint 'The standard words for this kind of request. Change them for this holder if you need to.' and a greyed-out 'Save'.</t>
        </is>
      </c>
      <c r="F741" s="16" t="n"/>
      <c r="G741" s="16" t="n"/>
    </row>
    <row r="742">
      <c r="A742" s="10" t="inlineStr">
        <is>
          <t>RGT-08</t>
        </is>
      </c>
      <c r="B742" s="11" t="inlineStr">
        <is>
          <t>DPO sends a ticket to a holder outside the organisation, who answers by link on the portal; the DPO accepts the answer</t>
        </is>
      </c>
      <c r="C742" s="11" t="n">
        <v>5</v>
      </c>
      <c r="D742" s="11" t="inlineStr">
        <is>
          <t>Add the test sentence to the end of 'What their ticket will ask' and click 'Save'. Close the dialog.</t>
        </is>
      </c>
      <c r="E742" s="11" t="inlineStr">
        <is>
          <t>The message 'Saved for this holder' appears; the hint now reads 'Your words for this holder.' and a 'Use the standard words' button appears.</t>
        </is>
      </c>
      <c r="F742" s="16" t="n"/>
      <c r="G742" s="16" t="n"/>
    </row>
    <row r="743">
      <c r="A743" s="10" t="inlineStr">
        <is>
          <t>RGT-08</t>
        </is>
      </c>
      <c r="B743" s="11" t="inlineStr">
        <is>
          <t>DPO sends a ticket to a holder outside the organisation, who answers by link on the portal; the DPO accepts the answer</t>
        </is>
      </c>
      <c r="C743" s="11" t="n">
        <v>6</v>
      </c>
      <c r="D743" s="11" t="inlineStr">
        <is>
          <t>In the box '1 holder is ready for a ticket' click 'Send tickets'. Leave 'Answer by' empty and click 'Send the ticket'.</t>
        </is>
      </c>
      <c r="E743" s="11" t="inlineStr">
        <is>
          <t>Before sending, 'Answer by' has the hint 'Halfway to the response date (&lt;date&gt;) unless you choose a day...'. After the click the message 'Ticket sent' with 'You will see each answer here when it comes.' appears. SEED's row shows 'Waiting', 'Outside · answers by link' and its answer-by date. The header badge reads 'Awaiting holders' and the steps are at 'Wait for answers'.</t>
        </is>
      </c>
      <c r="F743" s="16" t="n"/>
      <c r="G743" s="16" t="n"/>
    </row>
    <row r="744">
      <c r="A744" s="10" t="inlineStr">
        <is>
          <t>RGT-08</t>
        </is>
      </c>
      <c r="B744" s="11" t="inlineStr">
        <is>
          <t>DPO sends a ticket to a holder outside the organisation, who answers by link on the portal; the DPO accepts the answer</t>
        </is>
      </c>
      <c r="C744" s="11" t="n">
        <v>7</v>
      </c>
      <c r="D744" s="11" t="inlineStr">
        <is>
          <t>Ask the coordinator for the email sent to privacy.desk@seed.example.</t>
        </is>
      </c>
      <c r="E744" s="11" t="inlineStr">
        <is>
          <t>Its subject is 'Rights request &lt;RR-A&gt;: a ticket for &lt;holder&gt;'. It carries a link starting http://localhost:3001/ticket/ and says a one-time code is sent when it is opened. It does NOT contain the instruction, Anjali's name or anything else about the request.</t>
        </is>
      </c>
      <c r="F744" s="16" t="n"/>
      <c r="G744" s="16" t="n"/>
    </row>
    <row r="745">
      <c r="A745" s="10" t="inlineStr">
        <is>
          <t>RGT-08</t>
        </is>
      </c>
      <c r="B745" s="11" t="inlineStr">
        <is>
          <t>DPO sends a ticket to a holder outside the organisation, who answers by link on the portal; the DPO accepts the answer</t>
        </is>
      </c>
      <c r="C745" s="11" t="n">
        <v>8</v>
      </c>
      <c r="D745" s="11" t="inlineStr">
        <is>
          <t>In Browser D open the link from the email.</t>
        </is>
      </c>
      <c r="E745" s="11" t="inlineStr">
        <is>
          <t>A page headed 'A ticket for &lt;holder&gt;' opens with a card 'Rights request &lt;RR-A&gt;', the line 'To answer · answer by &lt;date&gt;', a sentence saying a six-digit code goes to a masked form of the address, and a 'Send me a code' button. Nothing about the request or the person is shown yet.</t>
        </is>
      </c>
      <c r="F745" s="16" t="n"/>
      <c r="G745" s="16" t="n"/>
    </row>
    <row r="746">
      <c r="A746" s="10" t="inlineStr">
        <is>
          <t>RGT-08</t>
        </is>
      </c>
      <c r="B746" s="11" t="inlineStr">
        <is>
          <t>DPO sends a ticket to a holder outside the organisation, who answers by link on the portal; the DPO accepts the answer</t>
        </is>
      </c>
      <c r="C746" s="11" t="n">
        <v>9</v>
      </c>
      <c r="D746" s="11" t="inlineStr">
        <is>
          <t>Click 'Send me a code'. Ask the coordinator for the code sent to privacy.desk@seed.example, type it in 'Six-digit code' and click 'Open the ticket'.</t>
        </is>
      </c>
      <c r="E746" s="11" t="inlineStr">
        <is>
          <t>After the first click 'A code is on its way to the address on the ticket.' appears, the button becomes 'Send a new code' and 'Open the ticket' stays greyed out until six digits are typed. The code email's subject is '&lt;code&gt; is your code to open the ticket on rights request &lt;RR-A&gt;'. The ticket opens: the reference, the badge 'To answer', 'For &lt;holder&gt;', 'Answer by &lt;date&gt;', 'What you are asked' with the DPO's words including the added sentence, a 'Submit your answer' button, 'Messages' with 'Write to the Privacy Office', and 'Close the ticket on this device' at the top.</t>
        </is>
      </c>
      <c r="F746" s="16" t="n"/>
      <c r="G746" s="16" t="n"/>
    </row>
    <row r="747">
      <c r="A747" s="10" t="inlineStr">
        <is>
          <t>RGT-08</t>
        </is>
      </c>
      <c r="B747" s="11" t="inlineStr">
        <is>
          <t>DPO sends a ticket to a holder outside the organisation, who answers by link on the portal; the DPO accepts the answer</t>
        </is>
      </c>
      <c r="C747" s="11" t="n">
        <v>10</v>
      </c>
      <c r="D747" s="11" t="inlineStr">
        <is>
          <t>Click 'Submit your answer'. Choose 'Did all of it' under '1 · What was done?', type the answer in '2 · What you hold, and what you did', choose seed-return.pdf under '3 · Proof' and click 'Send your answer'.</t>
        </is>
      </c>
      <c r="E747" s="11" t="inlineStr">
        <is>
          <t>'Send your answer' is greyed out until an option is chosen and text typed. After sending, the badge reads 'Answered - with the Privacy Office' with the note 'Your answer is with the Privacy Office. They accept it, or send it back with what is missing.' and a 'Your answer' box shows the text with 'Did all of it'.</t>
        </is>
      </c>
      <c r="F747" s="16" t="n"/>
      <c r="G747" s="16" t="n"/>
    </row>
    <row r="748">
      <c r="A748" s="10" t="inlineStr">
        <is>
          <t>RGT-08</t>
        </is>
      </c>
      <c r="B748" s="11" t="inlineStr">
        <is>
          <t>DPO sends a ticket to a holder outside the organisation, who answers by link on the portal; the DPO accepts the answer</t>
        </is>
      </c>
      <c r="C748" s="11" t="n">
        <v>11</v>
      </c>
      <c r="D748" s="11" t="inlineStr">
        <is>
          <t>In Browser B reload RR-A.</t>
        </is>
      </c>
      <c r="E748" s="11" t="inlineStr">
        <is>
          <t>SEED's row shows 'Answered - review' and its 'Next' button reads 'Accept the answer'. The steps are at 'Review answers' and the summary's 'Next' reads 'Review an answer'. The header badge still reads 'Awaiting holders'.</t>
        </is>
      </c>
      <c r="F748" s="16" t="n"/>
      <c r="G748" s="16" t="n"/>
    </row>
    <row r="749">
      <c r="A749" s="10" t="inlineStr">
        <is>
          <t>RGT-08</t>
        </is>
      </c>
      <c r="B749" s="11" t="inlineStr">
        <is>
          <t>DPO sends a ticket to a holder outside the organisation, who answers by link on the portal; the DPO accepts the answer</t>
        </is>
      </c>
      <c r="C749" s="11" t="n">
        <v>12</v>
      </c>
      <c r="D749" s="11" t="inlineStr">
        <is>
          <t>Click 'Accept the answer' on SEED's row.</t>
        </is>
      </c>
      <c r="E749" s="11" t="inlineStr">
        <is>
          <t>The ticket opens on a box 'Accept the answer': 'Accepting takes this answer as the holder's. It then counts toward closing the request.' with 'Accept the answer' and 'Cancel'. Below, 'Their answer' shows the text and a link to seed-return.pdf.</t>
        </is>
      </c>
      <c r="F749" s="16" t="n"/>
      <c r="G749" s="16" t="n"/>
    </row>
    <row r="750">
      <c r="A750" s="10" t="inlineStr">
        <is>
          <t>RGT-08</t>
        </is>
      </c>
      <c r="B750" s="11" t="inlineStr">
        <is>
          <t>DPO sends a ticket to a holder outside the organisation, who answers by link on the portal; the DPO accepts the answer</t>
        </is>
      </c>
      <c r="C750" s="11" t="n">
        <v>13</v>
      </c>
      <c r="D750" s="11" t="inlineStr">
        <is>
          <t>Click 'Accept the answer' in the box. Close the dialog.</t>
        </is>
      </c>
      <c r="E750" s="11" t="inlineStr">
        <is>
          <t>The message 'Answer accepted' appears. SEED's row reads 'Accepted'. The header badge changes by itself to 'Collating'.</t>
        </is>
      </c>
      <c r="F750" s="16" t="n"/>
      <c r="G750" s="16" t="n"/>
    </row>
    <row r="751">
      <c r="A751" s="10" t="inlineStr">
        <is>
          <t>RGT-09</t>
        </is>
      </c>
      <c r="B751" s="11" t="inlineStr">
        <is>
          <t>DPO releases an access response and the principal downloads it</t>
        </is>
      </c>
      <c r="C751" s="11" t="n">
        <v>1</v>
      </c>
      <c r="D751" s="11" t="inlineStr">
        <is>
          <t>Open RR-A and find the card '9–10 · Collate, review, release'.</t>
        </is>
      </c>
      <c r="E751" s="11" t="inlineStr">
        <is>
          <t>It reads 'Third-party data removed. The DPO signs off - nothing releases automatically. An access response is a file the requester downloads from their own account.' There is no yellow warning, and 'Outcome' shows 'Complete'.</t>
        </is>
      </c>
      <c r="F751" s="16" t="n"/>
      <c r="G751" s="16" t="n"/>
    </row>
    <row r="752">
      <c r="A752" s="10" t="inlineStr">
        <is>
          <t>RGT-09</t>
        </is>
      </c>
      <c r="B752" s="11" t="inlineStr">
        <is>
          <t>DPO releases an access response and the principal downloads it</t>
        </is>
      </c>
      <c r="C752" s="11" t="n">
        <v>2</v>
      </c>
      <c r="D752" s="11" t="inlineStr">
        <is>
          <t>Without typing a response, look at 'Release and close'.</t>
        </is>
      </c>
      <c r="E752" s="11" t="inlineStr">
        <is>
          <t>'Release and close' is greyed out.</t>
        </is>
      </c>
      <c r="F752" s="16" t="n"/>
      <c r="G752" s="16" t="n"/>
    </row>
    <row r="753">
      <c r="A753" s="10" t="inlineStr">
        <is>
          <t>RGT-09</t>
        </is>
      </c>
      <c r="B753" s="11" t="inlineStr">
        <is>
          <t>DPO releases an access response and the principal downloads it</t>
        </is>
      </c>
      <c r="C753" s="11" t="n">
        <v>3</v>
      </c>
      <c r="D753" s="11" t="inlineStr">
        <is>
          <t>Type the response in 'The response'. Under 'Files released with the response' choose access-extract.pdf.</t>
        </is>
      </c>
      <c r="E753" s="11" t="inlineStr">
        <is>
          <t>The file is listed with its size and a small X to remove it.</t>
        </is>
      </c>
      <c r="F753" s="16" t="n"/>
      <c r="G753" s="16" t="n"/>
    </row>
    <row r="754">
      <c r="A754" s="10" t="inlineStr">
        <is>
          <t>RGT-09</t>
        </is>
      </c>
      <c r="B754" s="11" t="inlineStr">
        <is>
          <t>DPO releases an access response and the principal downloads it</t>
        </is>
      </c>
      <c r="C754" s="11" t="n">
        <v>4</v>
      </c>
      <c r="D754" s="11" t="inlineStr">
        <is>
          <t>Click 'Release and close'.</t>
        </is>
      </c>
      <c r="E754" s="11" t="inlineStr">
        <is>
          <t>The message 'Released and closed' with 'The requester has been told; 1 file released with the response.' appears. The header badge reads 'Complete'. A 'Response' card shows 'Complete · &lt;date&gt; · downloadable by the requester until &lt;date&gt;', the response text, a 'Download the file' button and 'Released with the response' listing access-extract.pdf.</t>
        </is>
      </c>
      <c r="F754" s="16" t="n"/>
      <c r="G754" s="16" t="n"/>
    </row>
    <row r="755">
      <c r="A755" s="10" t="inlineStr">
        <is>
          <t>RGT-09</t>
        </is>
      </c>
      <c r="B755" s="11" t="inlineStr">
        <is>
          <t>DPO releases an access response and the principal downloads it</t>
        </is>
      </c>
      <c r="C755" s="11" t="n">
        <v>5</v>
      </c>
      <c r="D755" s="11" t="inlineStr">
        <is>
          <t>Look at 'What happens next'.</t>
        </is>
      </c>
      <c r="E755" s="11" t="inlineStr">
        <is>
          <t>It reads 'Closed. Disagreement with the outcome is a grievance - a new request linked to this one.'</t>
        </is>
      </c>
      <c r="F755" s="16" t="n"/>
      <c r="G755" s="16" t="n"/>
    </row>
    <row r="756">
      <c r="A756" s="10" t="inlineStr">
        <is>
          <t>RGT-09</t>
        </is>
      </c>
      <c r="B756" s="11" t="inlineStr">
        <is>
          <t>DPO releases an access response and the principal downloads it</t>
        </is>
      </c>
      <c r="C756" s="11" t="n">
        <v>6</v>
      </c>
      <c r="D756" s="11" t="inlineStr">
        <is>
          <t>Ask the coordinator to check the outbox for the response mail to subject@cmp.local.</t>
        </is>
      </c>
      <c r="E756" s="11" t="inlineStr">
        <is>
          <t>A mail telling her the response to RR-A is ready is in the outbox, with a summary including what SEED returned.</t>
        </is>
      </c>
      <c r="F756" s="16" t="n"/>
      <c r="G756" s="16" t="n"/>
    </row>
    <row r="757">
      <c r="A757" s="10" t="inlineStr">
        <is>
          <t>RGT-09</t>
        </is>
      </c>
      <c r="B757" s="11" t="inlineStr">
        <is>
          <t>DPO releases an access response and the principal downloads it</t>
        </is>
      </c>
      <c r="C757" s="11" t="n">
        <v>7</v>
      </c>
      <c r="D757" s="11" t="inlineStr">
        <is>
          <t>In Browser A reload 'My requests'. RR-A's folded card shows 'Our response is ready' with 'Download the file'; click 'Show details' on it.</t>
        </is>
      </c>
      <c r="E757" s="11" t="inlineStr">
        <is>
          <t>The badge reads 'Complete'. A box 'Our response · &lt;date&gt;' shows the text. 'Files released with this response' lists access-extract.pdf with 'Download'. Buttons 'Download the file' (with 'until &lt;date&gt;') and 'Dispute this response' are shown, with the note about the Data Protection Board.</t>
        </is>
      </c>
      <c r="F757" s="16" t="n"/>
      <c r="G757" s="16" t="n"/>
    </row>
    <row r="758">
      <c r="A758" s="10" t="inlineStr">
        <is>
          <t>RGT-09</t>
        </is>
      </c>
      <c r="B758" s="11" t="inlineStr">
        <is>
          <t>DPO releases an access response and the principal downloads it</t>
        </is>
      </c>
      <c r="C758" s="11" t="n">
        <v>8</v>
      </c>
      <c r="D758" s="11" t="inlineStr">
        <is>
          <t>Click 'Download the file'.</t>
        </is>
      </c>
      <c r="E758" s="11" t="inlineStr">
        <is>
          <t>The message 'Downloaded' with 'Keep it somewhere safe - the link is time-limited.' appears and a file named RR-A's reference with .json is saved.</t>
        </is>
      </c>
      <c r="F758" s="16" t="n"/>
      <c r="G758" s="16" t="n"/>
    </row>
    <row r="759">
      <c r="A759" s="10" t="inlineStr">
        <is>
          <t>RGT-09</t>
        </is>
      </c>
      <c r="B759" s="11" t="inlineStr">
        <is>
          <t>DPO releases an access response and the principal downloads it</t>
        </is>
      </c>
      <c r="C759" s="11" t="n">
        <v>9</v>
      </c>
      <c r="D759" s="11" t="inlineStr">
        <is>
          <t>Open the downloaded file in a text editor.</t>
        </is>
      </c>
      <c r="E759" s="11" t="inlineStr">
        <is>
          <t>It contains her 'consents', 'disclosures', 'holders' (SEED with ticket_status 'returned' and its return summary), an empty 'gaps' list, 'files' listing access-extract.pdf, and 'your_rights' with the grievance and Board routes.</t>
        </is>
      </c>
      <c r="F759" s="16" t="n"/>
      <c r="G759" s="16" t="n"/>
    </row>
    <row r="760">
      <c r="A760" s="10" t="inlineStr">
        <is>
          <t>RGT-09</t>
        </is>
      </c>
      <c r="B760" s="11" t="inlineStr">
        <is>
          <t>DPO releases an access response and the principal downloads it</t>
        </is>
      </c>
      <c r="C760" s="11" t="n">
        <v>10</v>
      </c>
      <c r="D760" s="11" t="inlineStr">
        <is>
          <t>Click 'Download' next to access-extract.pdf.</t>
        </is>
      </c>
      <c r="E760" s="11" t="inlineStr">
        <is>
          <t>The same PDF the DPO released downloads.</t>
        </is>
      </c>
      <c r="F760" s="16" t="n"/>
      <c r="G760" s="16" t="n"/>
    </row>
    <row r="761">
      <c r="A761" s="10" t="inlineStr">
        <is>
          <t>RGT-10</t>
        </is>
      </c>
      <c r="B761" s="11" t="inlineStr">
        <is>
          <t>DPO confirms the principal means erasure (not withdrawal) before work starts</t>
        </is>
      </c>
      <c r="C761" s="11" t="n">
        <v>1</v>
      </c>
      <c r="D761" s="11" t="inlineStr">
        <is>
          <t>In 'Rights requests' set 'Kind' to 'Erasure' and open RR-E.</t>
        </is>
      </c>
      <c r="E761" s="11" t="inlineStr">
        <is>
          <t>The line under the heading reads 'Erasure · s.12(3) · Portal'. The cards include '4 · Withdrawal, or erasure?' and, in the group 'Holders and what goes', '7–9 · Holders and tickets' and '5–6 · Scope determined; inside the one-year floor?'.</t>
        </is>
      </c>
      <c r="F761" s="16" t="n"/>
      <c r="G761" s="16" t="n"/>
    </row>
    <row r="762">
      <c r="A762" s="10" t="inlineStr">
        <is>
          <t>RGT-10</t>
        </is>
      </c>
      <c r="B762" s="11" t="inlineStr">
        <is>
          <t>DPO confirms the principal means erasure (not withdrawal) before work starts</t>
        </is>
      </c>
      <c r="C762" s="11" t="n">
        <v>2</v>
      </c>
      <c r="D762" s="11" t="inlineStr">
        <is>
          <t>In '4 · Withdrawal, or erasure?' read the yellow box.</t>
        </is>
      </c>
      <c r="E762" s="11" t="inlineStr">
        <is>
          <t>It is headed 'Does the requester mean erasure, or withdrawal?' and explains 'Withdrawal stops future processing, and the requester can do it from their consent record... Confirm which before anything is deleted.' with buttons 'They mean erasure' and 'They meant withdrawal'.</t>
        </is>
      </c>
      <c r="F762" s="16" t="n"/>
      <c r="G762" s="16" t="n"/>
    </row>
    <row r="763">
      <c r="A763" s="10" t="inlineStr">
        <is>
          <t>RGT-10</t>
        </is>
      </c>
      <c r="B763" s="11" t="inlineStr">
        <is>
          <t>DPO confirms the principal means erasure (not withdrawal) before work starts</t>
        </is>
      </c>
      <c r="C763" s="11" t="n">
        <v>3</v>
      </c>
      <c r="D763" s="11" t="inlineStr">
        <is>
          <t>Check 'This is a request for' shows 'Erasure (s.12(3))' and click 'Confirm classification'.</t>
        </is>
      </c>
      <c r="E763" s="11" t="inlineStr">
        <is>
          <t>'Classified' appears; the card shows 'Classified as erasure on &lt;date&gt;.'</t>
        </is>
      </c>
      <c r="F763" s="16" t="n"/>
      <c r="G763" s="16" t="n"/>
    </row>
    <row r="764">
      <c r="A764" s="10" t="inlineStr">
        <is>
          <t>RGT-10</t>
        </is>
      </c>
      <c r="B764" s="11" t="inlineStr">
        <is>
          <t>DPO confirms the principal means erasure (not withdrawal) before work starts</t>
        </is>
      </c>
      <c r="C764" s="11" t="n">
        <v>4</v>
      </c>
      <c r="D764" s="11" t="inlineStr">
        <is>
          <t>Look at 'What happens next'.</t>
        </is>
      </c>
      <c r="E764" s="11" t="inlineStr">
        <is>
          <t>'Move to in progress' carries the warning 'Whether she means withdrawal or erasure is not yet confirmed' and 'In progress' is greyed out.</t>
        </is>
      </c>
      <c r="F764" s="16" t="n"/>
      <c r="G764" s="16" t="n"/>
    </row>
    <row r="765">
      <c r="A765" s="10" t="inlineStr">
        <is>
          <t>RGT-10</t>
        </is>
      </c>
      <c r="B765" s="11" t="inlineStr">
        <is>
          <t>DPO confirms the principal means erasure (not withdrawal) before work starts</t>
        </is>
      </c>
      <c r="C765" s="11" t="n">
        <v>5</v>
      </c>
      <c r="D765" s="11" t="inlineStr">
        <is>
          <t>Click 'They mean erasure'.</t>
        </is>
      </c>
      <c r="E765" s="11" t="inlineStr">
        <is>
          <t>The message 'Erasure confirmed' appears, the yellow box disappears and the card reads 'Erasure confirmed on &lt;date&gt;.'</t>
        </is>
      </c>
      <c r="F765" s="16" t="n"/>
      <c r="G765" s="16" t="n"/>
    </row>
    <row r="766">
      <c r="A766" s="10" t="inlineStr">
        <is>
          <t>RGT-10</t>
        </is>
      </c>
      <c r="B766" s="11" t="inlineStr">
        <is>
          <t>DPO confirms the principal means erasure (not withdrawal) before work starts</t>
        </is>
      </c>
      <c r="C766" s="11" t="n">
        <v>6</v>
      </c>
      <c r="D766" s="11" t="inlineStr">
        <is>
          <t>In 'What happens next' click 'In progress'.</t>
        </is>
      </c>
      <c r="E766" s="11" t="inlineStr">
        <is>
          <t>'Moved to In progress' appears and the header badge reads 'In progress'.</t>
        </is>
      </c>
      <c r="F766" s="16" t="n"/>
      <c r="G766" s="16" t="n"/>
    </row>
    <row r="767">
      <c r="A767" s="10" t="inlineStr">
        <is>
          <t>RGT-10</t>
        </is>
      </c>
      <c r="B767" s="11" t="inlineStr">
        <is>
          <t>DPO confirms the principal means erasure (not withdrawal) before work starts</t>
        </is>
      </c>
      <c r="C767" s="11" t="n">
        <v>7</v>
      </c>
      <c r="D767" s="11" t="inlineStr">
        <is>
          <t>In Browser A, on 'My requests', make a new request: 'Erasure (s.12(3))' with the RR-W text. Note its reference (RR-W).</t>
        </is>
      </c>
      <c r="E767" s="11" t="inlineStr">
        <is>
          <t>'Recorded as RR-...' appears.</t>
        </is>
      </c>
      <c r="F767" s="16" t="n"/>
      <c r="G767" s="16" t="n"/>
    </row>
    <row r="768">
      <c r="A768" s="10" t="inlineStr">
        <is>
          <t>RGT-10</t>
        </is>
      </c>
      <c r="B768" s="11" t="inlineStr">
        <is>
          <t>DPO confirms the principal means erasure (not withdrawal) before work starts</t>
        </is>
      </c>
      <c r="C768" s="11" t="n">
        <v>8</v>
      </c>
      <c r="D768" s="11" t="inlineStr">
        <is>
          <t>In Browser B open RR-W and click 'They meant withdrawal'.</t>
        </is>
      </c>
      <c r="E768" s="11" t="inlineStr">
        <is>
          <t>The message 'Handled as withdrawal' appears. The header badge reads 'Handled as withdrawal'. A 'Response' card shows the explanation starting 'Withdrawing consent stops future processing for the purposes withdrawn. It does not delete data already collected...'</t>
        </is>
      </c>
      <c r="F768" s="16" t="n"/>
      <c r="G768" s="16" t="n"/>
    </row>
    <row r="769">
      <c r="A769" s="10" t="inlineStr">
        <is>
          <t>RGT-10</t>
        </is>
      </c>
      <c r="B769" s="11" t="inlineStr">
        <is>
          <t>DPO confirms the principal means erasure (not withdrawal) before work starts</t>
        </is>
      </c>
      <c r="C769" s="11" t="n">
        <v>9</v>
      </c>
      <c r="D769" s="11" t="inlineStr">
        <is>
          <t>In Browser A reload 'My requests', click 'Show details' on RR-W, then open 'My consents'.</t>
        </is>
      </c>
      <c r="E769" s="11" t="inlineStr">
        <is>
          <t>RR-W shows 'Handled as withdrawal' with 'Our response' giving the same explanation and a 'Dispute this response' button. Her consents are NOT changed - withdrawing stays her own step.</t>
        </is>
      </c>
      <c r="F769" s="16" t="n"/>
      <c r="G769" s="16" t="n"/>
    </row>
    <row r="770">
      <c r="A770" s="10" t="inlineStr">
        <is>
          <t>RGT-11</t>
        </is>
      </c>
      <c r="B770" s="11" t="inlineStr">
        <is>
          <t>DPO finds the holders, chooses who answers for the in-house holder, words its ticket and sends it</t>
        </is>
      </c>
      <c r="C770" s="11" t="n">
        <v>1</v>
      </c>
      <c r="D770" s="11" t="inlineStr">
        <is>
          <t>Open RR-E and find '7–9 · Holders and tickets' in the group 'Holders and what goes'.</t>
        </is>
      </c>
      <c r="E770" s="11" t="inlineStr">
        <is>
          <t>It reads 'No holders yet. Find who holds the data from the records, or add one you know of.' with 'Find who holds the data' and 'Add a holder'.</t>
        </is>
      </c>
      <c r="F770" s="16" t="n"/>
      <c r="G770" s="16" t="n"/>
    </row>
    <row r="771">
      <c r="A771" s="10" t="inlineStr">
        <is>
          <t>RGT-11</t>
        </is>
      </c>
      <c r="B771" s="11" t="inlineStr">
        <is>
          <t>DPO finds the holders, chooses who answers for the in-house holder, words its ticket and sends it</t>
        </is>
      </c>
      <c r="C771" s="11" t="n">
        <v>2</v>
      </c>
      <c r="D771" s="11" t="inlineStr">
        <is>
          <t>Click 'Find who holds the data'.</t>
        </is>
      </c>
      <c r="E771" s="11" t="inlineStr">
        <is>
          <t>The message 'Holders found' with 'Confirm who answers for each, then send the tickets.' appears. A row for SRIB shows the badge 'Not confirmed' and a 'Next' button 'Confirm who answers'. The steps are at 'Choose who answers' with '1 to confirm' (or more if other holders were found). The summary's 'Next' reads 'Confirm who answers' (or 'Confirm who answers for &lt;n&gt; holders').</t>
        </is>
      </c>
      <c r="F771" s="16" t="n"/>
      <c r="G771" s="16" t="n"/>
    </row>
    <row r="772">
      <c r="A772" s="10" t="inlineStr">
        <is>
          <t>RGT-11</t>
        </is>
      </c>
      <c r="B772" s="11" t="inlineStr">
        <is>
          <t>DPO finds the holders, chooses who answers for the in-house holder, words its ticket and sends it</t>
        </is>
      </c>
      <c r="C772" s="11" t="n">
        <v>3</v>
      </c>
      <c r="D772" s="11" t="inlineStr">
        <is>
          <t>If a row for any holder other than SRIB was found (for example SEED, from the export in CON-14), open it, click 'More', choose 'Remove' and click 'Remove' in the box.</t>
        </is>
      </c>
      <c r="E772" s="11" t="inlineStr">
        <is>
          <t>The box reads 'Remove this holder from the request. Nothing has been sent to them, so nothing is lost.' After the click 'Holder removed' appears and the row is gone. Only SRIB remains.</t>
        </is>
      </c>
      <c r="F772" s="16" t="n"/>
      <c r="G772" s="16" t="n"/>
    </row>
    <row r="773">
      <c r="A773" s="10" t="inlineStr">
        <is>
          <t>RGT-11</t>
        </is>
      </c>
      <c r="B773" s="11" t="inlineStr">
        <is>
          <t>DPO finds the holders, chooses who answers for the in-house holder, words its ticket and sends it</t>
        </is>
      </c>
      <c r="C773" s="11" t="n">
        <v>4</v>
      </c>
      <c r="D773" s="11" t="inlineStr">
        <is>
          <t>Click 'Confirm who answers' on the SRIB row.</t>
        </is>
      </c>
      <c r="E773" s="11" t="inlineStr">
        <is>
          <t>The ticket opens on a box 'Confirm who answers' with 'Who answers' (hint 'Somebody with a console login answers there; anybody else is emailed.'), listing 'Somebody else - type them below' and 'Meera Iyer · rco@cmp.local · in the console', and buttons 'Cancel' and 'Confirm'.</t>
        </is>
      </c>
      <c r="F773" s="16" t="n"/>
      <c r="G773" s="16" t="n"/>
    </row>
    <row r="774">
      <c r="A774" s="10" t="inlineStr">
        <is>
          <t>RGT-11</t>
        </is>
      </c>
      <c r="B774" s="11" t="inlineStr">
        <is>
          <t>DPO finds the holders, chooses who answers for the in-house holder, words its ticket and sends it</t>
        </is>
      </c>
      <c r="C774" s="11" t="n">
        <v>5</v>
      </c>
      <c r="D774" s="11" t="inlineStr">
        <is>
          <t>Choose 'Meera Iyer · rco@cmp.local · in the console' and click 'Confirm'.</t>
        </is>
      </c>
      <c r="E774" s="11" t="inlineStr">
        <is>
          <t>The message 'Confirmed' with 'Send the tickets when every holder is confirmed.' appears. The ticket now shows 'What their ticket will ask' with the standard words. In the table SRIB reads 'Not sent' with 'In the console · Meera Iyer'.</t>
        </is>
      </c>
      <c r="F774" s="16" t="n"/>
      <c r="G774" s="16" t="n"/>
    </row>
    <row r="775">
      <c r="A775" s="10" t="inlineStr">
        <is>
          <t>RGT-11</t>
        </is>
      </c>
      <c r="B775" s="11" t="inlineStr">
        <is>
          <t>DPO finds the holders, chooses who answers for the in-house holder, words its ticket and sends it</t>
        </is>
      </c>
      <c r="C775" s="11" t="n">
        <v>6</v>
      </c>
      <c r="D775" s="11" t="inlineStr">
        <is>
          <t>Add the test sentence to the end of 'What their ticket will ask' and click 'Save'.</t>
        </is>
      </c>
      <c r="E775" s="11" t="inlineStr">
        <is>
          <t>'Saved for this holder' appears; the hint reads 'Your words for this holder.' and 'Use the standard words' is offered.</t>
        </is>
      </c>
      <c r="F775" s="16" t="n"/>
      <c r="G775" s="16" t="n"/>
    </row>
    <row r="776">
      <c r="A776" s="10" t="inlineStr">
        <is>
          <t>RGT-11</t>
        </is>
      </c>
      <c r="B776" s="11" t="inlineStr">
        <is>
          <t>DPO finds the holders, chooses who answers for the in-house holder, words its ticket and sends it</t>
        </is>
      </c>
      <c r="C776" s="11" t="n">
        <v>7</v>
      </c>
      <c r="D776" s="11" t="inlineStr">
        <is>
          <t>Click 'Use the standard words'.</t>
        </is>
      </c>
      <c r="E776" s="11" t="inlineStr">
        <is>
          <t>The message 'Back to the standard words' appears, the text is the standard words again, the hint reads 'The standard words for this kind of request. Change them for this holder if you need to.' and 'Use the standard words' is gone. Close the dialog.</t>
        </is>
      </c>
      <c r="F776" s="16" t="n"/>
      <c r="G776" s="16" t="n"/>
    </row>
    <row r="777">
      <c r="A777" s="10" t="inlineStr">
        <is>
          <t>RGT-11</t>
        </is>
      </c>
      <c r="B777" s="11" t="inlineStr">
        <is>
          <t>DPO finds the holders, chooses who answers for the in-house holder, words its ticket and sends it</t>
        </is>
      </c>
      <c r="C777" s="11" t="n">
        <v>8</v>
      </c>
      <c r="D777" s="11" t="inlineStr">
        <is>
          <t>In the box '1 holder is ready for a ticket' click 'Send tickets', leave 'Answer by' empty and click 'Send the ticket'.</t>
        </is>
      </c>
      <c r="E777" s="11" t="inlineStr">
        <is>
          <t>'Ticket sent' appears. SRIB reads 'Waiting' with 'In the console · Meera Iyer' and its answer-by date. The header badge reads 'Awaiting holders'.</t>
        </is>
      </c>
      <c r="F777" s="16" t="n"/>
      <c r="G777" s="16" t="n"/>
    </row>
    <row r="778">
      <c r="A778" s="10" t="inlineStr">
        <is>
          <t>RGT-11</t>
        </is>
      </c>
      <c r="B778" s="11" t="inlineStr">
        <is>
          <t>DPO finds the holders, chooses who answers for the in-house holder, words its ticket and sends it</t>
        </is>
      </c>
      <c r="C778" s="11" t="n">
        <v>9</v>
      </c>
      <c r="D778" s="11" t="inlineStr">
        <is>
          <t>Look at 'What happens next' and for a respond card.</t>
        </is>
      </c>
      <c r="E778" s="11" t="inlineStr">
        <is>
          <t>Only 'Move to collating' is offered, with the warning 'A holder has not answered - wait, or send them a final reminder once it is overdue, then respond partial', greyed out. There is no 'Response and outcome' group yet.</t>
        </is>
      </c>
      <c r="F778" s="16" t="n"/>
      <c r="G778" s="16" t="n"/>
    </row>
    <row r="779">
      <c r="A779" s="10" t="inlineStr">
        <is>
          <t>RGT-11</t>
        </is>
      </c>
      <c r="B779" s="11" t="inlineStr">
        <is>
          <t>DPO finds the holders, chooses who answers for the in-house holder, words its ticket and sends it</t>
        </is>
      </c>
      <c r="C779" s="11" t="n">
        <v>10</v>
      </c>
      <c r="D779" s="11" t="inlineStr">
        <is>
          <t>Ask the coordinator to check the outbox for mail to rco@cmp.local.</t>
        </is>
      </c>
      <c r="E779" s="11" t="inlineStr">
        <is>
          <t>An email to Meera Iyer with the subject 'Action required by &lt;date&gt;: rights request &lt;RR-E&gt;' is in the outbox.</t>
        </is>
      </c>
      <c r="F779" s="16" t="n"/>
      <c r="G779" s="16" t="n"/>
    </row>
    <row r="780">
      <c r="A780" s="10" t="inlineStr">
        <is>
          <t>RGT-12</t>
        </is>
      </c>
      <c r="B780" s="11" t="inlineStr">
        <is>
          <t>DPO derives the erasure scope and records a decision with its basis (retention floor respected)</t>
        </is>
      </c>
      <c r="C780" s="11" t="n">
        <v>1</v>
      </c>
      <c r="D780" s="11" t="inlineStr">
        <is>
          <t>Open RR-E and find '5–6 · Scope determined; inside the one-year floor?'.</t>
        </is>
      </c>
      <c r="E780" s="11" t="inlineStr">
        <is>
          <t>A blue note reads 'Consent artefacts are never erased. They are the evidence that past processing was lawful...' and the card says 'No scope yet. Derive it from the records the requester appears in.' with a button 'Find what is held'.</t>
        </is>
      </c>
      <c r="F780" s="16" t="n"/>
      <c r="G780" s="16" t="n"/>
    </row>
    <row r="781">
      <c r="A781" s="10" t="inlineStr">
        <is>
          <t>RGT-12</t>
        </is>
      </c>
      <c r="B781" s="11" t="inlineStr">
        <is>
          <t>DPO derives the erasure scope and records a decision with its basis (retention floor respected)</t>
        </is>
      </c>
      <c r="C781" s="11" t="n">
        <v>2</v>
      </c>
      <c r="D781" s="11" t="inlineStr">
        <is>
          <t>Click 'Find what is held'.</t>
        </is>
      </c>
      <c r="E781" s="11" t="inlineStr">
        <is>
          <t>'Found' with '2 appearances of the requester in collected assets.' appears. Two rows show: asset A with its type badge and 'only the requester', and asset B with a warning badge 'holds 1 other person'. Each row names the project, source (SRC-SRIB-SE), 'held by SRIB' and the collection date.</t>
        </is>
      </c>
      <c r="F781" s="16" t="n"/>
      <c r="G781" s="16" t="n"/>
    </row>
    <row r="782">
      <c r="A782" s="10" t="inlineStr">
        <is>
          <t>RGT-12</t>
        </is>
      </c>
      <c r="B782" s="11" t="inlineStr">
        <is>
          <t>DPO derives the erasure scope and records a decision with its basis (retention floor respected)</t>
        </is>
      </c>
      <c r="C782" s="11" t="n">
        <v>3</v>
      </c>
      <c r="D782" s="11" t="inlineStr">
        <is>
          <t>On asset A look at 'Decision', 'Basis' and 'Record the decision'.</t>
        </is>
      </c>
      <c r="E782" s="11" t="inlineStr">
        <is>
          <t>'Decision' shows 'Erase - the asset holds only the requester'. 'Basis' is empty and 'Record the decision' is greyed out.</t>
        </is>
      </c>
      <c r="F782" s="16" t="n"/>
      <c r="G782" s="16" t="n"/>
    </row>
    <row r="783">
      <c r="A783" s="10" t="inlineStr">
        <is>
          <t>RGT-12</t>
        </is>
      </c>
      <c r="B783" s="11" t="inlineStr">
        <is>
          <t>DPO derives the erasure scope and records a decision with its basis (retention floor respected)</t>
        </is>
      </c>
      <c r="C783" s="11" t="n">
        <v>4</v>
      </c>
      <c r="D783" s="11" t="inlineStr">
        <is>
          <t>Change 'Decision' to 'Retain - a floor binds, erased when it passes'. Set 'Until' to yesterday, type the retain basis and click 'Record the decision'.</t>
        </is>
      </c>
      <c r="E783" s="11" t="inlineStr">
        <is>
          <t>An 'Until' field appeared when Retain was chosen. The message 'Not recorded' with 'A retention floor in the past is not a floor' appears.</t>
        </is>
      </c>
      <c r="F783" s="16" t="n"/>
      <c r="G783" s="16" t="n"/>
    </row>
    <row r="784">
      <c r="A784" s="10" t="inlineStr">
        <is>
          <t>RGT-12</t>
        </is>
      </c>
      <c r="B784" s="11" t="inlineStr">
        <is>
          <t>DPO derives the erasure scope and records a decision with its basis (retention floor respected)</t>
        </is>
      </c>
      <c r="C784" s="11" t="n">
        <v>5</v>
      </c>
      <c r="D784" s="11" t="inlineStr">
        <is>
          <t>Set 'Until' to the date next year and click 'Record the decision'.</t>
        </is>
      </c>
      <c r="E784" s="11" t="inlineStr">
        <is>
          <t>'Decision recorded' appears. The row shows 'decided: retain', 'Retained until &lt;date&gt;', the basis in quotes, and an 'Apply' button.</t>
        </is>
      </c>
      <c r="F784" s="16" t="n"/>
      <c r="G784" s="16" t="n"/>
    </row>
    <row r="785">
      <c r="A785" s="10" t="inlineStr">
        <is>
          <t>RGT-12</t>
        </is>
      </c>
      <c r="B785" s="11" t="inlineStr">
        <is>
          <t>DPO derives the erasure scope and records a decision with its basis (retention floor respected)</t>
        </is>
      </c>
      <c r="C785" s="11" t="n">
        <v>6</v>
      </c>
      <c r="D785" s="11" t="inlineStr">
        <is>
          <t>Click 'Apply'.</t>
        </is>
      </c>
      <c r="E785" s="11" t="inlineStr">
        <is>
          <t>The message 'Not applied' with 'Retained until &lt;date&gt;. The floor binds even against her request; it is applied when it passes.' appears. The row still shows 'decided: retain' and nothing is quarantined.</t>
        </is>
      </c>
      <c r="F785" s="16" t="n"/>
      <c r="G785" s="16" t="n"/>
    </row>
    <row r="786">
      <c r="A786" s="10" t="inlineStr">
        <is>
          <t>RGT-12</t>
        </is>
      </c>
      <c r="B786" s="11" t="inlineStr">
        <is>
          <t>DPO derives the erasure scope and records a decision with its basis (retention floor respected)</t>
        </is>
      </c>
      <c r="C786" s="11" t="n">
        <v>7</v>
      </c>
      <c r="D786" s="11" t="inlineStr">
        <is>
          <t>Change 'Decision' to 'Erase - the asset holds only the requester', replace the basis with the erase basis and click 'Record the decision'.</t>
        </is>
      </c>
      <c r="E786" s="11" t="inlineStr">
        <is>
          <t>The 'Until' field disappears. 'Decision recorded' appears and the row shows 'decided: erase' with the new basis. Do not click 'Apply' yet (RGT-14).</t>
        </is>
      </c>
      <c r="F786" s="16" t="n"/>
      <c r="G786" s="16" t="n"/>
    </row>
    <row r="787">
      <c r="A787" s="10" t="inlineStr">
        <is>
          <t>RGT-12</t>
        </is>
      </c>
      <c r="B787" s="11" t="inlineStr">
        <is>
          <t>DPO derives the erasure scope and records a decision with its basis (retention floor respected)</t>
        </is>
      </c>
      <c r="C787" s="11" t="n">
        <v>8</v>
      </c>
      <c r="D787" s="11" t="inlineStr">
        <is>
          <t>Open 'Decision' on asset A once more without changing it.</t>
        </is>
      </c>
      <c r="E787" s="11" t="inlineStr">
        <is>
          <t>The four options are 'Erase - the asset holds only the requester', 'Redact - remove the requester, keep the others', 'Retain - a floor binds, erased when it passes' and 'Quarantine - removal cannot be assured; the DPO decides'.</t>
        </is>
      </c>
      <c r="F787" s="16" t="n"/>
      <c r="G787" s="16" t="n"/>
    </row>
    <row r="788">
      <c r="A788" s="10" t="inlineStr">
        <is>
          <t>RGT-13</t>
        </is>
      </c>
      <c r="B788" s="11" t="inlineStr">
        <is>
          <t>Erase is not offered for an asset that also holds other people; it is redacted instead</t>
        </is>
      </c>
      <c r="C788" s="11" t="n">
        <v>1</v>
      </c>
      <c r="D788" s="11" t="inlineStr">
        <is>
          <t>On the asset B row look at the badges, the 'Decision' field and the text beside 'Record the decision'.</t>
        </is>
      </c>
      <c r="E788" s="11" t="inlineStr">
        <is>
          <t>The row carries the warning badge 'holds 1 other person'. 'Decision' is preset to 'Redact - remove the requester, keep the others'. Beside the button: 'Erase is not offered: deleting this asset would erase the other people's validly given consent.'</t>
        </is>
      </c>
      <c r="F788" s="16" t="n"/>
      <c r="G788" s="16" t="n"/>
    </row>
    <row r="789">
      <c r="A789" s="10" t="inlineStr">
        <is>
          <t>RGT-13</t>
        </is>
      </c>
      <c r="B789" s="11" t="inlineStr">
        <is>
          <t>Erase is not offered for an asset that also holds other people; it is redacted instead</t>
        </is>
      </c>
      <c r="C789" s="11" t="n">
        <v>2</v>
      </c>
      <c r="D789" s="11" t="inlineStr">
        <is>
          <t>Open 'Decision' and try to choose 'Erase - the asset holds only the requester'.</t>
        </is>
      </c>
      <c r="E789" s="11" t="inlineStr">
        <is>
          <t>The Erase option is greyed out and cannot be chosen.</t>
        </is>
      </c>
      <c r="F789" s="16" t="n"/>
      <c r="G789" s="16" t="n"/>
    </row>
    <row r="790">
      <c r="A790" s="10" t="inlineStr">
        <is>
          <t>RGT-13</t>
        </is>
      </c>
      <c r="B790" s="11" t="inlineStr">
        <is>
          <t>Erase is not offered for an asset that also holds other people; it is redacted instead</t>
        </is>
      </c>
      <c r="C790" s="11" t="n">
        <v>3</v>
      </c>
      <c r="D790" s="11" t="inlineStr">
        <is>
          <t>Keep 'Redact - remove the requester, keep the others', type the redact basis and click 'Record the decision'.</t>
        </is>
      </c>
      <c r="E790" s="11" t="inlineStr">
        <is>
          <t>'Decision recorded' appears; the row shows 'decided: redact' and an 'Apply' button.</t>
        </is>
      </c>
      <c r="F790" s="16" t="n"/>
      <c r="G790" s="16" t="n"/>
    </row>
    <row r="791">
      <c r="A791" s="10" t="inlineStr">
        <is>
          <t>RGT-13</t>
        </is>
      </c>
      <c r="B791" s="11" t="inlineStr">
        <is>
          <t>Erase is not offered for an asset that also holds other people; it is redacted instead</t>
        </is>
      </c>
      <c r="C791" s="11" t="n">
        <v>4</v>
      </c>
      <c r="D791" s="11" t="inlineStr">
        <is>
          <t>Click 'Apply'.</t>
        </is>
      </c>
      <c r="E791" s="11" t="inlineStr">
        <is>
          <t>The message 'Quarantined' with 'It is out of use now; it is erased when every store holding it is confirmed.' appears. The row now shows the badge 'quarantined - being redacted'; the decision fields are gone.</t>
        </is>
      </c>
      <c r="F791" s="16" t="n"/>
      <c r="G791" s="16" t="n"/>
    </row>
    <row r="792">
      <c r="A792" s="10" t="inlineStr">
        <is>
          <t>RGT-13</t>
        </is>
      </c>
      <c r="B792" s="11" t="inlineStr">
        <is>
          <t>Erase is not offered for an asset that also holds other people; it is redacted instead</t>
        </is>
      </c>
      <c r="C792" s="11" t="n">
        <v>5</v>
      </c>
      <c r="D792" s="11" t="inlineStr">
        <is>
          <t>Read the list of stores under the row.</t>
        </is>
      </c>
      <c r="E792" s="11" t="inlineStr">
        <is>
          <t>Exactly one line: 'The holder's copy: waiting for the holder's ticket to come back'. There is NO line for 'The platform's pointer to it' - a redaction keeps the asset for the other person.</t>
        </is>
      </c>
      <c r="F792" s="16" t="n"/>
      <c r="G792" s="16" t="n"/>
    </row>
    <row r="793">
      <c r="A793" s="10" t="inlineStr">
        <is>
          <t>RGT-13</t>
        </is>
      </c>
      <c r="B793" s="11" t="inlineStr">
        <is>
          <t>Erase is not offered for an asset that also holds other people; it is redacted instead</t>
        </is>
      </c>
      <c r="C793" s="11" t="n">
        <v>6</v>
      </c>
      <c r="D793" s="11" t="inlineStr">
        <is>
          <t>Look at the buttons on the row.</t>
        </is>
      </c>
      <c r="E793" s="11" t="inlineStr">
        <is>
          <t>'Try again now' and 'Place a legal hold' are offered; 'Apply' is gone.</t>
        </is>
      </c>
      <c r="F793" s="16" t="n"/>
      <c r="G793" s="16" t="n"/>
    </row>
    <row r="794">
      <c r="A794" s="10" t="inlineStr">
        <is>
          <t>RGT-14</t>
        </is>
      </c>
      <c r="B794" s="11" t="inlineStr">
        <is>
          <t>Applying an erasure quarantines the item and shows each store's status; 'Try again now'</t>
        </is>
      </c>
      <c r="C794" s="11" t="n">
        <v>1</v>
      </c>
      <c r="D794" s="11" t="inlineStr">
        <is>
          <t>On asset A click 'Apply'.</t>
        </is>
      </c>
      <c r="E794" s="11" t="inlineStr">
        <is>
          <t>The message 'Quarantined' with 'It is out of use now; it is erased when every store holding it is confirmed.' appears.</t>
        </is>
      </c>
      <c r="F794" s="16" t="n"/>
      <c r="G794" s="16" t="n"/>
    </row>
    <row r="795">
      <c r="A795" s="10" t="inlineStr">
        <is>
          <t>RGT-14</t>
        </is>
      </c>
      <c r="B795" s="11" t="inlineStr">
        <is>
          <t>Applying an erasure quarantines the item and shows each store's status; 'Try again now'</t>
        </is>
      </c>
      <c r="C795" s="11" t="n">
        <v>2</v>
      </c>
      <c r="D795" s="11" t="inlineStr">
        <is>
          <t>Look at asset A's badges.</t>
        </is>
      </c>
      <c r="E795" s="11" t="inlineStr">
        <is>
          <t>The row shows the yellow badge 'quarantined - being erased'. It does NOT show 'erased'.</t>
        </is>
      </c>
      <c r="F795" s="16" t="n"/>
      <c r="G795" s="16" t="n"/>
    </row>
    <row r="796">
      <c r="A796" s="10" t="inlineStr">
        <is>
          <t>RGT-14</t>
        </is>
      </c>
      <c r="B796" s="11" t="inlineStr">
        <is>
          <t>Applying an erasure quarantines the item and shows each store's status; 'Try again now'</t>
        </is>
      </c>
      <c r="C796" s="11" t="n">
        <v>3</v>
      </c>
      <c r="D796" s="11" t="inlineStr">
        <is>
          <t>Read the list of stores under asset A.</t>
        </is>
      </c>
      <c r="E796" s="11" t="inlineStr">
        <is>
          <t>Two lines: 'The holder's copy: waiting for the holder's ticket to come back' and 'The platform's pointer to it: cleared' (in green).</t>
        </is>
      </c>
      <c r="F796" s="16" t="n"/>
      <c r="G796" s="16" t="n"/>
    </row>
    <row r="797">
      <c r="A797" s="10" t="inlineStr">
        <is>
          <t>RGT-14</t>
        </is>
      </c>
      <c r="B797" s="11" t="inlineStr">
        <is>
          <t>Applying an erasure quarantines the item and shows each store's status; 'Try again now'</t>
        </is>
      </c>
      <c r="C797" s="11" t="n">
        <v>4</v>
      </c>
      <c r="D797" s="11" t="inlineStr">
        <is>
          <t>Click 'Try again now'.</t>
        </is>
      </c>
      <c r="E797" s="11" t="inlineStr">
        <is>
          <t>The message 'Tried again' with 'Something is still outstanding; it is shown below.' appears. The lines and the 'quarantined - being erased' badge are unchanged.</t>
        </is>
      </c>
      <c r="F797" s="16" t="n"/>
      <c r="G797" s="16" t="n"/>
    </row>
    <row r="798">
      <c r="A798" s="10" t="inlineStr">
        <is>
          <t>RGT-14</t>
        </is>
      </c>
      <c r="B798" s="11" t="inlineStr">
        <is>
          <t>Applying an erasure quarantines the item and shows each store's status; 'Try again now'</t>
        </is>
      </c>
      <c r="C798" s="11" t="n">
        <v>5</v>
      </c>
      <c r="D798" s="11" t="inlineStr">
        <is>
          <t>Check whether the decision can still be changed.</t>
        </is>
      </c>
      <c r="E798" s="11" t="inlineStr">
        <is>
          <t>The 'Decision' and 'Basis' fields are gone for asset A; the decision stands.</t>
        </is>
      </c>
      <c r="F798" s="16" t="n"/>
      <c r="G798" s="16" t="n"/>
    </row>
    <row r="799">
      <c r="A799" s="10" t="inlineStr">
        <is>
          <t>RGT-14</t>
        </is>
      </c>
      <c r="B799" s="11" t="inlineStr">
        <is>
          <t>Applying an erasure quarantines the item and shows each store's status; 'Try again now'</t>
        </is>
      </c>
      <c r="C799" s="11" t="n">
        <v>6</v>
      </c>
      <c r="D799" s="11" t="inlineStr">
        <is>
          <t>Look at 'What happens next' and the header.</t>
        </is>
      </c>
      <c r="E799" s="11" t="inlineStr">
        <is>
          <t>The request is still 'Awaiting holders'; 'Move to collating' is still blocked by 'A holder has not answered - wait, or send them a final reminder once it is overdue, then respond partial'.</t>
        </is>
      </c>
      <c r="F799" s="16" t="n"/>
      <c r="G799" s="16" t="n"/>
    </row>
    <row r="800">
      <c r="A800" s="10" t="inlineStr">
        <is>
          <t>RGT-14</t>
        </is>
      </c>
      <c r="B800" s="11" t="inlineStr">
        <is>
          <t>Applying an erasure quarantines the item and shows each store's status; 'Try again now'</t>
        </is>
      </c>
      <c r="C800" s="11" t="n">
        <v>7</v>
      </c>
      <c r="D800" s="11" t="inlineStr">
        <is>
          <t>In Browser A (Anjali) reload 'My requests' and look at RR-E.</t>
        </is>
      </c>
      <c r="E800" s="11" t="inlineStr">
        <is>
          <t>RR-E shows 'Waiting for responses'. Nothing on her card says her data has been erased.</t>
        </is>
      </c>
      <c r="F800" s="16" t="n"/>
      <c r="G800" s="16" t="n"/>
    </row>
    <row r="801">
      <c r="A801" s="10" t="inlineStr">
        <is>
          <t>RGT-15</t>
        </is>
      </c>
      <c r="B801" s="11" t="inlineStr">
        <is>
          <t>In-house respondent answers the ticket in My tasks; the DPO sends it back once, then accepts it</t>
        </is>
      </c>
      <c r="C801" s="11" t="n">
        <v>1</v>
      </c>
      <c r="D801" s="11" t="inlineStr">
        <is>
          <t>In Browser C sign in to http://localhost:3000 as rco@cmp.local with password SeedPassw0rd!2026 (enter the relayed code if 'Verify it is you' appears).</t>
        </is>
      </c>
      <c r="E801" s="11" t="inlineStr">
        <is>
          <t>Meera Iyer's dashboard opens. Under 'Your work' the sidebar shows 'My tasks'; there is no 'Rights requests' link.</t>
        </is>
      </c>
      <c r="F801" s="16" t="n"/>
      <c r="G801" s="16" t="n"/>
    </row>
    <row r="802">
      <c r="A802" s="10" t="inlineStr">
        <is>
          <t>RGT-15</t>
        </is>
      </c>
      <c r="B802" s="11" t="inlineStr">
        <is>
          <t>In-house respondent answers the ticket in My tasks; the DPO sends it back once, then accepts it</t>
        </is>
      </c>
      <c r="C802" s="11" t="n">
        <v>2</v>
      </c>
      <c r="D802" s="11" t="inlineStr">
        <is>
          <t>Type http://localhost:3000/requests in the address bar.</t>
        </is>
      </c>
      <c r="E802" s="11" t="inlineStr">
        <is>
          <t>A box 'Not part of your account' says 'This section belongs to a different role, so there is nothing here for you...' with a 'Back to your dashboard' button. No requests are shown.</t>
        </is>
      </c>
      <c r="F802" s="16" t="n"/>
      <c r="G802" s="16" t="n"/>
    </row>
    <row r="803">
      <c r="A803" s="10" t="inlineStr">
        <is>
          <t>RGT-15</t>
        </is>
      </c>
      <c r="B803" s="11" t="inlineStr">
        <is>
          <t>In-house respondent answers the ticket in My tasks; the DPO sends it back once, then accepts it</t>
        </is>
      </c>
      <c r="C803" s="11" t="n">
        <v>3</v>
      </c>
      <c r="D803" s="11" t="inlineStr">
        <is>
          <t>Click 'My tasks'.</t>
        </is>
      </c>
      <c r="E803" s="11" t="inlineStr">
        <is>
          <t>The page 'My tasks' reads 'What the Privacy Office has asked of you: tickets on rights requests and on personal data breaches...'. Tiles show 'To do', 'Overdue', 'Due within 7 days' and 'Unread from the Privacy Office', and a group 'To do · 1'. The card shows RR-E, 'Erasure · s.12(3)', the badge 'To answer', 'For SRIB · about Anjali Verma · sent &lt;date and time&gt;', the due date, 'What you are asked' with the instruction, and an 'Answer' button.</t>
        </is>
      </c>
      <c r="F803" s="16" t="n"/>
      <c r="G803" s="16" t="n"/>
    </row>
    <row r="804">
      <c r="A804" s="10" t="inlineStr">
        <is>
          <t>RGT-15</t>
        </is>
      </c>
      <c r="B804" s="11" t="inlineStr">
        <is>
          <t>In-house respondent answers the ticket in My tasks; the DPO sends it back once, then accepts it</t>
        </is>
      </c>
      <c r="C804" s="11" t="n">
        <v>4</v>
      </c>
      <c r="D804" s="11" t="inlineStr">
        <is>
          <t>Click 'Answer'.</t>
        </is>
      </c>
      <c r="E804" s="11" t="inlineStr">
        <is>
          <t>A dialog '&lt;RR-E&gt; · SRIB' opens with 'What the platform already knows', a table 'What to do with each item' listing asset A with 'Erase it' and asset B with 'Remove the person from it; keep the other person', the messages so far, a 'Submit your answer' button, and a message box ('Write to the Privacy Office: a question, or what you have found so far.') with 'Attach a file' and 'Send'.</t>
        </is>
      </c>
      <c r="F804" s="16" t="n"/>
      <c r="G804" s="16" t="n"/>
    </row>
    <row r="805">
      <c r="A805" s="10" t="inlineStr">
        <is>
          <t>RGT-15</t>
        </is>
      </c>
      <c r="B805" s="11" t="inlineStr">
        <is>
          <t>In-house respondent answers the ticket in My tasks; the DPO sends it back once, then accepts it</t>
        </is>
      </c>
      <c r="C805" s="11" t="n">
        <v>5</v>
      </c>
      <c r="D805" s="11" t="inlineStr">
        <is>
          <t>Type the question, choose srib-inventory.csv under 'Attach a file' and click 'Send'.</t>
        </is>
      </c>
      <c r="E805" s="11" t="inlineStr">
        <is>
          <t>The message 'Message sent' with 'The Privacy Office can see it.' appears. The question shows in the thread with 'File: srib-inventory.csv'. The window stays open.</t>
        </is>
      </c>
      <c r="F805" s="16" t="n"/>
      <c r="G805" s="16" t="n"/>
    </row>
    <row r="806">
      <c r="A806" s="10" t="inlineStr">
        <is>
          <t>RGT-15</t>
        </is>
      </c>
      <c r="B806" s="11" t="inlineStr">
        <is>
          <t>In-house respondent answers the ticket in My tasks; the DPO sends it back once, then accepts it</t>
        </is>
      </c>
      <c r="C806" s="11" t="n">
        <v>6</v>
      </c>
      <c r="D806" s="11" t="inlineStr">
        <is>
          <t>In Browser B (DPO) open RR-E, click SRIB in the holders table, type the DPO reply in the box under 'Messages' and click 'Send'. Close the dialog.</t>
        </is>
      </c>
      <c r="E806" s="11" t="inlineStr">
        <is>
          <t>Before replying, SRIB's row carries an unread-message badge and the dialog's 'Messages' shows Meera's question with a link to the file. The box's placeholder reads 'Write to them - they read it in the console.' The reply appears in the thread.</t>
        </is>
      </c>
      <c r="F806" s="16" t="n"/>
      <c r="G806" s="16" t="n"/>
    </row>
    <row r="807">
      <c r="A807" s="10" t="inlineStr">
        <is>
          <t>RGT-15</t>
        </is>
      </c>
      <c r="B807" s="11" t="inlineStr">
        <is>
          <t>In-house respondent answers the ticket in My tasks; the DPO sends it back once, then accepts it</t>
        </is>
      </c>
      <c r="C807" s="11" t="n">
        <v>7</v>
      </c>
      <c r="D807" s="11" t="inlineStr">
        <is>
          <t>In Browser C close the dialog, reload 'My tasks' and click 'Answer' again.</t>
        </is>
      </c>
      <c r="E807" s="11" t="inlineStr">
        <is>
          <t>'Unread from the Privacy Office' showed 1 before the dialog was opened; the DPO's reply is in the thread.</t>
        </is>
      </c>
      <c r="F807" s="16" t="n"/>
      <c r="G807" s="16" t="n"/>
    </row>
    <row r="808">
      <c r="A808" s="10" t="inlineStr">
        <is>
          <t>RGT-15</t>
        </is>
      </c>
      <c r="B808" s="11" t="inlineStr">
        <is>
          <t>In-house respondent answers the ticket in My tasks; the DPO sends it back once, then accepts it</t>
        </is>
      </c>
      <c r="C808" s="11" t="n">
        <v>8</v>
      </c>
      <c r="D808" s="11" t="inlineStr">
        <is>
          <t>Click 'Submit your answer'. Choose 'Did only part of it', type the first answer and click 'Send your answer'.</t>
        </is>
      </c>
      <c r="E808" s="11" t="inlineStr">
        <is>
          <t>The message 'Answer sent' with 'The Privacy Office will review it.' appears and the dialog closes. The card moves to 'Waiting on the Privacy Office · 1' with the badge 'Answered - with the Privacy Office' and the note 'Your answer is with the Privacy Office. They accept it, or send it back with what is missing.'</t>
        </is>
      </c>
      <c r="F808" s="16" t="n"/>
      <c r="G808" s="16" t="n"/>
    </row>
    <row r="809">
      <c r="A809" s="10" t="inlineStr">
        <is>
          <t>RGT-15</t>
        </is>
      </c>
      <c r="B809" s="11" t="inlineStr">
        <is>
          <t>In-house respondent answers the ticket in My tasks; the DPO sends it back once, then accepts it</t>
        </is>
      </c>
      <c r="C809" s="11" t="n">
        <v>9</v>
      </c>
      <c r="D809" s="11" t="inlineStr">
        <is>
          <t>In Browser B reload RR-E. Click SRIB, then 'More', then 'Send back'. Type the reason in 'What is missing or wrong', leave 'Answer again by' empty and click 'Send it back'.</t>
        </is>
      </c>
      <c r="E809" s="11" t="inlineStr">
        <is>
          <t>Before: SRIB reads 'Answered - review · did only part of it' and the summary's 'Next' reads 'Review an answer'; the form says 'The ticket opens again with your reason and a date; what they sent stays on the record.' After: the message 'Sent back' appears and SRIB reads 'Sent back'.</t>
        </is>
      </c>
      <c r="F809" s="16" t="n"/>
      <c r="G809" s="16" t="n"/>
    </row>
    <row r="810">
      <c r="A810" s="10" t="inlineStr">
        <is>
          <t>RGT-15</t>
        </is>
      </c>
      <c r="B810" s="11" t="inlineStr">
        <is>
          <t>In-house respondent answers the ticket in My tasks; the DPO sends it back once, then accepts it</t>
        </is>
      </c>
      <c r="C810" s="11" t="n">
        <v>10</v>
      </c>
      <c r="D810" s="11" t="inlineStr">
        <is>
          <t>In Browser C reload 'My tasks'.</t>
        </is>
      </c>
      <c r="E810" s="11" t="inlineStr">
        <is>
          <t>The card is back under 'To do' with the badge 'Sent back to you' and a yellow box 'Sent back to you &lt;date and time&gt;' quoting the reason and 'Answer again by &lt;date&gt;.'</t>
        </is>
      </c>
      <c r="F810" s="16" t="n"/>
      <c r="G810" s="16" t="n"/>
    </row>
    <row r="811">
      <c r="A811" s="10" t="inlineStr">
        <is>
          <t>RGT-15</t>
        </is>
      </c>
      <c r="B811" s="11" t="inlineStr">
        <is>
          <t>In-house respondent answers the ticket in My tasks; the DPO sends it back once, then accepts it</t>
        </is>
      </c>
      <c r="C811" s="11" t="n">
        <v>11</v>
      </c>
      <c r="D811" s="11" t="inlineStr">
        <is>
          <t>Click 'Answer', then 'Submit your answer'. Choose 'Did all of it', type the second answer, choose srib-deletion-log.pdf under '3 · Proof' and click 'Send your answer'.</t>
        </is>
      </c>
      <c r="E811" s="11" t="inlineStr">
        <is>
          <t>'Answer sent' appears; the card is under 'Waiting on the Privacy Office' again.</t>
        </is>
      </c>
      <c r="F811" s="16" t="n"/>
      <c r="G811" s="16" t="n"/>
    </row>
    <row r="812">
      <c r="A812" s="10" t="inlineStr">
        <is>
          <t>RGT-15</t>
        </is>
      </c>
      <c r="B812" s="11" t="inlineStr">
        <is>
          <t>In-house respondent answers the ticket in My tasks; the DPO sends it back once, then accepts it</t>
        </is>
      </c>
      <c r="C812" s="11" t="n">
        <v>12</v>
      </c>
      <c r="D812" s="11" t="inlineStr">
        <is>
          <t>In Browser B reload RR-E and click 'Accept the answer' on SRIB's row, then 'Accept the answer' in the box.</t>
        </is>
      </c>
      <c r="E812" s="11" t="inlineStr">
        <is>
          <t>'Answer accepted' appears. SRIB reads 'Accepted'; the header badge changes by itself to 'Collating'. In the scope card asset A shows the badge 'erased' with 'The holder's copy: confirmed gone by the holder' and 'The platform's pointer to it: cleared'; asset B shows 'redacted' with 'The holder's copy: confirmed gone by the holder'. No 'Try again now' buttons remain.</t>
        </is>
      </c>
      <c r="F812" s="16" t="n"/>
      <c r="G812" s="16" t="n"/>
    </row>
    <row r="813">
      <c r="A813" s="10" t="inlineStr">
        <is>
          <t>RGT-15</t>
        </is>
      </c>
      <c r="B813" s="11" t="inlineStr">
        <is>
          <t>In-house respondent answers the ticket in My tasks; the DPO sends it back once, then accepts it</t>
        </is>
      </c>
      <c r="C813" s="11" t="n">
        <v>13</v>
      </c>
      <c r="D813" s="11" t="inlineStr">
        <is>
          <t>In Browser C reload 'My tasks'.</t>
        </is>
      </c>
      <c r="E813" s="11" t="inlineStr">
        <is>
          <t>The card is under 'Done · 1' with the badge 'Accepted' and the note 'The Privacy Office accepted your answer on &lt;date&gt;. Nothing further is needed.' Its button reads 'Open'.</t>
        </is>
      </c>
      <c r="F813" s="16" t="n"/>
      <c r="G813" s="16" t="n"/>
    </row>
    <row r="814">
      <c r="A814" s="10" t="inlineStr">
        <is>
          <t>RGT-16</t>
        </is>
      </c>
      <c r="B814" s="11" t="inlineStr">
        <is>
          <t>A fully carried-out erasure closes Complete and the principal downloads a record of what was done</t>
        </is>
      </c>
      <c r="C814" s="11" t="n">
        <v>1</v>
      </c>
      <c r="D814" s="11" t="inlineStr">
        <is>
          <t>Open RR-E and find '10 · Respond and close'.</t>
        </is>
      </c>
      <c r="E814" s="11" t="inlineStr">
        <is>
          <t>No yellow warning is shown. 'Outcome' shows 'Complete', which can be chosen.</t>
        </is>
      </c>
      <c r="F814" s="16" t="n"/>
      <c r="G814" s="16" t="n"/>
    </row>
    <row r="815">
      <c r="A815" s="10" t="inlineStr">
        <is>
          <t>RGT-16</t>
        </is>
      </c>
      <c r="B815" s="11" t="inlineStr">
        <is>
          <t>A fully carried-out erasure closes Complete and the principal downloads a record of what was done</t>
        </is>
      </c>
      <c r="C815" s="11" t="n">
        <v>2</v>
      </c>
      <c r="D815" s="11" t="inlineStr">
        <is>
          <t>Read the hint under 'The response'.</t>
        </is>
      </c>
      <c r="E815" s="11" t="inlineStr">
        <is>
          <t>It reads 'What was decided for each item, what has been carried out, and why. Say only what was done: the record lists each item as it stands.'</t>
        </is>
      </c>
      <c r="F815" s="16" t="n"/>
      <c r="G815" s="16" t="n"/>
    </row>
    <row r="816">
      <c r="A816" s="10" t="inlineStr">
        <is>
          <t>RGT-16</t>
        </is>
      </c>
      <c r="B816" s="11" t="inlineStr">
        <is>
          <t>A fully carried-out erasure closes Complete and the principal downloads a record of what was done</t>
        </is>
      </c>
      <c r="C816" s="11" t="n">
        <v>3</v>
      </c>
      <c r="D816" s="11" t="inlineStr">
        <is>
          <t>Type the response and click 'Release and close'.</t>
        </is>
      </c>
      <c r="E816" s="11" t="inlineStr">
        <is>
          <t>'Released and closed' with 'The requester has been told the response is ready.' appears. The header badge reads 'Complete' and a 'Response' card shows 'Complete · &lt;date&gt; ...'.</t>
        </is>
      </c>
      <c r="F816" s="16" t="n"/>
      <c r="G816" s="16" t="n"/>
    </row>
    <row r="817">
      <c r="A817" s="10" t="inlineStr">
        <is>
          <t>RGT-16</t>
        </is>
      </c>
      <c r="B817" s="11" t="inlineStr">
        <is>
          <t>A fully carried-out erasure closes Complete and the principal downloads a record of what was done</t>
        </is>
      </c>
      <c r="C817" s="11" t="n">
        <v>4</v>
      </c>
      <c r="D817" s="11" t="inlineStr">
        <is>
          <t>Look at the scope card.</t>
        </is>
      </c>
      <c r="E817" s="11" t="inlineStr">
        <is>
          <t>Asset A still shows 'erased' and asset B 'redacted'. No 'Apply', 'Try again now', 'Place a legal hold' or 'Find what is held' buttons are offered.</t>
        </is>
      </c>
      <c r="F817" s="16" t="n"/>
      <c r="G817" s="16" t="n"/>
    </row>
    <row r="818">
      <c r="A818" s="10" t="inlineStr">
        <is>
          <t>RGT-16</t>
        </is>
      </c>
      <c r="B818" s="11" t="inlineStr">
        <is>
          <t>A fully carried-out erasure closes Complete and the principal downloads a record of what was done</t>
        </is>
      </c>
      <c r="C818" s="11" t="n">
        <v>5</v>
      </c>
      <c r="D818" s="11" t="inlineStr">
        <is>
          <t>Ask the coordinator to show the response mail to subject@cmp.local.</t>
        </is>
      </c>
      <c r="E818" s="11" t="inlineStr">
        <is>
          <t>It has a section 'WHAT WAS DONE WITH EACH ITEM' with '- &lt;asset A&gt;: Erased.' and '- &lt;asset B&gt;: Redacted: your part removed; the material holds other people and was kept.', followed by 'Kept, because they are the record of what happened and are never rewritten: your consent records, the audit trail, the files of data sent to processors before your request, and earlier responses given to you.' There is no 'NOT YET DONE' section.</t>
        </is>
      </c>
      <c r="F818" s="16" t="n"/>
      <c r="G818" s="16" t="n"/>
    </row>
    <row r="819">
      <c r="A819" s="10" t="inlineStr">
        <is>
          <t>RGT-16</t>
        </is>
      </c>
      <c r="B819" s="11" t="inlineStr">
        <is>
          <t>A fully carried-out erasure closes Complete and the principal downloads a record of what was done</t>
        </is>
      </c>
      <c r="C819" s="11" t="n">
        <v>6</v>
      </c>
      <c r="D819" s="11" t="inlineStr">
        <is>
          <t>In Browser A reload 'My requests' and click 'Show details' on RR-E.</t>
        </is>
      </c>
      <c r="E819" s="11" t="inlineStr">
        <is>
          <t>RR-E shows 'Complete', 'Our response' with the text, 'Download the file' and 'Dispute this response'.</t>
        </is>
      </c>
      <c r="F819" s="16" t="n"/>
      <c r="G819" s="16" t="n"/>
    </row>
    <row r="820">
      <c r="A820" s="10" t="inlineStr">
        <is>
          <t>RGT-16</t>
        </is>
      </c>
      <c r="B820" s="11" t="inlineStr">
        <is>
          <t>A fully carried-out erasure closes Complete and the principal downloads a record of what was done</t>
        </is>
      </c>
      <c r="C820" s="11" t="n">
        <v>7</v>
      </c>
      <c r="D820" s="11" t="inlineStr">
        <is>
          <t>Click 'Download the file' and open the saved .json file.</t>
        </is>
      </c>
      <c r="E820" s="11" t="inlineStr">
        <is>
          <t>'Downloaded' appears. In the file, 'execution' has 'items' with two entries (asset A: decision 'erase', done true, outcome 'Erased.'; asset B: decision 'redact', done true, outcome 'Redacted: ...'), 'not_done' is empty, 'kept_as_evidence' holds the 'Kept, because...' sentence and 'holders_confirmed' lists SRIB.</t>
        </is>
      </c>
      <c r="F820" s="16" t="n"/>
      <c r="G820" s="16" t="n"/>
    </row>
    <row r="821">
      <c r="A821" s="10" t="inlineStr">
        <is>
          <t>RGT-16</t>
        </is>
      </c>
      <c r="B821" s="11" t="inlineStr">
        <is>
          <t>A fully carried-out erasure closes Complete and the principal downloads a record of what was done</t>
        </is>
      </c>
      <c r="C821" s="11" t="n">
        <v>8</v>
      </c>
      <c r="D821" s="11" t="inlineStr">
        <is>
          <t>In the same file look at 'consents'.</t>
        </is>
      </c>
      <c r="E821" s="11" t="inlineStr">
        <is>
          <t>Her consent records are still listed - consent artefacts are evidence and are not erased.</t>
        </is>
      </c>
      <c r="F821" s="16" t="n"/>
      <c r="G821" s="16" t="n"/>
    </row>
    <row r="822">
      <c r="A822" s="10" t="inlineStr">
        <is>
          <t>RGT-17</t>
        </is>
      </c>
      <c r="B822" s="11" t="inlineStr">
        <is>
          <t>A legal hold stops an erasure; releasing it lets the erasure finish</t>
        </is>
      </c>
      <c r="C822" s="11" t="n">
        <v>1</v>
      </c>
      <c r="D822" s="11" t="inlineStr">
        <is>
          <t>In Browser A make an erasure request ('Erasure (s.12(3))') with the test text. Note RR-H.</t>
        </is>
      </c>
      <c r="E822" s="11" t="inlineStr">
        <is>
          <t>'Recorded as RR-...' appears.</t>
        </is>
      </c>
      <c r="F822" s="16" t="n"/>
      <c r="G822" s="16" t="n"/>
    </row>
    <row r="823">
      <c r="A823" s="10" t="inlineStr">
        <is>
          <t>RGT-17</t>
        </is>
      </c>
      <c r="B823" s="11" t="inlineStr">
        <is>
          <t>A legal hold stops an erasure; releasing it lets the erasure finish</t>
        </is>
      </c>
      <c r="C823" s="11" t="n">
        <v>2</v>
      </c>
      <c r="D823" s="11" t="inlineStr">
        <is>
          <t>In Browser B open RR-H: click 'Confirm classification', then 'They mean erasure', then 'In progress' in 'What happens next'.</t>
        </is>
      </c>
      <c r="E823" s="11" t="inlineStr">
        <is>
          <t>'Classified', 'Erasure confirmed' and 'Moved to In progress' appear in turn.</t>
        </is>
      </c>
      <c r="F823" s="16" t="n"/>
      <c r="G823" s="16" t="n"/>
    </row>
    <row r="824">
      <c r="A824" s="10" t="inlineStr">
        <is>
          <t>RGT-17</t>
        </is>
      </c>
      <c r="B824" s="11" t="inlineStr">
        <is>
          <t>A legal hold stops an erasure; releasing it lets the erasure finish</t>
        </is>
      </c>
      <c r="C824" s="11" t="n">
        <v>3</v>
      </c>
      <c r="D824" s="11" t="inlineStr">
        <is>
          <t>In the holders card click 'Find who holds the data'. Remove any holder other than SRIB as in RGT-11. On SRIB click 'Confirm who answers', choose 'Meera Iyer · rco@cmp.local · in the console' and click 'Confirm'. Close the dialog.</t>
        </is>
      </c>
      <c r="E824" s="11" t="inlineStr">
        <is>
          <t>SRIB reads 'Not sent' with 'In the console · Meera Iyer'.</t>
        </is>
      </c>
      <c r="F824" s="16" t="n"/>
      <c r="G824" s="16" t="n"/>
    </row>
    <row r="825">
      <c r="A825" s="10" t="inlineStr">
        <is>
          <t>RGT-17</t>
        </is>
      </c>
      <c r="B825" s="11" t="inlineStr">
        <is>
          <t>A legal hold stops an erasure; releasing it lets the erasure finish</t>
        </is>
      </c>
      <c r="C825" s="11" t="n">
        <v>4</v>
      </c>
      <c r="D825" s="11" t="inlineStr">
        <is>
          <t>In the scope card click 'Find what is held'. On asset H keep 'Erase - the asset holds only the requester', type the erase basis and click 'Record the decision'.</t>
        </is>
      </c>
      <c r="E825" s="11" t="inlineStr">
        <is>
          <t>'Found' with '1 appearance of the requester in collected assets.' appears; asset H shows 'only the requester', then 'decided: erase'.</t>
        </is>
      </c>
      <c r="F825" s="16" t="n"/>
      <c r="G825" s="16" t="n"/>
    </row>
    <row r="826">
      <c r="A826" s="10" t="inlineStr">
        <is>
          <t>RGT-17</t>
        </is>
      </c>
      <c r="B826" s="11" t="inlineStr">
        <is>
          <t>A legal hold stops an erasure; releasing it lets the erasure finish</t>
        </is>
      </c>
      <c r="C826" s="11" t="n">
        <v>5</v>
      </c>
      <c r="D826" s="11" t="inlineStr">
        <is>
          <t>Click SRIB in the holders table.</t>
        </is>
      </c>
      <c r="E826" s="11" t="inlineStr">
        <is>
          <t>Under 'What their ticket will ask' a table 'Items their ticket will list · 1' shows asset H with its collection date and 'Erase it' under 'What to do'. Close the dialog.</t>
        </is>
      </c>
      <c r="F826" s="16" t="n"/>
      <c r="G826" s="16" t="n"/>
    </row>
    <row r="827">
      <c r="A827" s="10" t="inlineStr">
        <is>
          <t>RGT-17</t>
        </is>
      </c>
      <c r="B827" s="11" t="inlineStr">
        <is>
          <t>A legal hold stops an erasure; releasing it lets the erasure finish</t>
        </is>
      </c>
      <c r="C827" s="11" t="n">
        <v>6</v>
      </c>
      <c r="D827" s="11" t="inlineStr">
        <is>
          <t>Click 'Send tickets', then 'Send the ticket'.</t>
        </is>
      </c>
      <c r="E827" s="11" t="inlineStr">
        <is>
          <t>'Ticket sent' appears; SRIB reads 'Waiting' and the request is 'Awaiting holders'.</t>
        </is>
      </c>
      <c r="F827" s="16" t="n"/>
      <c r="G827" s="16" t="n"/>
    </row>
    <row r="828">
      <c r="A828" s="10" t="inlineStr">
        <is>
          <t>RGT-17</t>
        </is>
      </c>
      <c r="B828" s="11" t="inlineStr">
        <is>
          <t>A legal hold stops an erasure; releasing it lets the erasure finish</t>
        </is>
      </c>
      <c r="C828" s="11" t="n">
        <v>7</v>
      </c>
      <c r="D828" s="11" t="inlineStr">
        <is>
          <t>On asset H click 'Place a legal hold', type the hold reason and click 'Place the hold'.</t>
        </is>
      </c>
      <c r="E828" s="11" t="inlineStr">
        <is>
          <t>A field 'Why this asset must not be erased' appeared with the hint 'Sealed, and shown only to the Privacy Office.' and 'Place the hold' (greyed out until at least 3 characters are typed) and 'Cancel'. After the click 'Legal hold placed' with 'Nothing covered by it is erased until it is released.' appears.</t>
        </is>
      </c>
      <c r="F828" s="16" t="n"/>
      <c r="G828" s="16" t="n"/>
    </row>
    <row r="829">
      <c r="A829" s="10" t="inlineStr">
        <is>
          <t>RGT-17</t>
        </is>
      </c>
      <c r="B829" s="11" t="inlineStr">
        <is>
          <t>A legal hold stops an erasure; releasing it lets the erasure finish</t>
        </is>
      </c>
      <c r="C829" s="11" t="n">
        <v>8</v>
      </c>
      <c r="D829" s="11" t="inlineStr">
        <is>
          <t>Click 'Apply' on asset H.</t>
        </is>
      </c>
      <c r="E829" s="11" t="inlineStr">
        <is>
          <t>'Quarantined' appears. The row shows a red badge 'legal hold' with a lock and the line 'Legal hold: stopped until the hold is released'. There is no 'Try again now' and no 'erased' badge; a 'Release hold' button is offered.</t>
        </is>
      </c>
      <c r="F829" s="16" t="n"/>
      <c r="G829" s="16" t="n"/>
    </row>
    <row r="830">
      <c r="A830" s="10" t="inlineStr">
        <is>
          <t>RGT-17</t>
        </is>
      </c>
      <c r="B830" s="11" t="inlineStr">
        <is>
          <t>A legal hold stops an erasure; releasing it lets the erasure finish</t>
        </is>
      </c>
      <c r="C830" s="11" t="n">
        <v>9</v>
      </c>
      <c r="D830" s="11" t="inlineStr">
        <is>
          <t>In Browser C (Meera) open 'My tasks', click 'Answer' on RR-H, then 'Submit your answer'. Choose 'Did all of it', type the answer and click 'Send your answer'.</t>
        </is>
      </c>
      <c r="E830" s="11" t="inlineStr">
        <is>
          <t>The dialog's 'What to do with each item' lists asset H with 'Erase it'. After sending, 'Answer sent' appears and the ticket moves to 'Waiting on the Privacy Office'.</t>
        </is>
      </c>
      <c r="F830" s="16" t="n"/>
      <c r="G830" s="16" t="n"/>
    </row>
    <row r="831">
      <c r="A831" s="10" t="inlineStr">
        <is>
          <t>RGT-17</t>
        </is>
      </c>
      <c r="B831" s="11" t="inlineStr">
        <is>
          <t>A legal hold stops an erasure; releasing it lets the erasure finish</t>
        </is>
      </c>
      <c r="C831" s="11" t="n">
        <v>10</v>
      </c>
      <c r="D831" s="11" t="inlineStr">
        <is>
          <t>In Browser B reload RR-H and accept the answer ('Accept the answer' on SRIB's row, then 'Accept the answer' in the box).</t>
        </is>
      </c>
      <c r="E831" s="11" t="inlineStr">
        <is>
          <t>'Answer accepted' appears; SRIB reads 'Accepted' and the request is 'Collating', but asset H is still NOT erased: it still shows 'legal hold' and 'Legal hold: stopped until the hold is released'. The hold wins over the accepted answer.</t>
        </is>
      </c>
      <c r="F831" s="16" t="n"/>
      <c r="G831" s="16" t="n"/>
    </row>
    <row r="832">
      <c r="A832" s="10" t="inlineStr">
        <is>
          <t>RGT-17</t>
        </is>
      </c>
      <c r="B832" s="11" t="inlineStr">
        <is>
          <t>A legal hold stops an erasure; releasing it lets the erasure finish</t>
        </is>
      </c>
      <c r="C832" s="11" t="n">
        <v>11</v>
      </c>
      <c r="D832" s="11" t="inlineStr">
        <is>
          <t>Look at '10 · Respond and close'.</t>
        </is>
      </c>
      <c r="E832" s="11" t="inlineStr">
        <is>
          <t>A yellow warning reads 'Not carried out yet: &lt;asset H&gt;. The response can go out on time, but it is partial and says what remains.' and 'Complete' is greyed out in 'Outcome'.</t>
        </is>
      </c>
      <c r="F832" s="16" t="n"/>
      <c r="G832" s="16" t="n"/>
    </row>
    <row r="833">
      <c r="A833" s="10" t="inlineStr">
        <is>
          <t>RGT-17</t>
        </is>
      </c>
      <c r="B833" s="11" t="inlineStr">
        <is>
          <t>A legal hold stops an erasure; releasing it lets the erasure finish</t>
        </is>
      </c>
      <c r="C833" s="11" t="n">
        <v>12</v>
      </c>
      <c r="D833" s="11" t="inlineStr">
        <is>
          <t>On asset H click 'Release hold'.</t>
        </is>
      </c>
      <c r="E833" s="11" t="inlineStr">
        <is>
          <t>The message 'Hold released' with 'What it was stopping carries on.' appears. Asset H shows the badge 'erased' with 'The holder's copy: confirmed gone by the holder' and 'The platform's pointer to it: cleared'; the 'legal hold' badge and 'Release hold' are gone.</t>
        </is>
      </c>
      <c r="F833" s="16" t="n"/>
      <c r="G833" s="16" t="n"/>
    </row>
    <row r="834">
      <c r="A834" s="10" t="inlineStr">
        <is>
          <t>RGT-17</t>
        </is>
      </c>
      <c r="B834" s="11" t="inlineStr">
        <is>
          <t>A legal hold stops an erasure; releasing it lets the erasure finish</t>
        </is>
      </c>
      <c r="C834" s="11" t="n">
        <v>13</v>
      </c>
      <c r="D834" s="11" t="inlineStr">
        <is>
          <t>Look at '10 · Respond and close', then choose 'Complete', type a response and click 'Release and close'.</t>
        </is>
      </c>
      <c r="E834" s="11" t="inlineStr">
        <is>
          <t>The warning has gone and 'Complete' can be chosen. 'Released and closed' appears and the request shows 'Complete'.</t>
        </is>
      </c>
      <c r="F834" s="16" t="n"/>
      <c r="G834" s="16" t="n"/>
    </row>
    <row r="835">
      <c r="A835" s="10" t="inlineStr">
        <is>
          <t>RGT-18</t>
        </is>
      </c>
      <c r="B835" s="11" t="inlineStr">
        <is>
          <t>Complete is held back while an erasure item is not carried out; the response goes out Partial naming what remains</t>
        </is>
      </c>
      <c r="C835" s="11" t="n">
        <v>1</v>
      </c>
      <c r="D835" s="11" t="inlineStr">
        <is>
          <t>In Browser A make an erasure request with the test text. Note RR-P.</t>
        </is>
      </c>
      <c r="E835" s="11" t="inlineStr">
        <is>
          <t>'Recorded as RR-...' appears.</t>
        </is>
      </c>
      <c r="F835" s="16" t="n"/>
      <c r="G835" s="16" t="n"/>
    </row>
    <row r="836">
      <c r="A836" s="10" t="inlineStr">
        <is>
          <t>RGT-18</t>
        </is>
      </c>
      <c r="B836" s="11" t="inlineStr">
        <is>
          <t>Complete is held back while an erasure item is not carried out; the response goes out Partial naming what remains</t>
        </is>
      </c>
      <c r="C836" s="11" t="n">
        <v>2</v>
      </c>
      <c r="D836" s="11" t="inlineStr">
        <is>
          <t>In Browser B open RR-P, click 'Confirm classification', 'They mean erasure' and then 'In progress'. Do NOT find or add holders.</t>
        </is>
      </c>
      <c r="E836" s="11" t="inlineStr">
        <is>
          <t>The request is 'In progress'; the holders card reads 'No holders yet. Find who holds the data from the records, or add one you know of.'</t>
        </is>
      </c>
      <c r="F836" s="16" t="n"/>
      <c r="G836" s="16" t="n"/>
    </row>
    <row r="837">
      <c r="A837" s="10" t="inlineStr">
        <is>
          <t>RGT-18</t>
        </is>
      </c>
      <c r="B837" s="11" t="inlineStr">
        <is>
          <t>Complete is held back while an erasure item is not carried out; the response goes out Partial naming what remains</t>
        </is>
      </c>
      <c r="C837" s="11" t="n">
        <v>3</v>
      </c>
      <c r="D837" s="11" t="inlineStr">
        <is>
          <t>In the scope card click 'Find what is held'.</t>
        </is>
      </c>
      <c r="E837" s="11" t="inlineStr">
        <is>
          <t>'Found' appears; one row, asset P, 'only the requester', undecided.</t>
        </is>
      </c>
      <c r="F837" s="16" t="n"/>
      <c r="G837" s="16" t="n"/>
    </row>
    <row r="838">
      <c r="A838" s="10" t="inlineStr">
        <is>
          <t>RGT-18</t>
        </is>
      </c>
      <c r="B838" s="11" t="inlineStr">
        <is>
          <t>Complete is held back while an erasure item is not carried out; the response goes out Partial naming what remains</t>
        </is>
      </c>
      <c r="C838" s="11" t="n">
        <v>4</v>
      </c>
      <c r="D838" s="11" t="inlineStr">
        <is>
          <t>In 'What happens next' look at both rows, then click 'Collating'.</t>
        </is>
      </c>
      <c r="E838" s="11" t="inlineStr">
        <is>
          <t>'Move to awaiting holders' is blocked by 'No tickets have been issued yet'; 'Move to collating' is allowed. After the click 'Moved to Collating' appears.</t>
        </is>
      </c>
      <c r="F838" s="16" t="n"/>
      <c r="G838" s="16" t="n"/>
    </row>
    <row r="839">
      <c r="A839" s="10" t="inlineStr">
        <is>
          <t>RGT-18</t>
        </is>
      </c>
      <c r="B839" s="11" t="inlineStr">
        <is>
          <t>Complete is held back while an erasure item is not carried out; the response goes out Partial naming what remains</t>
        </is>
      </c>
      <c r="C839" s="11" t="n">
        <v>5</v>
      </c>
      <c r="D839" s="11" t="inlineStr">
        <is>
          <t>Look at '10 · Respond and close'. Type any text in 'The response'.</t>
        </is>
      </c>
      <c r="E839" s="11" t="inlineStr">
        <is>
          <t>A warning reads 'Every item in the erasure scope needs a decision and the basis for it'. 'Release and close' stays greyed out.</t>
        </is>
      </c>
      <c r="F839" s="16" t="n"/>
      <c r="G839" s="16" t="n"/>
    </row>
    <row r="840">
      <c r="A840" s="10" t="inlineStr">
        <is>
          <t>RGT-18</t>
        </is>
      </c>
      <c r="B840" s="11" t="inlineStr">
        <is>
          <t>Complete is held back while an erasure item is not carried out; the response goes out Partial naming what remains</t>
        </is>
      </c>
      <c r="C840" s="11" t="n">
        <v>6</v>
      </c>
      <c r="D840" s="11" t="inlineStr">
        <is>
          <t>On asset P type the erase basis, click 'Record the decision', then 'Apply'.</t>
        </is>
      </c>
      <c r="E840" s="11" t="inlineStr">
        <is>
          <t>'Quarantined' appears. Asset P shows 'quarantined - being erased' with 'The holder's copy: no holder has been asked for this asset's copy - confirm the source's holder and issue its ticket' and 'The platform's pointer to it: cleared'.</t>
        </is>
      </c>
      <c r="F840" s="16" t="n"/>
      <c r="G840" s="16" t="n"/>
    </row>
    <row r="841">
      <c r="A841" s="10" t="inlineStr">
        <is>
          <t>RGT-18</t>
        </is>
      </c>
      <c r="B841" s="11" t="inlineStr">
        <is>
          <t>Complete is held back while an erasure item is not carried out; the response goes out Partial naming what remains</t>
        </is>
      </c>
      <c r="C841" s="11" t="n">
        <v>7</v>
      </c>
      <c r="D841" s="11" t="inlineStr">
        <is>
          <t>Look at '10 · Respond and close' again.</t>
        </is>
      </c>
      <c r="E841" s="11" t="inlineStr">
        <is>
          <t>The warning now reads 'Not carried out yet: &lt;asset P&gt;. The response can go out on time, but it is partial and says what remains.' 'Outcome' shows 'Partial - a gap is named'.</t>
        </is>
      </c>
      <c r="F841" s="16" t="n"/>
      <c r="G841" s="16" t="n"/>
    </row>
    <row r="842">
      <c r="A842" s="10" t="inlineStr">
        <is>
          <t>RGT-18</t>
        </is>
      </c>
      <c r="B842" s="11" t="inlineStr">
        <is>
          <t>Complete is held back while an erasure item is not carried out; the response goes out Partial naming what remains</t>
        </is>
      </c>
      <c r="C842" s="11" t="n">
        <v>8</v>
      </c>
      <c r="D842" s="11" t="inlineStr">
        <is>
          <t>Open 'Outcome'.</t>
        </is>
      </c>
      <c r="E842" s="11" t="inlineStr">
        <is>
          <t>'Complete' is greyed out and cannot be chosen; 'Partial - a gap is named' and 'No records held anywhere' can.</t>
        </is>
      </c>
      <c r="F842" s="16" t="n"/>
      <c r="G842" s="16" t="n"/>
    </row>
    <row r="843">
      <c r="A843" s="10" t="inlineStr">
        <is>
          <t>RGT-18</t>
        </is>
      </c>
      <c r="B843" s="11" t="inlineStr">
        <is>
          <t>Complete is held back while an erasure item is not carried out; the response goes out Partial naming what remains</t>
        </is>
      </c>
      <c r="C843" s="11" t="n">
        <v>9</v>
      </c>
      <c r="D843" s="11" t="inlineStr">
        <is>
          <t>Keep 'Partial - a gap is named', type the response and click 'Release and close'.</t>
        </is>
      </c>
      <c r="E843" s="11" t="inlineStr">
        <is>
          <t>'Released and closed' appears; the header badge reads 'Partial'; the 'Response' card shows 'Partial · &lt;date&gt;'.</t>
        </is>
      </c>
      <c r="F843" s="16" t="n"/>
      <c r="G843" s="16" t="n"/>
    </row>
    <row r="844">
      <c r="A844" s="10" t="inlineStr">
        <is>
          <t>RGT-18</t>
        </is>
      </c>
      <c r="B844" s="11" t="inlineStr">
        <is>
          <t>Complete is held back while an erasure item is not carried out; the response goes out Partial naming what remains</t>
        </is>
      </c>
      <c r="C844" s="11" t="n">
        <v>10</v>
      </c>
      <c r="D844" s="11" t="inlineStr">
        <is>
          <t>Ask the coordinator to show the response mail to subject@cmp.local.</t>
        </is>
      </c>
      <c r="E844" s="11" t="inlineStr">
        <is>
          <t>'WHAT WAS DONE WITH EACH ITEM' shows '- &lt;asset P&gt;: Decided for erasure and kept out of use; not yet carried out.' and a line 'NOT YET DONE: &lt;asset P&gt;. This response is partial; what remains is named rather than claimed.' The word 'Erased.' does not appear for asset P.</t>
        </is>
      </c>
      <c r="F844" s="16" t="n"/>
      <c r="G844" s="16" t="n"/>
    </row>
    <row r="845">
      <c r="A845" s="10" t="inlineStr">
        <is>
          <t>RGT-18</t>
        </is>
      </c>
      <c r="B845" s="11" t="inlineStr">
        <is>
          <t>Complete is held back while an erasure item is not carried out; the response goes out Partial naming what remains</t>
        </is>
      </c>
      <c r="C845" s="11" t="n">
        <v>11</v>
      </c>
      <c r="D845" s="11" t="inlineStr">
        <is>
          <t>In Browser A reload 'My requests', check RR-P, click 'Download the file' and open it.</t>
        </is>
      </c>
      <c r="E845" s="11" t="inlineStr">
        <is>
          <t>RR-P shows 'Partial' with the response. In the file, 'execution' lists asset P with done false and the 'Decided for erasure...' outcome, 'not_done' names asset P, and 'kept_as_evidence' is present.</t>
        </is>
      </c>
      <c r="F845" s="16" t="n"/>
      <c r="G845" s="16" t="n"/>
    </row>
    <row r="846">
      <c r="A846" s="10" t="inlineStr">
        <is>
          <t>RGT-20</t>
        </is>
      </c>
      <c r="B846" s="11" t="inlineStr">
        <is>
          <t>Principal disputes a response; the grievance is linked and the DPO decides it</t>
        </is>
      </c>
      <c r="C846" s="11" t="n">
        <v>1</v>
      </c>
      <c r="D846" s="11" t="inlineStr">
        <is>
          <t>In Browser A on 'My requests' click 'Show details' on RR-A, then 'Dispute this response'.</t>
        </is>
      </c>
      <c r="E846" s="11" t="inlineStr">
        <is>
          <t>A dialog 'Dispute RR-A' opens: 'A grievance under section 13. Say what was wrong with the handling - late, incomplete, sent the wrong way, or the outcome itself.' with 'What was wrong', the checkbox 'This is about the Data Protection Officer's own decisions.', 'Cancel' and 'Raise the grievance'.</t>
        </is>
      </c>
      <c r="F846" s="16" t="n"/>
      <c r="G846" s="16" t="n"/>
    </row>
    <row r="847">
      <c r="A847" s="10" t="inlineStr">
        <is>
          <t>RGT-20</t>
        </is>
      </c>
      <c r="B847" s="11" t="inlineStr">
        <is>
          <t>Principal disputes a response; the grievance is linked and the DPO decides it</t>
        </is>
      </c>
      <c r="C847" s="11" t="n">
        <v>2</v>
      </c>
      <c r="D847" s="11" t="inlineStr">
        <is>
          <t>Type 'short' in 'What was wrong' and click 'Raise the grievance'.</t>
        </is>
      </c>
      <c r="E847" s="11" t="inlineStr">
        <is>
          <t>The error 'Say what you are asking for, in a sentence or two.' appears; nothing is recorded.</t>
        </is>
      </c>
      <c r="F847" s="16" t="n"/>
      <c r="G847" s="16" t="n"/>
    </row>
    <row r="848">
      <c r="A848" s="10" t="inlineStr">
        <is>
          <t>RGT-20</t>
        </is>
      </c>
      <c r="B848" s="11" t="inlineStr">
        <is>
          <t>Principal disputes a response; the grievance is linked and the DPO decides it</t>
        </is>
      </c>
      <c r="C848" s="11" t="n">
        <v>3</v>
      </c>
      <c r="D848" s="11" t="inlineStr">
        <is>
          <t>Type the full text, leave the checkbox unticked and click 'Raise the grievance'.</t>
        </is>
      </c>
      <c r="E848" s="11" t="inlineStr">
        <is>
          <t>'Grievance recorded as RR-...' with 'It is linked to the original request.' appears. Note RR-G.</t>
        </is>
      </c>
      <c r="F848" s="16" t="n"/>
      <c r="G848" s="16" t="n"/>
    </row>
    <row r="849">
      <c r="A849" s="10" t="inlineStr">
        <is>
          <t>RGT-20</t>
        </is>
      </c>
      <c r="B849" s="11" t="inlineStr">
        <is>
          <t>Principal disputes a response; the grievance is linked and the DPO decides it</t>
        </is>
      </c>
      <c r="C849" s="11" t="n">
        <v>4</v>
      </c>
      <c r="D849" s="11" t="inlineStr">
        <is>
          <t>Click 'Show details' on the RR-G card.</t>
        </is>
      </c>
      <c r="E849" s="11" t="inlineStr">
        <is>
          <t>RR-G shows 'Complaint (grievance) · s.13', 'Received' and a box 'What you disputed' naming RR-A with 'Complete: &lt;start of the answer&gt;' and 'See RR-A in full'.</t>
        </is>
      </c>
      <c r="F849" s="16" t="n"/>
      <c r="G849" s="16" t="n"/>
    </row>
    <row r="850">
      <c r="A850" s="10" t="inlineStr">
        <is>
          <t>RGT-20</t>
        </is>
      </c>
      <c r="B850" s="11" t="inlineStr">
        <is>
          <t>Principal disputes a response; the grievance is linked and the DPO decides it</t>
        </is>
      </c>
      <c r="C850" s="11" t="n">
        <v>5</v>
      </c>
      <c r="D850" s="11" t="inlineStr">
        <is>
          <t>Click 'See RR-A in full'.</t>
        </is>
      </c>
      <c r="E850" s="11" t="inlineStr">
        <is>
          <t>The page scrolls to RR-A, opens it and briefly highlights it. RR-A shows 'You disputed this in RR-G' with 'See it'.</t>
        </is>
      </c>
      <c r="F850" s="16" t="n"/>
      <c r="G850" s="16" t="n"/>
    </row>
    <row r="851">
      <c r="A851" s="10" t="inlineStr">
        <is>
          <t>RGT-20</t>
        </is>
      </c>
      <c r="B851" s="11" t="inlineStr">
        <is>
          <t>Principal disputes a response; the grievance is linked and the DPO decides it</t>
        </is>
      </c>
      <c r="C851" s="11" t="n">
        <v>6</v>
      </c>
      <c r="D851" s="11" t="inlineStr">
        <is>
          <t>In Browser B open RR-G from 'Rights requests'.</t>
        </is>
      </c>
      <c r="E851" s="11" t="inlineStr">
        <is>
          <t>The line under the heading reads 'Complaint (grievance) · s.13 · Portal'. 'About' shows RR-A with 'the request under dispute, shown below', and a card 'The request under dispute' shows RR-A's dates, what was asked and its answer.</t>
        </is>
      </c>
      <c r="F851" s="16" t="n"/>
      <c r="G851" s="16" t="n"/>
    </row>
    <row r="852">
      <c r="A852" s="10" t="inlineStr">
        <is>
          <t>RGT-20</t>
        </is>
      </c>
      <c r="B852" s="11" t="inlineStr">
        <is>
          <t>Principal disputes a response; the grievance is linked and the DPO decides it</t>
        </is>
      </c>
      <c r="C852" s="11" t="n">
        <v>7</v>
      </c>
      <c r="D852" s="11" t="inlineStr">
        <is>
          <t>Look at '4 · Linked, and about whom?'.</t>
        </is>
      </c>
      <c r="E852" s="11" t="inlineStr">
        <is>
          <t>It contains 'Is the complaint about the DPO?' with the text '...Recuse if this concerns your handling.' and a button 'This is about me - escalate' (do not click it).</t>
        </is>
      </c>
      <c r="F852" s="16" t="n"/>
      <c r="G852" s="16" t="n"/>
    </row>
    <row r="853">
      <c r="A853" s="10" t="inlineStr">
        <is>
          <t>RGT-20</t>
        </is>
      </c>
      <c r="B853" s="11" t="inlineStr">
        <is>
          <t>Principal disputes a response; the grievance is linked and the DPO decides it</t>
        </is>
      </c>
      <c r="C853" s="11" t="n">
        <v>8</v>
      </c>
      <c r="D853" s="11" t="inlineStr">
        <is>
          <t>Click 'Confirm classification' (Complaint (grievance) (s.13)) and then 'In progress'.</t>
        </is>
      </c>
      <c r="E853" s="11" t="inlineStr">
        <is>
          <t>The request is 'In progress' and a card '6 · Is it upheld?' appears with 'Decision' ('Upheld'), 'What was found, and why', 'Remedy' and a ticked checkbox 'Re-run RR-A as a new request linked to this decision.' 'Decide and close' is greyed out.</t>
        </is>
      </c>
      <c r="F853" s="16" t="n"/>
      <c r="G853" s="16" t="n"/>
    </row>
    <row r="854">
      <c r="A854" s="10" t="inlineStr">
        <is>
          <t>RGT-20</t>
        </is>
      </c>
      <c r="B854" s="11" t="inlineStr">
        <is>
          <t>Principal disputes a response; the grievance is linked and the DPO decides it</t>
        </is>
      </c>
      <c r="C854" s="11" t="n">
        <v>9</v>
      </c>
      <c r="D854" s="11" t="inlineStr">
        <is>
          <t>Change 'Decision' to 'Not upheld', type the finding and click 'Decide and close'.</t>
        </is>
      </c>
      <c r="E854" s="11" t="inlineStr">
        <is>
          <t>'Remedy' and the re-run checkbox disappear. After the click, 'Not upheld' appears and the header badge reads 'Not upheld'.</t>
        </is>
      </c>
      <c r="F854" s="16" t="n"/>
      <c r="G854" s="16" t="n"/>
    </row>
    <row r="855">
      <c r="A855" s="10" t="inlineStr">
        <is>
          <t>RGT-20</t>
        </is>
      </c>
      <c r="B855" s="11" t="inlineStr">
        <is>
          <t>Principal disputes a response; the grievance is linked and the DPO decides it</t>
        </is>
      </c>
      <c r="C855" s="11" t="n">
        <v>10</v>
      </c>
      <c r="D855" s="11" t="inlineStr">
        <is>
          <t>In Browser A reload 'My requests' and click 'Show details' on RR-G.</t>
        </is>
      </c>
      <c r="E855" s="11" t="inlineStr">
        <is>
          <t>RR-G shows 'Not upheld', 'Our response' with the finding and the Data Protection Board note. There is no 'Dispute this response' button on a grievance.</t>
        </is>
      </c>
      <c r="F855" s="16" t="n"/>
      <c r="G855" s="16" t="n"/>
    </row>
    <row r="856">
      <c r="A856" s="10" t="inlineStr">
        <is>
          <t>RGT-21</t>
        </is>
      </c>
      <c r="B856" s="11" t="inlineStr">
        <is>
          <t>A grievance about the DPO goes to the administrator, who reviews and decides it</t>
        </is>
      </c>
      <c r="C856" s="11" t="n">
        <v>1</v>
      </c>
      <c r="D856" s="11" t="inlineStr">
        <is>
          <t>In Browser A click 'Make a request', choose 'Complaint (grievance) (s.13)', type the text, tick 'This complaint is about the Data Protection Officer's own decisions.' and click 'Send the request'.</t>
        </is>
      </c>
      <c r="E856" s="11" t="inlineStr">
        <is>
          <t>There is no 'About' field for a grievance. 'Recorded as RR-...' appears. Note RR-D.</t>
        </is>
      </c>
      <c r="F856" s="16" t="n"/>
      <c r="G856" s="16" t="n"/>
    </row>
    <row r="857">
      <c r="A857" s="10" t="inlineStr">
        <is>
          <t>RGT-21</t>
        </is>
      </c>
      <c r="B857" s="11" t="inlineStr">
        <is>
          <t>A grievance about the DPO goes to the administrator, who reviews and decides it</t>
        </is>
      </c>
      <c r="C857" s="11" t="n">
        <v>2</v>
      </c>
      <c r="D857" s="11" t="inlineStr">
        <is>
          <t>In Browser B (DPO) open 'Rights requests'.</t>
        </is>
      </c>
      <c r="E857" s="11" t="inlineStr">
        <is>
          <t>RR-D is listed with the small label 'about the DPO' under the reference.</t>
        </is>
      </c>
      <c r="F857" s="16" t="n"/>
      <c r="G857" s="16" t="n"/>
    </row>
    <row r="858">
      <c r="A858" s="10" t="inlineStr">
        <is>
          <t>RGT-21</t>
        </is>
      </c>
      <c r="B858" s="11" t="inlineStr">
        <is>
          <t>A grievance about the DPO goes to the administrator, who reviews and decides it</t>
        </is>
      </c>
      <c r="C858" s="11" t="n">
        <v>3</v>
      </c>
      <c r="D858" s="11" t="inlineStr">
        <is>
          <t>Open RR-D and read 'Reviewer' and '4 · Linked, and about whom?'.</t>
        </is>
      </c>
      <c r="E858" s="11" t="inlineStr">
        <is>
          <t>'Reviewer' reads 'Not yet assigned - an administrator names one'. The card says 'Yes - escalated to an independent reviewer... No reviewer assigned yet.' There is no 'This is about me - escalate' button.</t>
        </is>
      </c>
      <c r="F858" s="16" t="n"/>
      <c r="G858" s="16" t="n"/>
    </row>
    <row r="859">
      <c r="A859" s="10" t="inlineStr">
        <is>
          <t>RGT-21</t>
        </is>
      </c>
      <c r="B859" s="11" t="inlineStr">
        <is>
          <t>A grievance about the DPO goes to the administrator, who reviews and decides it</t>
        </is>
      </c>
      <c r="C859" s="11" t="n">
        <v>4</v>
      </c>
      <c r="D859" s="11" t="inlineStr">
        <is>
          <t>Click 'Confirm classification', then look at 'What happens next'.</t>
        </is>
      </c>
      <c r="E859" s="11" t="inlineStr">
        <is>
          <t>'Classified' appears. 'Move to in progress' is blocked by 'The complaint concerns the DPO - a reviewer independent of the DPO must be assigned'.</t>
        </is>
      </c>
      <c r="F859" s="16" t="n"/>
      <c r="G859" s="16" t="n"/>
    </row>
    <row r="860">
      <c r="A860" s="10" t="inlineStr">
        <is>
          <t>RGT-21</t>
        </is>
      </c>
      <c r="B860" s="11" t="inlineStr">
        <is>
          <t>A grievance about the DPO goes to the administrator, who reviews and decides it</t>
        </is>
      </c>
      <c r="C860" s="11" t="n">
        <v>5</v>
      </c>
      <c r="D860" s="11" t="inlineStr">
        <is>
          <t>In Browser C open http://localhost:3000. Type admin@cmp.local in 'Email or username' and SeedPassw0rd!2026 in 'Password' and click 'Sign in'. If the 'Verify it is you' page appears, ask the coordinator for the code, type it in '6-digit code' and click 'Verify and continue'.</t>
        </is>
      </c>
      <c r="E860" s="11" t="inlineStr">
        <is>
          <t>The Dashboard opens, signed in as System Admin. The sidebar shows 'Grievances about the DPO' instead of 'Rights requests'.</t>
        </is>
      </c>
      <c r="F860" s="16" t="n"/>
      <c r="G860" s="16" t="n"/>
    </row>
    <row r="861">
      <c r="A861" s="10" t="inlineStr">
        <is>
          <t>RGT-21</t>
        </is>
      </c>
      <c r="B861" s="11" t="inlineStr">
        <is>
          <t>A grievance about the DPO goes to the administrator, who reviews and decides it</t>
        </is>
      </c>
      <c r="C861" s="11" t="n">
        <v>6</v>
      </c>
      <c r="D861" s="11" t="inlineStr">
        <is>
          <t>Click 'Grievances about the DPO'.</t>
        </is>
      </c>
      <c r="E861" s="11" t="inlineStr">
        <is>
          <t>The page 'Grievances about the DPO' reads 'Grievances about the DPO, escalated to you as the independent reviewer. Accountability cannot review itself.' There is no 'Log a request received by email' button. RR-D is listed; RR-A, RR-E and RR-G are not.</t>
        </is>
      </c>
      <c r="F861" s="16" t="n"/>
      <c r="G861" s="16" t="n"/>
    </row>
    <row r="862">
      <c r="A862" s="10" t="inlineStr">
        <is>
          <t>RGT-21</t>
        </is>
      </c>
      <c r="B862" s="11" t="inlineStr">
        <is>
          <t>A grievance about the DPO goes to the administrator, who reviews and decides it</t>
        </is>
      </c>
      <c r="C862" s="11" t="n">
        <v>7</v>
      </c>
      <c r="D862" s="11" t="inlineStr">
        <is>
          <t>Paste the URL of RR-A into Browser C.</t>
        </is>
      </c>
      <c r="E862" s="11" t="inlineStr">
        <is>
          <t>The page shows 'Could not load this request' - the administrator cannot open requests that are not escalated to them.</t>
        </is>
      </c>
      <c r="F862" s="16" t="n"/>
      <c r="G862" s="16" t="n"/>
    </row>
    <row r="863">
      <c r="A863" s="10" t="inlineStr">
        <is>
          <t>RGT-21</t>
        </is>
      </c>
      <c r="B863" s="11" t="inlineStr">
        <is>
          <t>A grievance about the DPO goes to the administrator, who reviews and decides it</t>
        </is>
      </c>
      <c r="C863" s="11" t="n">
        <v>8</v>
      </c>
      <c r="D863" s="11" t="inlineStr">
        <is>
          <t>Open RR-D. In the classification card choose 'System Admin · admin@cmp.local' in 'Reviewer' and click 'Assign'.</t>
        </is>
      </c>
      <c r="E863" s="11" t="inlineStr">
        <is>
          <t>'Reviewer assigned' appears; the card reads '... Reviewer: System Admin.' and the 'Reviewer' detail shows System Admin.</t>
        </is>
      </c>
      <c r="F863" s="16" t="n"/>
      <c r="G863" s="16" t="n"/>
    </row>
    <row r="864">
      <c r="A864" s="10" t="inlineStr">
        <is>
          <t>RGT-21</t>
        </is>
      </c>
      <c r="B864" s="11" t="inlineStr">
        <is>
          <t>A grievance about the DPO goes to the administrator, who reviews and decides it</t>
        </is>
      </c>
      <c r="C864" s="11" t="n">
        <v>9</v>
      </c>
      <c r="D864" s="11" t="inlineStr">
        <is>
          <t>In 'What happens next' click 'In progress'.</t>
        </is>
      </c>
      <c r="E864" s="11" t="inlineStr">
        <is>
          <t>'Moved to In progress' appears; a card '6 · Is it upheld?' appears.</t>
        </is>
      </c>
      <c r="F864" s="16" t="n"/>
      <c r="G864" s="16" t="n"/>
    </row>
    <row r="865">
      <c r="A865" s="10" t="inlineStr">
        <is>
          <t>RGT-21</t>
        </is>
      </c>
      <c r="B865" s="11" t="inlineStr">
        <is>
          <t>A grievance about the DPO goes to the administrator, who reviews and decides it</t>
        </is>
      </c>
      <c r="C865" s="11" t="n">
        <v>10</v>
      </c>
      <c r="D865" s="11" t="inlineStr">
        <is>
          <t>In Browser B (DPO) reload RR-D, choose 'Not upheld', type a finding and click 'Decide and close'.</t>
        </is>
      </c>
      <c r="E865" s="11" t="inlineStr">
        <is>
          <t>The message 'Not decided' with 'A complaint about the DPO is decided by the independent reviewer' appears. RR-D stays 'In progress'.</t>
        </is>
      </c>
      <c r="F865" s="16" t="n"/>
      <c r="G865" s="16" t="n"/>
    </row>
    <row r="866">
      <c r="A866" s="10" t="inlineStr">
        <is>
          <t>RGT-21</t>
        </is>
      </c>
      <c r="B866" s="11" t="inlineStr">
        <is>
          <t>A grievance about the DPO goes to the administrator, who reviews and decides it</t>
        </is>
      </c>
      <c r="C866" s="11" t="n">
        <v>11</v>
      </c>
      <c r="D866" s="11" t="inlineStr">
        <is>
          <t>In Browser C keep 'Upheld', type a finding in 'What was found, and why' and the remedy in 'Remedy', and click 'Decide and close'.</t>
        </is>
      </c>
      <c r="E866" s="11" t="inlineStr">
        <is>
          <t>'Upheld' appears and the header badge reads 'Upheld'.</t>
        </is>
      </c>
      <c r="F866" s="16" t="n"/>
      <c r="G866" s="16" t="n"/>
    </row>
    <row r="867">
      <c r="A867" s="10" t="inlineStr">
        <is>
          <t>RGT-21</t>
        </is>
      </c>
      <c r="B867" s="11" t="inlineStr">
        <is>
          <t>A grievance about the DPO goes to the administrator, who reviews and decides it</t>
        </is>
      </c>
      <c r="C867" s="11" t="n">
        <v>12</v>
      </c>
      <c r="D867" s="11" t="inlineStr">
        <is>
          <t>In Browser A reload 'My requests' and click 'Show details' on RR-D.</t>
        </is>
      </c>
      <c r="E867" s="11" t="inlineStr">
        <is>
          <t>RR-D shows 'Upheld', 'Our response' with the finding and a line 'Remedy: &lt;remedy&gt;'.</t>
        </is>
      </c>
      <c r="F867" s="16" t="n"/>
      <c r="G867" s="16" t="n"/>
    </row>
    <row r="868">
      <c r="A868" s="10" t="inlineStr">
        <is>
          <t>RGT-22</t>
        </is>
      </c>
      <c r="B868" s="11" t="inlineStr">
        <is>
          <t>Principal names a nominee, who accepts with a code</t>
        </is>
      </c>
      <c r="C868" s="11" t="n">
        <v>1</v>
      </c>
      <c r="D868" s="11" t="inlineStr">
        <is>
          <t>In Browser A click 'My nominations' in the sidebar and find the card 'Somebody to act for you'.</t>
        </is>
      </c>
      <c r="E868" s="11" t="inlineStr">
        <is>
          <t>The card explains 'Section 14. A person you name, while you are well, to exercise these rights if you die or cannot act. Nothing is in effect until they accept...' and shows 'Their name', 'Their mobile', 'Their email', 'Which of your rights they may exercise' (three boxes - 'Access (s.11)', 'Erasure (s.12(3))', 'Complaint (grievance) (s.13)' - all ticked) and 'Nominate'.</t>
        </is>
      </c>
      <c r="F868" s="16" t="n"/>
      <c r="G868" s="16" t="n"/>
    </row>
    <row r="869">
      <c r="A869" s="10" t="inlineStr">
        <is>
          <t>RGT-22</t>
        </is>
      </c>
      <c r="B869" s="11" t="inlineStr">
        <is>
          <t>Principal names a nominee, who accepts with a code</t>
        </is>
      </c>
      <c r="C869" s="11" t="n">
        <v>2</v>
      </c>
      <c r="D869" s="11" t="inlineStr">
        <is>
          <t>Fill in the test data, untick 'Complaint (grievance) (s.13)', and click 'Nominate'.</t>
        </is>
      </c>
      <c r="E869" s="11" t="inlineStr">
        <is>
          <t>'Nomination recorded' with 'We have asked Rahul Verma to accept. It is not usable until they do.' appears.</t>
        </is>
      </c>
      <c r="F869" s="16" t="n"/>
      <c r="G869" s="16" t="n"/>
    </row>
    <row r="870">
      <c r="A870" s="10" t="inlineStr">
        <is>
          <t>RGT-22</t>
        </is>
      </c>
      <c r="B870" s="11" t="inlineStr">
        <is>
          <t>Principal names a nominee, who accepts with a code</t>
        </is>
      </c>
      <c r="C870" s="11" t="n">
        <v>3</v>
      </c>
      <c r="D870" s="11" t="inlineStr">
        <is>
          <t>Look at the card.</t>
        </is>
      </c>
      <c r="E870" s="11" t="inlineStr">
        <is>
          <t>It shows Rahul Verma with his mobile and email, the badge 'Waiting for the nominee to accept', 'May ask for: access, erasure.', a warning 'Not yet usable. We have sent Rahul Verma a link to accept - it expires on &lt;date&gt;. A nomination they have not accepted cannot be acted on.' and 'Revoke this nomination'.</t>
        </is>
      </c>
      <c r="F870" s="16" t="n"/>
      <c r="G870" s="16" t="n"/>
    </row>
    <row r="871">
      <c r="A871" s="10" t="inlineStr">
        <is>
          <t>RGT-22</t>
        </is>
      </c>
      <c r="B871" s="11" t="inlineStr">
        <is>
          <t>Principal names a nominee, who accepts with a code</t>
        </is>
      </c>
      <c r="C871" s="11" t="n">
        <v>4</v>
      </c>
      <c r="D871" s="11" t="inlineStr">
        <is>
          <t>Ask the coordinator for the acceptance link sent to Rahul Verma and open it in Browser D (not signed in).</t>
        </is>
      </c>
      <c r="E871" s="11" t="inlineStr">
        <is>
          <t>The page 'A nomination for you' opens with a card 'Anjali Verma has nominated you' listing only 'Access (s.11)' and 'Erasure (s.12(3))', a note that nothing happens now, 'This link expires on &lt;date&gt;.', a section 'First, prove it is you' with radio buttons 'Mobile' and 'Email' (masked), 'Send me a code', and greyed-out 'Accept the nomination' and 'Decline'.</t>
        </is>
      </c>
      <c r="F871" s="16" t="n"/>
      <c r="G871" s="16" t="n"/>
    </row>
    <row r="872">
      <c r="A872" s="10" t="inlineStr">
        <is>
          <t>RGT-22</t>
        </is>
      </c>
      <c r="B872" s="11" t="inlineStr">
        <is>
          <t>Principal names a nominee, who accepts with a code</t>
        </is>
      </c>
      <c r="C872" s="11" t="n">
        <v>5</v>
      </c>
      <c r="D872" s="11" t="inlineStr">
        <is>
          <t>Choose 'Mobile' and click 'Send me a code'.</t>
        </is>
      </c>
      <c r="E872" s="11" t="inlineStr">
        <is>
          <t>A line confirms a code was sent and a 'Six-digit code' box appears.</t>
        </is>
      </c>
      <c r="F872" s="16" t="n"/>
      <c r="G872" s="16" t="n"/>
    </row>
    <row r="873">
      <c r="A873" s="10" t="inlineStr">
        <is>
          <t>RGT-22</t>
        </is>
      </c>
      <c r="B873" s="11" t="inlineStr">
        <is>
          <t>Principal names a nominee, who accepts with a code</t>
        </is>
      </c>
      <c r="C873" s="11" t="n">
        <v>6</v>
      </c>
      <c r="D873" s="11" t="inlineStr">
        <is>
          <t>Type 000000 and click 'Accept the nomination'.</t>
        </is>
      </c>
      <c r="E873" s="11" t="inlineStr">
        <is>
          <t>An error appears under the code box; the page stays on the nomination and nothing is accepted.</t>
        </is>
      </c>
      <c r="F873" s="16" t="n"/>
      <c r="G873" s="16" t="n"/>
    </row>
    <row r="874">
      <c r="A874" s="10" t="inlineStr">
        <is>
          <t>RGT-22</t>
        </is>
      </c>
      <c r="B874" s="11" t="inlineStr">
        <is>
          <t>Principal names a nominee, who accepts with a code</t>
        </is>
      </c>
      <c r="C874" s="11" t="n">
        <v>7</v>
      </c>
      <c r="D874" s="11" t="inlineStr">
        <is>
          <t>Ask the coordinator for the code sent to +91 90000 00077, type it and click 'Accept the nomination'.</t>
        </is>
      </c>
      <c r="E874" s="11" t="inlineStr">
        <is>
          <t>A box 'Accepted' reads 'You are now Anjali Verma's nominee. Nothing happens until the event she named - death or incapacity... Your nomination reference is &lt;reference&gt;...'. A card 'Keep your nomination reference' shows the reference, 'Copy', a 'Sign in' link and 'Act on their behalf'.</t>
        </is>
      </c>
      <c r="F874" s="16" t="n"/>
      <c r="G874" s="16" t="n"/>
    </row>
    <row r="875">
      <c r="A875" s="10" t="inlineStr">
        <is>
          <t>RGT-22</t>
        </is>
      </c>
      <c r="B875" s="11" t="inlineStr">
        <is>
          <t>Principal names a nominee, who accepts with a code</t>
        </is>
      </c>
      <c r="C875" s="11" t="n">
        <v>8</v>
      </c>
      <c r="D875" s="11" t="inlineStr">
        <is>
          <t>Click 'Copy'.</t>
        </is>
      </c>
      <c r="E875" s="11" t="inlineStr">
        <is>
          <t>The button briefly reads 'Copied'. Keep the reference for RGT-23.</t>
        </is>
      </c>
      <c r="F875" s="16" t="n"/>
      <c r="G875" s="16" t="n"/>
    </row>
    <row r="876">
      <c r="A876" s="10" t="inlineStr">
        <is>
          <t>RGT-22</t>
        </is>
      </c>
      <c r="B876" s="11" t="inlineStr">
        <is>
          <t>Principal names a nominee, who accepts with a code</t>
        </is>
      </c>
      <c r="C876" s="11" t="n">
        <v>9</v>
      </c>
      <c r="D876" s="11" t="inlineStr">
        <is>
          <t>In Browser A reload 'My nominations'.</t>
        </is>
      </c>
      <c r="E876" s="11" t="inlineStr">
        <is>
          <t>The card shows the badge 'In place' and 'In place. If the time comes, Rahul Verma will identify themselves with the contact you recorded, evidence the event, and the request will run as normal.' with 'Their nomination reference: &lt;same reference&gt;'.</t>
        </is>
      </c>
      <c r="F876" s="16" t="n"/>
      <c r="G876" s="16" t="n"/>
    </row>
    <row r="877">
      <c r="A877" s="10" t="inlineStr">
        <is>
          <t>RGT-22</t>
        </is>
      </c>
      <c r="B877" s="11" t="inlineStr">
        <is>
          <t>Principal names a nominee, who accepts with a code</t>
        </is>
      </c>
      <c r="C877" s="11" t="n">
        <v>10</v>
      </c>
      <c r="D877" s="11" t="inlineStr">
        <is>
          <t>In Browser D open the acceptance link again.</t>
        </is>
      </c>
      <c r="E877" s="11" t="inlineStr">
        <is>
          <t>The page shows 'This link is not valid' - 'It may have expired, been used already, or been revoked. Nothing has been recorded.'</t>
        </is>
      </c>
      <c r="F877" s="16" t="n"/>
      <c r="G877" s="16" t="n"/>
    </row>
    <row r="878">
      <c r="A878" s="10" t="inlineStr">
        <is>
          <t>RGT-23</t>
        </is>
      </c>
      <c r="B878" s="11" t="inlineStr">
        <is>
          <t>Nominee acts on the principal's incapacity; the DPO evidences the event before the request runs</t>
        </is>
      </c>
      <c r="C878" s="11" t="n">
        <v>1</v>
      </c>
      <c r="D878" s="11" t="inlineStr">
        <is>
          <t>In Browser D click 'Act on their behalf' (or open http://localhost:3001/rights/nominee?nomination=&lt;reference&gt;).</t>
        </is>
      </c>
      <c r="E878" s="11" t="inlineStr">
        <is>
          <t>The page 'Acting for someone who nominated you' opens with '1. Who you are'; 'The nomination reference' is already filled in.</t>
        </is>
      </c>
      <c r="F878" s="16" t="n"/>
      <c r="G878" s="16" t="n"/>
    </row>
    <row r="879">
      <c r="A879" s="10" t="inlineStr">
        <is>
          <t>RGT-23</t>
        </is>
      </c>
      <c r="B879" s="11" t="inlineStr">
        <is>
          <t>Nominee acts on the principal's incapacity; the DPO evidences the event before the request runs</t>
        </is>
      </c>
      <c r="C879" s="11" t="n">
        <v>2</v>
      </c>
      <c r="D879" s="11" t="inlineStr">
        <is>
          <t>Type +91 90000 00077 in 'Your email or mobile' and click 'Send me a code'.</t>
        </is>
      </c>
      <c r="E879" s="11" t="inlineStr">
        <is>
          <t>A blue note reads 'If that nomination is in place and the contact matches the one recorded, a verification code has been sent to it.' The fields lock and a card '2. The request' appears.</t>
        </is>
      </c>
      <c r="F879" s="16" t="n"/>
      <c r="G879" s="16" t="n"/>
    </row>
    <row r="880">
      <c r="A880" s="10" t="inlineStr">
        <is>
          <t>RGT-23</t>
        </is>
      </c>
      <c r="B880" s="11" t="inlineStr">
        <is>
          <t>Nominee acts on the principal's incapacity; the DPO evidences the event before the request runs</t>
        </is>
      </c>
      <c r="C880" s="11" t="n">
        <v>3</v>
      </c>
      <c r="D880" s="11" t="inlineStr">
        <is>
          <t>Enter the code the coordinator relays in 'The code we sent'. Fill in the request as per the test data and choose the evidence file under 'Evidence'.</t>
        </is>
      </c>
      <c r="E880" s="11" t="inlineStr">
        <is>
          <t>'What has happened' offers 'They have died' and 'They are unable to act'; the evidence hint reads 'A certificate or a medical letter. PDF or image, up to 25 MB.' 'Record the request' becomes available once the code and at least 10 characters are entered.</t>
        </is>
      </c>
      <c r="F880" s="16" t="n"/>
      <c r="G880" s="16" t="n"/>
    </row>
    <row r="881">
      <c r="A881" s="10" t="inlineStr">
        <is>
          <t>RGT-23</t>
        </is>
      </c>
      <c r="B881" s="11" t="inlineStr">
        <is>
          <t>Nominee acts on the principal's incapacity; the DPO evidences the event before the request runs</t>
        </is>
      </c>
      <c r="C881" s="11" t="n">
        <v>4</v>
      </c>
      <c r="D881" s="11" t="inlineStr">
        <is>
          <t>Click 'Record the request'.</t>
        </is>
      </c>
      <c r="E881" s="11" t="inlineStr">
        <is>
          <t>A green box 'Recorded as RR-...' reads '... The Privacy Office will first decide whether the event is evidenced, then handle the request as normal and respond to you.' Note RR-N.</t>
        </is>
      </c>
      <c r="F881" s="16" t="n"/>
      <c r="G881" s="16" t="n"/>
    </row>
    <row r="882">
      <c r="A882" s="10" t="inlineStr">
        <is>
          <t>RGT-23</t>
        </is>
      </c>
      <c r="B882" s="11" t="inlineStr">
        <is>
          <t>Nominee acts on the principal's incapacity; the DPO evidences the event before the request runs</t>
        </is>
      </c>
      <c r="C882" s="11" t="n">
        <v>5</v>
      </c>
      <c r="D882" s="11" t="inlineStr">
        <is>
          <t>In Browser B (DPO) open RR-N from 'Rights requests'.</t>
        </is>
      </c>
      <c r="E882" s="11" t="inlineStr">
        <is>
          <t>The line under the heading reads 'Access · s.11 · Nominee'. A 'Nominee' detail shows 'Rahul Verma (&lt;contact&gt;) · reports the principal cannot act' with an 'evidence' link.</t>
        </is>
      </c>
      <c r="F882" s="16" t="n"/>
      <c r="G882" s="16" t="n"/>
    </row>
    <row r="883">
      <c r="A883" s="10" t="inlineStr">
        <is>
          <t>RGT-23</t>
        </is>
      </c>
      <c r="B883" s="11" t="inlineStr">
        <is>
          <t>Nominee acts on the principal's incapacity; the DPO evidences the event before the request runs</t>
        </is>
      </c>
      <c r="C883" s="11" t="n">
        <v>6</v>
      </c>
      <c r="D883" s="11" t="inlineStr">
        <is>
          <t>Click the 'evidence' link.</t>
        </is>
      </c>
      <c r="E883" s="11" t="inlineStr">
        <is>
          <t>The medical letter downloads.</t>
        </is>
      </c>
      <c r="F883" s="16" t="n"/>
      <c r="G883" s="16" t="n"/>
    </row>
    <row r="884">
      <c r="A884" s="10" t="inlineStr">
        <is>
          <t>RGT-23</t>
        </is>
      </c>
      <c r="B884" s="11" t="inlineStr">
        <is>
          <t>Nominee acts on the principal's incapacity; the DPO evidences the event before the request runs</t>
        </is>
      </c>
      <c r="C884" s="11" t="n">
        <v>7</v>
      </c>
      <c r="D884" s="11" t="inlineStr">
        <is>
          <t>Click 'Confirm classification', then look at 'What happens next' and the classification card.</t>
        </is>
      </c>
      <c r="E884" s="11" t="inlineStr">
        <is>
          <t>'Move to in progress' is blocked by 'The triggering event is not evidenced'. The card shows 'Is the triggering event evidenced?' with 'Rahul Verma says the principal cannot act...' and buttons 'Evidenced to our standard' and 'Not evidenced - refuse'.</t>
        </is>
      </c>
      <c r="F884" s="16" t="n"/>
      <c r="G884" s="16" t="n"/>
    </row>
    <row r="885">
      <c r="A885" s="10" t="inlineStr">
        <is>
          <t>RGT-23</t>
        </is>
      </c>
      <c r="B885" s="11" t="inlineStr">
        <is>
          <t>Nominee acts on the principal's incapacity; the DPO evidences the event before the request runs</t>
        </is>
      </c>
      <c r="C885" s="11" t="n">
        <v>8</v>
      </c>
      <c r="D885" s="11" t="inlineStr">
        <is>
          <t>Click 'Evidenced to our standard'.</t>
        </is>
      </c>
      <c r="E885" s="11" t="inlineStr">
        <is>
          <t>'Event evidenced' appears; the card reads 'Event evidenced on &lt;date&gt;.'; the Nominee detail adds 'Evidenced &lt;date&gt; · the principal keeps their account and can follow this request'.</t>
        </is>
      </c>
      <c r="F885" s="16" t="n"/>
      <c r="G885" s="16" t="n"/>
    </row>
    <row r="886">
      <c r="A886" s="10" t="inlineStr">
        <is>
          <t>RGT-23</t>
        </is>
      </c>
      <c r="B886" s="11" t="inlineStr">
        <is>
          <t>Nominee acts on the principal's incapacity; the DPO evidences the event before the request runs</t>
        </is>
      </c>
      <c r="C886" s="11" t="n">
        <v>9</v>
      </c>
      <c r="D886" s="11" t="inlineStr">
        <is>
          <t>Click 'In progress'.</t>
        </is>
      </c>
      <c r="E886" s="11" t="inlineStr">
        <is>
          <t>'Moved to In progress' appears.</t>
        </is>
      </c>
      <c r="F886" s="16" t="n"/>
      <c r="G886" s="16" t="n"/>
    </row>
    <row r="887">
      <c r="A887" s="10" t="inlineStr">
        <is>
          <t>RGT-23</t>
        </is>
      </c>
      <c r="B887" s="11" t="inlineStr">
        <is>
          <t>Nominee acts on the principal's incapacity; the DPO evidences the event before the request runs</t>
        </is>
      </c>
      <c r="C887" s="11" t="n">
        <v>10</v>
      </c>
      <c r="D887" s="11" t="inlineStr">
        <is>
          <t>In Browser A (Anjali) open 'My nominations'.</t>
        </is>
      </c>
      <c r="E887" s="11" t="inlineStr">
        <is>
          <t>The nomination card shows 'Rahul Verma acted for you on &lt;date&gt;' with 'They reported that you cannot act for yourself. You keep this account and can follow the request they made. Their request is RR-N, under My requests. The Privacy Office found the event evidenced on &lt;date&gt;.'</t>
        </is>
      </c>
      <c r="F887" s="16" t="n"/>
      <c r="G887" s="16" t="n"/>
    </row>
    <row r="888">
      <c r="A888" s="10" t="inlineStr">
        <is>
          <t>RGT-23</t>
        </is>
      </c>
      <c r="B888" s="11" t="inlineStr">
        <is>
          <t>Nominee acts on the principal's incapacity; the DPO evidences the event before the request runs</t>
        </is>
      </c>
      <c r="C888" s="11" t="n">
        <v>11</v>
      </c>
      <c r="D888" s="11" t="inlineStr">
        <is>
          <t>In Browser D sign in at http://localhost:3001/sign-in with 'Mobile' and +91 90000 00077 (code from the coordinator), then open 'My nominations'.</t>
        </is>
      </c>
      <c r="E888" s="11" t="inlineStr">
        <is>
          <t>A card 'Somebody has named you to act for them' shows Anjali Verma, 'In place' and 'You acted on &lt;date&gt;', with a 'Show the request' button.</t>
        </is>
      </c>
      <c r="F888" s="16" t="n"/>
      <c r="G888" s="16" t="n"/>
    </row>
    <row r="889">
      <c r="A889" s="10" t="inlineStr">
        <is>
          <t>RGT-23</t>
        </is>
      </c>
      <c r="B889" s="11" t="inlineStr">
        <is>
          <t>Nominee acts on the principal's incapacity; the DPO evidences the event before the request runs</t>
        </is>
      </c>
      <c r="C889" s="11" t="n">
        <v>12</v>
      </c>
      <c r="D889" s="11" t="inlineStr">
        <is>
          <t>Click 'Show the request'.</t>
        </is>
      </c>
      <c r="E889" s="11" t="inlineStr">
        <is>
          <t>RR-N is shown with its status 'In progress', clock and path. There is no 'Dispute this response' button for the nominee.</t>
        </is>
      </c>
      <c r="F889" s="16" t="n"/>
      <c r="G889" s="16" t="n"/>
    </row>
    <row r="890">
      <c r="A890" s="10" t="inlineStr">
        <is>
          <t>RGT-24</t>
        </is>
      </c>
      <c r="B890" s="11" t="inlineStr">
        <is>
          <t>Nomination refuses unknown references, wrong codes, rights not granted, self-nomination and a revoked nominee</t>
        </is>
      </c>
      <c r="C890" s="11" t="n">
        <v>1</v>
      </c>
      <c r="D890" s="11" t="inlineStr">
        <is>
          <t>In Browser D (signed out) open http://localhost:3001/rights/nominee, type the made-up reference and +91 90000 00077 and click 'Send me a code'.</t>
        </is>
      </c>
      <c r="E890" s="11" t="inlineStr">
        <is>
          <t>The same neutral note as for a real nomination: 'If that nomination is in place and the contact matches the one recorded, a verification code has been sent to it.' The coordinator finds no new code in the outbox.</t>
        </is>
      </c>
      <c r="F890" s="16" t="n"/>
      <c r="G890" s="16" t="n"/>
    </row>
    <row r="891">
      <c r="A891" s="10" t="inlineStr">
        <is>
          <t>RGT-24</t>
        </is>
      </c>
      <c r="B891" s="11" t="inlineStr">
        <is>
          <t>Nomination refuses unknown references, wrong codes, rights not granted, self-nomination and a revoked nominee</t>
        </is>
      </c>
      <c r="C891" s="11" t="n">
        <v>2</v>
      </c>
      <c r="D891" s="11" t="inlineStr">
        <is>
          <t>Open http://localhost:3001/rights/nominee?nomination=&lt;real reference&gt;, type +91 90000 00077 and click 'Send me a code'. Type 000000 in 'The code we sent', choose 'Access (s.11)', type a request of 10+ characters, choose 'They are unable to act' and click 'Record the request'.</t>
        </is>
      </c>
      <c r="E891" s="11" t="inlineStr">
        <is>
          <t>A red box reads 'Invalid or expired code'. No reference is shown.</t>
        </is>
      </c>
      <c r="F891" s="16" t="n"/>
      <c r="G891" s="16" t="n"/>
    </row>
    <row r="892">
      <c r="A892" s="10" t="inlineStr">
        <is>
          <t>RGT-24</t>
        </is>
      </c>
      <c r="B892" s="11" t="inlineStr">
        <is>
          <t>Nomination refuses unknown references, wrong codes, rights not granted, self-nomination and a revoked nominee</t>
        </is>
      </c>
      <c r="C892" s="11" t="n">
        <v>3</v>
      </c>
      <c r="D892" s="11" t="inlineStr">
        <is>
          <t>Reload the page, send a new code, enter the correct relayed code, choose 'Complaint (grievance) (s.13)' and click 'Record the request'.</t>
        </is>
      </c>
      <c r="E892" s="11" t="inlineStr">
        <is>
          <t>A red box reads 'That right was not included in the nomination'. Nothing is recorded.</t>
        </is>
      </c>
      <c r="F892" s="16" t="n"/>
      <c r="G892" s="16" t="n"/>
    </row>
    <row r="893">
      <c r="A893" s="10" t="inlineStr">
        <is>
          <t>RGT-24</t>
        </is>
      </c>
      <c r="B893" s="11" t="inlineStr">
        <is>
          <t>Nomination refuses unknown references, wrong codes, rights not granted, self-nomination and a revoked nominee</t>
        </is>
      </c>
      <c r="C893" s="11" t="n">
        <v>4</v>
      </c>
      <c r="D893" s="11" t="inlineStr">
        <is>
          <t>In Browser A on 'My nominations' click 'Revoke this nomination'.</t>
        </is>
      </c>
      <c r="E893" s="11" t="inlineStr">
        <is>
          <t>'Nomination revoked' with 'Rahul Verma can no longer act for you.' appears. The nomination form is shown again, and 'Earlier nominations' lists Rahul Verma as 'Revoked'.</t>
        </is>
      </c>
      <c r="F893" s="16" t="n"/>
      <c r="G893" s="16" t="n"/>
    </row>
    <row r="894">
      <c r="A894" s="10" t="inlineStr">
        <is>
          <t>RGT-24</t>
        </is>
      </c>
      <c r="B894" s="11" t="inlineStr">
        <is>
          <t>Nomination refuses unknown references, wrong codes, rights not granted, self-nomination and a revoked nominee</t>
        </is>
      </c>
      <c r="C894" s="11" t="n">
        <v>5</v>
      </c>
      <c r="D894" s="11" t="inlineStr">
        <is>
          <t>In the form type Anjali Verma in 'Their name' and +91 90000 00001 in 'Their mobile', leave the rights ticked and click 'Nominate'.</t>
        </is>
      </c>
      <c r="E894" s="11" t="inlineStr">
        <is>
          <t>The error 'A nominee has to be somebody other than you' appears; no nomination is recorded.</t>
        </is>
      </c>
      <c r="F894" s="16" t="n"/>
      <c r="G894" s="16" t="n"/>
    </row>
    <row r="895">
      <c r="A895" s="10" t="inlineStr">
        <is>
          <t>RGT-24</t>
        </is>
      </c>
      <c r="B895" s="11" t="inlineStr">
        <is>
          <t>Nomination refuses unknown references, wrong codes, rights not granted, self-nomination and a revoked nominee</t>
        </is>
      </c>
      <c r="C895" s="11" t="n">
        <v>6</v>
      </c>
      <c r="D895" s="11" t="inlineStr">
        <is>
          <t>In Browser D open the nominee page with the revoked reference, type +91 90000 00077 and click 'Send me a code'.</t>
        </is>
      </c>
      <c r="E895" s="11" t="inlineStr">
        <is>
          <t>The neutral note appears, but the coordinator finds no code sent - the nomination is no longer in place.</t>
        </is>
      </c>
      <c r="F895" s="16" t="n"/>
      <c r="G895" s="16" t="n"/>
    </row>
    <row r="896">
      <c r="A896" s="10" t="inlineStr">
        <is>
          <t>RGT-24</t>
        </is>
      </c>
      <c r="B896" s="11" t="inlineStr">
        <is>
          <t>Nomination refuses unknown references, wrong codes, rights not granted, self-nomination and a revoked nominee</t>
        </is>
      </c>
      <c r="C896" s="11" t="n">
        <v>7</v>
      </c>
      <c r="D896" s="11" t="inlineStr">
        <is>
          <t>In Browser D (signed in as the nominee) reload 'My nominations'.</t>
        </is>
      </c>
      <c r="E896" s="11" t="inlineStr">
        <is>
          <t>The 'Somebody has named you to act for them' card warns 'This nomination is no longer in effect, so you cannot make another request under it. The one you already made stays here until it is answered.' The badge does not say 'In place'. RR-N can still be opened with 'Show the request'.</t>
        </is>
      </c>
      <c r="F896" s="16" t="n"/>
      <c r="G896" s="16" t="n"/>
    </row>
    <row r="897">
      <c r="A897" s="10" t="inlineStr">
        <is>
          <t>RGT-25</t>
        </is>
      </c>
      <c r="B897" s="11" t="inlineStr">
        <is>
          <t>With several requests, the portal narrows them by Open / Closed and by search</t>
        </is>
      </c>
      <c r="C897" s="11" t="n">
        <v>1</v>
      </c>
      <c r="D897" s="11" t="inlineStr">
        <is>
          <t>In Browser A open http://localhost:3001/sign-in. Under 'Sign in with' choose 'Email', type subject@cmp.local in 'Email address' and click 'Send me a code'. Ask the coordinator for the code, type it in 'Six-digit code' and click 'Verify'.</t>
        </is>
      </c>
      <c r="E897" s="11" t="inlineStr">
        <is>
          <t>A 'Check your messages' box appears after the first click. After 'Verify' you are signed in and the 'My consents' page opens; the sidebar shows 'My consents' and 'My requests'.</t>
        </is>
      </c>
      <c r="F897" s="16" t="n"/>
      <c r="G897" s="16" t="n"/>
    </row>
    <row r="898">
      <c r="A898" s="10" t="inlineStr">
        <is>
          <t>RGT-25</t>
        </is>
      </c>
      <c r="B898" s="11" t="inlineStr">
        <is>
          <t>With several requests, the portal narrows them by Open / Closed and by search</t>
        </is>
      </c>
      <c r="C898" s="11" t="n">
        <v>2</v>
      </c>
      <c r="D898" s="11" t="inlineStr">
        <is>
          <t>In the sidebar click 'My requests'.</t>
        </is>
      </c>
      <c r="E898" s="11" t="inlineStr">
        <is>
          <t>Above the list are three choices, 'All', 'Open' and 'Closed', each with a count (All = Open + Closed), and a search box 'Reference, kind or words'. 'All' is selected.</t>
        </is>
      </c>
      <c r="F898" s="16" t="n"/>
      <c r="G898" s="16" t="n"/>
    </row>
    <row r="899">
      <c r="A899" s="10" t="inlineStr">
        <is>
          <t>RGT-25</t>
        </is>
      </c>
      <c r="B899" s="11" t="inlineStr">
        <is>
          <t>With several requests, the portal narrows them by Open / Closed and by search</t>
        </is>
      </c>
      <c r="C899" s="11" t="n">
        <v>3</v>
      </c>
      <c r="D899" s="11" t="inlineStr">
        <is>
          <t>Click 'Closed'.</t>
        </is>
      </c>
      <c r="E899" s="11" t="inlineStr">
        <is>
          <t>Only answered or closed requests remain, for example RR-A with the badge 'Complete'. No 'Received' or 'In progress' request is listed.</t>
        </is>
      </c>
      <c r="F899" s="16" t="n"/>
      <c r="G899" s="16" t="n"/>
    </row>
    <row r="900">
      <c r="A900" s="10" t="inlineStr">
        <is>
          <t>RGT-25</t>
        </is>
      </c>
      <c r="B900" s="11" t="inlineStr">
        <is>
          <t>With several requests, the portal narrows them by Open / Closed and by search</t>
        </is>
      </c>
      <c r="C900" s="11" t="n">
        <v>4</v>
      </c>
      <c r="D900" s="11" t="inlineStr">
        <is>
          <t>Click 'Open'.</t>
        </is>
      </c>
      <c r="E900" s="11" t="inlineStr">
        <is>
          <t>Only requests still being worked on remain. The count beside 'Open' equals the number of cards shown.</t>
        </is>
      </c>
      <c r="F900" s="16" t="n"/>
      <c r="G900" s="16" t="n"/>
    </row>
    <row r="901">
      <c r="A901" s="10" t="inlineStr">
        <is>
          <t>RGT-25</t>
        </is>
      </c>
      <c r="B901" s="11" t="inlineStr">
        <is>
          <t>With several requests, the portal narrows them by Open / Closed and by search</t>
        </is>
      </c>
      <c r="C901" s="11" t="n">
        <v>5</v>
      </c>
      <c r="D901" s="11" t="inlineStr">
        <is>
          <t>Click 'All', then type the number part of RR-A's reference (for example 000123) in the search box.</t>
        </is>
      </c>
      <c r="E901" s="11" t="inlineStr">
        <is>
          <t>Only RR-A remains. Typing 'grievance' instead shows only grievances; typing 'zzz' shows 'No requests match' with a 'Show all requests' button.</t>
        </is>
      </c>
      <c r="F901" s="16" t="n"/>
      <c r="G901" s="16" t="n"/>
    </row>
    <row r="902">
      <c r="A902" s="10" t="inlineStr">
        <is>
          <t>RGT-25</t>
        </is>
      </c>
      <c r="B902" s="11" t="inlineStr">
        <is>
          <t>With several requests, the portal narrows them by Open / Closed and by search</t>
        </is>
      </c>
      <c r="C902" s="11" t="n">
        <v>6</v>
      </c>
      <c r="D902" s="11" t="inlineStr">
        <is>
          <t>Click 'Show all requests'. Type 'grievance' in the search box, so that only grievances remain. On RR-G (RGT-20) click 'Show details', then 'See RR-A in full'.</t>
        </is>
      </c>
      <c r="E902" s="11" t="inlineStr">
        <is>
          <t>RR-A was hidden by the search, so the search is cleared and 'All' selected; the page scrolls to RR-A, opens it and briefly highlights it.</t>
        </is>
      </c>
      <c r="F902" s="16" t="n"/>
      <c r="G902" s="16" t="n"/>
    </row>
    <row r="903">
      <c r="A903" s="10" t="inlineStr">
        <is>
          <t>RGT-26</t>
        </is>
      </c>
      <c r="B903" s="11" t="inlineStr">
        <is>
          <t>A colleague with no console login is given a temporary login, answers in My tasks, and keeps it read only once the request closes</t>
        </is>
      </c>
      <c r="C903" s="11" t="n">
        <v>1</v>
      </c>
      <c r="D903" s="11" t="inlineStr">
        <is>
          <t>In Browser A make an access request ('Access (s.11)') with the test text. Note RR-T. In Browser B open RR-T, click 'Confirm classification', then 'In progress'.</t>
        </is>
      </c>
      <c r="E903" s="11" t="inlineStr">
        <is>
          <t>'Recorded as RR-...', then 'Classified' and 'Moved to In progress' appear.</t>
        </is>
      </c>
      <c r="F903" s="16" t="n"/>
      <c r="G903" s="16" t="n"/>
    </row>
    <row r="904">
      <c r="A904" s="10" t="inlineStr">
        <is>
          <t>RGT-26</t>
        </is>
      </c>
      <c r="B904" s="11" t="inlineStr">
        <is>
          <t>A colleague with no console login is given a temporary login, answers in My tasks, and keeps it read only once the request closes</t>
        </is>
      </c>
      <c r="C904" s="11" t="n">
        <v>2</v>
      </c>
      <c r="D904" s="11" t="inlineStr">
        <is>
          <t>In the holders card click 'Add a holder'. Leave 'A registered processor' on 'Not in the registry', fill 'Who holds it', 'Who answers: name' and 'Their email' from the test data and click 'Add'.</t>
        </is>
      </c>
      <c r="E904" s="11" t="inlineStr">
        <is>
          <t>'Holder added' appears. The row 'UAT Archive Team 01' reads 'Not sent' with 'By email · UAT Holder 01'.</t>
        </is>
      </c>
      <c r="F904" s="16" t="n"/>
      <c r="G904" s="16" t="n"/>
    </row>
    <row r="905">
      <c r="A905" s="10" t="inlineStr">
        <is>
          <t>RGT-26</t>
        </is>
      </c>
      <c r="B905" s="11" t="inlineStr">
        <is>
          <t>A colleague with no console login is given a temporary login, answers in My tasks, and keeps it read only once the request closes</t>
        </is>
      </c>
      <c r="C905" s="11" t="n">
        <v>3</v>
      </c>
      <c r="D905" s="11" t="inlineStr">
        <is>
          <t>Click 'Send tickets', then 'Send the ticket'.</t>
        </is>
      </c>
      <c r="E905" s="11" t="inlineStr">
        <is>
          <t>'Ticket sent' appears. The row reads 'Waiting' and 'In the console · temporary login · not yet signed in · UAT Holder 01'.</t>
        </is>
      </c>
      <c r="F905" s="16" t="n"/>
      <c r="G905" s="16" t="n"/>
    </row>
    <row r="906">
      <c r="A906" s="10" t="inlineStr">
        <is>
          <t>RGT-26</t>
        </is>
      </c>
      <c r="B906" s="11" t="inlineStr">
        <is>
          <t>A colleague with no console login is given a temporary login, answers in My tasks, and keeps it read only once the request closes</t>
        </is>
      </c>
      <c r="C906" s="11" t="n">
        <v>4</v>
      </c>
      <c r="D906" s="11" t="inlineStr">
        <is>
          <t>Ask the coordinator for the emails sent to uat.holder01@cmp.local.</t>
        </is>
      </c>
      <c r="E906" s="11" t="inlineStr">
        <is>
          <t>One has the subject 'The COMPASS Privacy Office has asked for your help' (COMPASS is ORGANISATION_NAME, its default), a link to set a password, a code, and the line 'What the ticket is about is in the console only.' It names no request and no person.</t>
        </is>
      </c>
      <c r="F906" s="16" t="n"/>
      <c r="G906" s="16" t="n"/>
    </row>
    <row r="907">
      <c r="A907" s="10" t="inlineStr">
        <is>
          <t>RGT-26</t>
        </is>
      </c>
      <c r="B907" s="11" t="inlineStr">
        <is>
          <t>A colleague with no console login is given a temporary login, answers in My tasks, and keeps it read only once the request closes</t>
        </is>
      </c>
      <c r="C907" s="11" t="n">
        <v>5</v>
      </c>
      <c r="D907" s="11" t="inlineStr">
        <is>
          <t>In Browser C open the link from that email. Type the code in 'Code' and UatPassw0rd!2026 in 'New password' and 'Confirm new password', and click 'Set the new password'.</t>
        </is>
      </c>
      <c r="E907" s="11" t="inlineStr">
        <is>
          <t>The page 'Set your password' reads 'Enter the code sent to uat.holder01@cmp.local and choose a password.' After the click 'Password changed' appears and the 'Sign in' page opens.</t>
        </is>
      </c>
      <c r="F907" s="16" t="n"/>
      <c r="G907" s="16" t="n"/>
    </row>
    <row r="908">
      <c r="A908" s="10" t="inlineStr">
        <is>
          <t>RGT-26</t>
        </is>
      </c>
      <c r="B908" s="11" t="inlineStr">
        <is>
          <t>A colleague with no console login is given a temporary login, answers in My tasks, and keeps it read only once the request closes</t>
        </is>
      </c>
      <c r="C908" s="11" t="n">
        <v>6</v>
      </c>
      <c r="D908" s="11" t="inlineStr">
        <is>
          <t>Sign in as uat.holder01@cmp.local with the new password and the relayed code ('Verify and continue').</t>
        </is>
      </c>
      <c r="E908" s="11" t="inlineStr">
        <is>
          <t>The console opens with the role badge 'Temporary ticket holder'. The sidebar offers only 'My tasks'.</t>
        </is>
      </c>
      <c r="F908" s="16" t="n"/>
      <c r="G908" s="16" t="n"/>
    </row>
    <row r="909">
      <c r="A909" s="10" t="inlineStr">
        <is>
          <t>RGT-26</t>
        </is>
      </c>
      <c r="B909" s="11" t="inlineStr">
        <is>
          <t>A colleague with no console login is given a temporary login, answers in My tasks, and keeps it read only once the request closes</t>
        </is>
      </c>
      <c r="C909" s="11" t="n">
        <v>7</v>
      </c>
      <c r="D909" s="11" t="inlineStr">
        <is>
          <t>Click 'My tasks', then 'Answer' on RR-T, then 'Submit your answer'. Choose 'Did all of it', type the answer and click 'Send your answer'.</t>
        </is>
      </c>
      <c r="E909" s="11" t="inlineStr">
        <is>
          <t>The card for RR-T is under 'To do' with the badge 'To answer' and 'For UAT Archive Team 01'. After sending, 'Answer sent' appears and it moves to 'Waiting on the Privacy Office'.</t>
        </is>
      </c>
      <c r="F909" s="16" t="n"/>
      <c r="G909" s="16" t="n"/>
    </row>
    <row r="910">
      <c r="A910" s="10" t="inlineStr">
        <is>
          <t>RGT-26</t>
        </is>
      </c>
      <c r="B910" s="11" t="inlineStr">
        <is>
          <t>A colleague with no console login is given a temporary login, answers in My tasks, and keeps it read only once the request closes</t>
        </is>
      </c>
      <c r="C910" s="11" t="n">
        <v>8</v>
      </c>
      <c r="D910" s="11" t="inlineStr">
        <is>
          <t>In Browser B reload RR-T.</t>
        </is>
      </c>
      <c r="E910" s="11" t="inlineStr">
        <is>
          <t>The row reads 'Answered - review' and 'In the console · temporary login · UAT Holder 01' (no longer 'not yet signed in').</t>
        </is>
      </c>
      <c r="F910" s="16" t="n"/>
      <c r="G910" s="16" t="n"/>
    </row>
    <row r="911">
      <c r="A911" s="10" t="inlineStr">
        <is>
          <t>RGT-26</t>
        </is>
      </c>
      <c r="B911" s="11" t="inlineStr">
        <is>
          <t>A colleague with no console login is given a temporary login, answers in My tasks, and keeps it read only once the request closes</t>
        </is>
      </c>
      <c r="C911" s="11" t="n">
        <v>9</v>
      </c>
      <c r="D911" s="11" t="inlineStr">
        <is>
          <t>Click 'Accept the answer' on the row and confirm with 'Accept the answer'. In 'Response and outcome' keep 'Complete', type the response text and click 'Release and close'.</t>
        </is>
      </c>
      <c r="E911" s="11" t="inlineStr">
        <is>
          <t>'Answer accepted' appears and the request moves to 'Collating'; then 'Released and closed' appears and the header badge reads 'Complete'. The row now reads 'In the console · temporary login · read only · UAT Holder 01'.</t>
        </is>
      </c>
      <c r="F911" s="16" t="n"/>
      <c r="G911" s="16" t="n"/>
    </row>
    <row r="912">
      <c r="A912" s="10" t="inlineStr">
        <is>
          <t>RGT-26</t>
        </is>
      </c>
      <c r="B912" s="11" t="inlineStr">
        <is>
          <t>A colleague with no console login is given a temporary login, answers in My tasks, and keeps it read only once the request closes</t>
        </is>
      </c>
      <c r="C912" s="11" t="n">
        <v>10</v>
      </c>
      <c r="D912" s="11" t="inlineStr">
        <is>
          <t>In Browser C reload 'My tasks' and click 'Open' on RR-T.</t>
        </is>
      </c>
      <c r="E912" s="11" t="inlineStr">
        <is>
          <t>The card is under 'Done' with the badge 'Accepted'. The dialog shows the ticket and its messages; in place of the message box it reads 'The request is closed; nothing more can be written.'</t>
        </is>
      </c>
      <c r="F912" s="16" t="n"/>
      <c r="G912" s="16" t="n"/>
    </row>
    <row r="913">
      <c r="A913" s="10" t="inlineStr">
        <is>
          <t>RGT-26</t>
        </is>
      </c>
      <c r="B913" s="11" t="inlineStr">
        <is>
          <t>A colleague with no console login is given a temporary login, answers in My tasks, and keeps it read only once the request closes</t>
        </is>
      </c>
      <c r="C913" s="11" t="n">
        <v>11</v>
      </c>
      <c r="D913" s="11" t="inlineStr">
        <is>
          <t>In Browser B sign out and sign in as admin@cmp.local. Open 'Users' and find uat.holder01@cmp.local.</t>
        </is>
      </c>
      <c r="E913" s="11" t="inlineStr">
        <is>
          <t>The row shows the role 'Temporary ticket holder' and a button 'End temporary access' (its tooltip says it ends their console login, including reading their tickets).</t>
        </is>
      </c>
      <c r="F913" s="16" t="n"/>
      <c r="G913" s="16" t="n"/>
    </row>
    <row r="914">
      <c r="A914" s="10" t="inlineStr">
        <is>
          <t>RGT-26</t>
        </is>
      </c>
      <c r="B914" s="11" t="inlineStr">
        <is>
          <t>A colleague with no console login is given a temporary login, answers in My tasks, and keeps it read only once the request closes</t>
        </is>
      </c>
      <c r="C914" s="11" t="n">
        <v>12</v>
      </c>
      <c r="D914" s="11" t="inlineStr">
        <is>
          <t>Click 'End temporary access'.</t>
        </is>
      </c>
      <c r="E914" s="11" t="inlineStr">
        <is>
          <t>The message 'Temporary access ended' appears. In Browser C, the next click or reload returns to the 'Sign in' page, and signing in with UatPassw0rd!2026 no longer works.</t>
        </is>
      </c>
      <c r="F914" s="16" t="n"/>
      <c r="G914" s="16" t="n"/>
    </row>
    <row r="915">
      <c r="A915" s="10" t="inlineStr">
        <is>
          <t>RGT-27</t>
        </is>
      </c>
      <c r="B915" s="11" t="inlineStr">
        <is>
          <t>Ticket moves: a final reminder only once overdue, sent to someone else (the old link stops working), withdrawn and reopened</t>
        </is>
      </c>
      <c r="C915" s="11" t="n">
        <v>1</v>
      </c>
      <c r="D915" s="11" t="inlineStr">
        <is>
          <t>In Browser A make an access request with the test text and note RR-M. In Browser B open RR-M, click 'Confirm classification', then 'In progress'. Add the holder from the test data with 'Add a holder'.</t>
        </is>
      </c>
      <c r="E915" s="11" t="inlineStr">
        <is>
          <t>RR-M is 'In progress' and the SEED row reads 'Not sent'.</t>
        </is>
      </c>
      <c r="F915" s="16" t="n"/>
      <c r="G915" s="16" t="n"/>
    </row>
    <row r="916">
      <c r="A916" s="10" t="inlineStr">
        <is>
          <t>RGT-27</t>
        </is>
      </c>
      <c r="B916" s="11" t="inlineStr">
        <is>
          <t>Ticket moves: a final reminder only once overdue, sent to someone else (the old link stops working), withdrawn and reopened</t>
        </is>
      </c>
      <c r="C916" s="11" t="n">
        <v>2</v>
      </c>
      <c r="D916" s="11" t="inlineStr">
        <is>
          <t>Click 'Send tickets'. Set 'Answer by' to yesterday's date and click 'Send the ticket'.</t>
        </is>
      </c>
      <c r="E916" s="11" t="inlineStr">
        <is>
          <t>'Ticket sent' appears. The row is tinted red: 'Overdue', with the answer-by date in red beside a warning sign. Its 'Next' button reads 'Send final reminder'. The summary's 'Next' reads 'Chase an overdue holder'.</t>
        </is>
      </c>
      <c r="F916" s="16" t="n"/>
      <c r="G916" s="16" t="n"/>
    </row>
    <row r="917">
      <c r="A917" s="10" t="inlineStr">
        <is>
          <t>RGT-27</t>
        </is>
      </c>
      <c r="B917" s="11" t="inlineStr">
        <is>
          <t>Ticket moves: a final reminder only once overdue, sent to someone else (the old link stops working), withdrawn and reopened</t>
        </is>
      </c>
      <c r="C917" s="11" t="n">
        <v>3</v>
      </c>
      <c r="D917" s="11" t="inlineStr">
        <is>
          <t>Ask the coordinator for the link email sent to uat.desk01@example.org and keep the link (called L1).</t>
        </is>
      </c>
      <c r="E917" s="11" t="inlineStr">
        <is>
          <t>The email's subject is 'Rights request &lt;RR-M&gt;: a ticket for &lt;holder&gt;' and it carries a /ticket/ link.</t>
        </is>
      </c>
      <c r="F917" s="16" t="n"/>
      <c r="G917" s="16" t="n"/>
    </row>
    <row r="918">
      <c r="A918" s="10" t="inlineStr">
        <is>
          <t>RGT-27</t>
        </is>
      </c>
      <c r="B918" s="11" t="inlineStr">
        <is>
          <t>Ticket moves: a final reminder only once overdue, sent to someone else (the old link stops working), withdrawn and reopened</t>
        </is>
      </c>
      <c r="C918" s="11" t="n">
        <v>4</v>
      </c>
      <c r="D918" s="11" t="inlineStr">
        <is>
          <t>Click 'Send final reminder' on the row.</t>
        </is>
      </c>
      <c r="E918" s="11" t="inlineStr">
        <is>
          <t>The ticket opens on a box 'Send final reminder': 'Send UAT Desk 01 a final reminder that the date has passed. It is sent once, and lets the response go out without their answer, saying it is missing.' with 'Send final reminder' and 'Cancel'.</t>
        </is>
      </c>
      <c r="F918" s="16" t="n"/>
      <c r="G918" s="16" t="n"/>
    </row>
    <row r="919">
      <c r="A919" s="10" t="inlineStr">
        <is>
          <t>RGT-27</t>
        </is>
      </c>
      <c r="B919" s="11" t="inlineStr">
        <is>
          <t>Ticket moves: a final reminder only once overdue, sent to someone else (the old link stops working), withdrawn and reopened</t>
        </is>
      </c>
      <c r="C919" s="11" t="n">
        <v>5</v>
      </c>
      <c r="D919" s="11" t="inlineStr">
        <is>
          <t>Click 'Send final reminder' in the box.</t>
        </is>
      </c>
      <c r="E919" s="11" t="inlineStr">
        <is>
          <t>'Final reminder sent' appears; the row reads 'Final reminder sent'. The coordinator finds a second email to uat.desk01@example.org carrying the same link and nothing of the request.</t>
        </is>
      </c>
      <c r="F919" s="16" t="n"/>
      <c r="G919" s="16" t="n"/>
    </row>
    <row r="920">
      <c r="A920" s="10" t="inlineStr">
        <is>
          <t>RGT-27</t>
        </is>
      </c>
      <c r="B920" s="11" t="inlineStr">
        <is>
          <t>Ticket moves: a final reminder only once overdue, sent to someone else (the old link stops working), withdrawn and reopened</t>
        </is>
      </c>
      <c r="C920" s="11" t="n">
        <v>6</v>
      </c>
      <c r="D920" s="11" t="inlineStr">
        <is>
          <t>In the ticket click 'More'.</t>
        </is>
      </c>
      <c r="E920" s="11" t="inlineStr">
        <is>
          <t>The menu lists 'Record their answer for them', 'Send a reminder', 'Note a call or email', 'Send to someone else' and 'Withdraw'. 'Send final reminder' is not offered again.</t>
        </is>
      </c>
      <c r="F920" s="16" t="n"/>
      <c r="G920" s="16" t="n"/>
    </row>
    <row r="921">
      <c r="A921" s="10" t="inlineStr">
        <is>
          <t>RGT-27</t>
        </is>
      </c>
      <c r="B921" s="11" t="inlineStr">
        <is>
          <t>Ticket moves: a final reminder only once overdue, sent to someone else (the old link stops working), withdrawn and reopened</t>
        </is>
      </c>
      <c r="C921" s="11" t="n">
        <v>7</v>
      </c>
      <c r="D921" s="11" t="inlineStr">
        <is>
          <t>Choose 'Send to someone else'. If 'Who answers instead' is shown, keep 'Somebody else - type them below'. Fill 'Their name' and 'Their email' from the test data and click 'Send to them'.</t>
        </is>
      </c>
      <c r="E921" s="11" t="inlineStr">
        <is>
          <t>The form reads 'The ticket and what it asks go to them; whoever had it is told it has moved.' and 'Send to them' is greyed out until both fields are filled. After the click 'Sent to someone else' with 'They have the ticket; whoever had it has been told.' appears and the row names UAT Desk 02.</t>
        </is>
      </c>
      <c r="F921" s="16" t="n"/>
      <c r="G921" s="16" t="n"/>
    </row>
    <row r="922">
      <c r="A922" s="10" t="inlineStr">
        <is>
          <t>RGT-27</t>
        </is>
      </c>
      <c r="B922" s="11" t="inlineStr">
        <is>
          <t>Ticket moves: a final reminder only once overdue, sent to someone else (the old link stops working), withdrawn and reopened</t>
        </is>
      </c>
      <c r="C922" s="11" t="n">
        <v>8</v>
      </c>
      <c r="D922" s="11" t="inlineStr">
        <is>
          <t>Ask the coordinator for the newest emails to uat.desk01@example.org and uat.desk02@example.org.</t>
        </is>
      </c>
      <c r="E922" s="11" t="inlineStr">
        <is>
          <t>uat.desk01@example.org was told the ticket has moved; uat.desk02@example.org received a new link (L2), different from L1.</t>
        </is>
      </c>
      <c r="F922" s="16" t="n"/>
      <c r="G922" s="16" t="n"/>
    </row>
    <row r="923">
      <c r="A923" s="10" t="inlineStr">
        <is>
          <t>RGT-27</t>
        </is>
      </c>
      <c r="B923" s="11" t="inlineStr">
        <is>
          <t>Ticket moves: a final reminder only once overdue, sent to someone else (the old link stops working), withdrawn and reopened</t>
        </is>
      </c>
      <c r="C923" s="11" t="n">
        <v>9</v>
      </c>
      <c r="D923" s="11" t="inlineStr">
        <is>
          <t>In Browser D open L1, then L2.</t>
        </is>
      </c>
      <c r="E923" s="11" t="inlineStr">
        <is>
          <t>L1 shows 'This link is not valid' with 'It may have been replaced by a newer one, or never existed. Ask the Privacy Office for a new link.' L2 opens the page 'A ticket for &lt;holder&gt;' with 'Send me a code'.</t>
        </is>
      </c>
      <c r="F923" s="16" t="n"/>
      <c r="G923" s="16" t="n"/>
    </row>
    <row r="924">
      <c r="A924" s="10" t="inlineStr">
        <is>
          <t>RGT-27</t>
        </is>
      </c>
      <c r="B924" s="11" t="inlineStr">
        <is>
          <t>Ticket moves: a final reminder only once overdue, sent to someone else (the old link stops working), withdrawn and reopened</t>
        </is>
      </c>
      <c r="C924" s="11" t="n">
        <v>10</v>
      </c>
      <c r="D924" s="11" t="inlineStr">
        <is>
          <t>In Browser B open the ticket, click 'More', choose 'Withdraw', type the reason in 'Why' and click 'Withdraw the ticket'.</t>
        </is>
      </c>
      <c r="E924" s="11" t="inlineStr">
        <is>
          <t>The form reads 'For a ticket sent in error, or a holder that turns out to hold nothing. Not an answer, and not a gap in the response.' After the click 'Ticket withdrawn' appears with '&lt;holder&gt; has been told. You can reopen it if needed.' The row reads 'Withdrawn' and, with nothing outstanding, the header badge changes by itself to 'Collating'.</t>
        </is>
      </c>
      <c r="F924" s="16" t="n"/>
      <c r="G924" s="16" t="n"/>
    </row>
    <row r="925">
      <c r="A925" s="10" t="inlineStr">
        <is>
          <t>RGT-27</t>
        </is>
      </c>
      <c r="B925" s="11" t="inlineStr">
        <is>
          <t>Ticket moves: a final reminder only once overdue, sent to someone else (the old link stops working), withdrawn and reopened</t>
        </is>
      </c>
      <c r="C925" s="11" t="n">
        <v>11</v>
      </c>
      <c r="D925" s="11" t="inlineStr">
        <is>
          <t>Open the ticket, click 'More', choose 'Reopen', set 'Answer by' to yesterday's date and click 'Reopen'.</t>
        </is>
      </c>
      <c r="E925" s="11" t="inlineStr">
        <is>
          <t>The error 'The new date cannot be in the past' is shown and the ticket stays withdrawn.</t>
        </is>
      </c>
      <c r="F925" s="16" t="n"/>
      <c r="G925" s="16" t="n"/>
    </row>
    <row r="926">
      <c r="A926" s="10" t="inlineStr">
        <is>
          <t>RGT-27</t>
        </is>
      </c>
      <c r="B926" s="11" t="inlineStr">
        <is>
          <t>Ticket moves: a final reminder only once overdue, sent to someone else (the old link stops working), withdrawn and reopened</t>
        </is>
      </c>
      <c r="C926" s="11" t="n">
        <v>12</v>
      </c>
      <c r="D926" s="11" t="inlineStr">
        <is>
          <t>Set 'Answer by' to a date next week and click 'Reopen'.</t>
        </is>
      </c>
      <c r="E926" s="11" t="inlineStr">
        <is>
          <t>'Ticket reopened' appears. The row reads 'Waiting' with the new date, and the header badge reads 'Awaiting holders' again. The coordinator finds an email to uat.desk02@example.org saying the ticket is open again.</t>
        </is>
      </c>
      <c r="F926" s="16" t="n"/>
      <c r="G926" s="16" t="n"/>
    </row>
    <row r="927">
      <c r="A927" s="10" t="inlineStr">
        <is>
          <t>RGT-28</t>
        </is>
      </c>
      <c r="B927" s="11" t="inlineStr">
        <is>
          <t>The DPO reads the documents a requester sent, then refuses the request at step 4 with a written reason</t>
        </is>
      </c>
      <c r="C927" s="11" t="n">
        <v>1</v>
      </c>
      <c r="D927" s="11" t="inlineStr">
        <is>
          <t>In Browser A click 'Make a request', choose 'Access (s.11)', type the request, click 'Add documents', choose letter.pdf and click 'Send the request'.</t>
        </is>
      </c>
      <c r="E927" s="11" t="inlineStr">
        <is>
          <t>letter.pdf is listed. After sending, 'Recorded as RR-...' appears with '... 1 document sent with it.' Note RR-R. Its card lists letter.pdf under 'Documents you sent'.</t>
        </is>
      </c>
      <c r="F927" s="16" t="n"/>
      <c r="G927" s="16" t="n"/>
    </row>
    <row r="928">
      <c r="A928" s="10" t="inlineStr">
        <is>
          <t>RGT-28</t>
        </is>
      </c>
      <c r="B928" s="11" t="inlineStr">
        <is>
          <t>The DPO reads the documents a requester sent, then refuses the request at step 4 with a written reason</t>
        </is>
      </c>
      <c r="C928" s="11" t="n">
        <v>2</v>
      </c>
      <c r="D928" s="11" t="inlineStr">
        <is>
          <t>In Browser B open RR-R.</t>
        </is>
      </c>
      <c r="E928" s="11" t="inlineStr">
        <is>
          <t>Under the request text 'Documents from the requester · 1' lists letter.pdf with its size, the date it was added and a 'Download' button.</t>
        </is>
      </c>
      <c r="F928" s="16" t="n"/>
      <c r="G928" s="16" t="n"/>
    </row>
    <row r="929">
      <c r="A929" s="10" t="inlineStr">
        <is>
          <t>RGT-28</t>
        </is>
      </c>
      <c r="B929" s="11" t="inlineStr">
        <is>
          <t>The DPO reads the documents a requester sent, then refuses the request at step 4 with a written reason</t>
        </is>
      </c>
      <c r="C929" s="11" t="n">
        <v>3</v>
      </c>
      <c r="D929" s="11" t="inlineStr">
        <is>
          <t>Click 'Download' beside letter.pdf and open the file.</t>
        </is>
      </c>
      <c r="E929" s="11" t="inlineStr">
        <is>
          <t>The same letter.pdf downloads and opens.</t>
        </is>
      </c>
      <c r="F929" s="16" t="n"/>
      <c r="G929" s="16" t="n"/>
    </row>
    <row r="930">
      <c r="A930" s="10" t="inlineStr">
        <is>
          <t>RGT-28</t>
        </is>
      </c>
      <c r="B930" s="11" t="inlineStr">
        <is>
          <t>The DPO reads the documents a requester sent, then refuses the request at step 4 with a written reason</t>
        </is>
      </c>
      <c r="C930" s="11" t="n">
        <v>4</v>
      </c>
      <c r="D930" s="11" t="inlineStr">
        <is>
          <t>Under 'History', on 'What was recorded' click 'Show'.</t>
        </is>
      </c>
      <c r="E930" s="11" t="inlineStr">
        <is>
          <t>The entries include 'Rights attachment added' and 'Rights attachment read' (the download just made). Neither shows the file's name.</t>
        </is>
      </c>
      <c r="F930" s="16" t="n"/>
      <c r="G930" s="16" t="n"/>
    </row>
    <row r="931">
      <c r="A931" s="10" t="inlineStr">
        <is>
          <t>RGT-28</t>
        </is>
      </c>
      <c r="B931" s="11" t="inlineStr">
        <is>
          <t>The DPO reads the documents a requester sent, then refuses the request at step 4 with a written reason</t>
        </is>
      </c>
      <c r="C931" s="11" t="n">
        <v>5</v>
      </c>
      <c r="D931" s="11" t="inlineStr">
        <is>
          <t>In '4 · A valid access request?' click 'Refuse this request'.</t>
        </is>
      </c>
      <c r="E931" s="11" t="inlineStr">
        <is>
          <t>A red box opens with 'Reason, in writing' (hint 'Sent to the requester with the grievance route. A refusal is still a response.') and a greyed-out 'Refuse and close'. The button now reads 'Keep the request'.</t>
        </is>
      </c>
      <c r="F931" s="16" t="n"/>
      <c r="G931" s="16" t="n"/>
    </row>
    <row r="932">
      <c r="A932" s="10" t="inlineStr">
        <is>
          <t>RGT-28</t>
        </is>
      </c>
      <c r="B932" s="11" t="inlineStr">
        <is>
          <t>The DPO reads the documents a requester sent, then refuses the request at step 4 with a written reason</t>
        </is>
      </c>
      <c r="C932" s="11" t="n">
        <v>6</v>
      </c>
      <c r="D932" s="11" t="inlineStr">
        <is>
          <t>Click 'Keep the request'.</t>
        </is>
      </c>
      <c r="E932" s="11" t="inlineStr">
        <is>
          <t>The red box closes and nothing is recorded; the button reads 'Refuse this request' again.</t>
        </is>
      </c>
      <c r="F932" s="16" t="n"/>
      <c r="G932" s="16" t="n"/>
    </row>
    <row r="933">
      <c r="A933" s="10" t="inlineStr">
        <is>
          <t>RGT-28</t>
        </is>
      </c>
      <c r="B933" s="11" t="inlineStr">
        <is>
          <t>The DPO reads the documents a requester sent, then refuses the request at step 4 with a written reason</t>
        </is>
      </c>
      <c r="C933" s="11" t="n">
        <v>7</v>
      </c>
      <c r="D933" s="11" t="inlineStr">
        <is>
          <t>Click 'Refuse this request', type the reason and click 'Refuse and close'.</t>
        </is>
      </c>
      <c r="E933" s="11" t="inlineStr">
        <is>
          <t>The message 'Refused, with reasons' appears. The header badge reads 'Refused'. The 'Next step' card reads 'Closed. Disagreement with the outcome is a grievance - a new request linked to this one.'</t>
        </is>
      </c>
      <c r="F933" s="16" t="n"/>
      <c r="G933" s="16" t="n"/>
    </row>
    <row r="934">
      <c r="A934" s="10" t="inlineStr">
        <is>
          <t>RGT-28</t>
        </is>
      </c>
      <c r="B934" s="11" t="inlineStr">
        <is>
          <t>The DPO reads the documents a requester sent, then refuses the request at step 4 with a written reason</t>
        </is>
      </c>
      <c r="C934" s="11" t="n">
        <v>8</v>
      </c>
      <c r="D934" s="11" t="inlineStr">
        <is>
          <t>In Browser A reload 'My requests' and click 'Show details' on RR-R.</t>
        </is>
      </c>
      <c r="E934" s="11" t="inlineStr">
        <is>
          <t>RR-R shows the badge 'Refused', 'Our response · &lt;date&gt;' with the reason, and a 'Dispute this response' button. 'Documents you sent' still lists letter.pdf.</t>
        </is>
      </c>
      <c r="F934" s="16" t="n"/>
      <c r="G934" s="16" t="n"/>
    </row>
    <row r="935">
      <c r="A935" s="10" t="inlineStr">
        <is>
          <t>RGT-28</t>
        </is>
      </c>
      <c r="B935" s="11" t="inlineStr">
        <is>
          <t>The DPO reads the documents a requester sent, then refuses the request at step 4 with a written reason</t>
        </is>
      </c>
      <c r="C935" s="11" t="n">
        <v>9</v>
      </c>
      <c r="D935" s="11" t="inlineStr">
        <is>
          <t>Ask the coordinator for the email sent to subject@cmp.local about RR-R.</t>
        </is>
      </c>
      <c r="E935" s="11" t="inlineStr">
        <is>
          <t>An email with the subject 'About your request &lt;RR-R&gt;' gives the reason and the grievance route.</t>
        </is>
      </c>
      <c r="F935" s="16" t="n"/>
      <c r="G935" s="16" t="n"/>
    </row>
    <row r="936">
      <c r="A936" s="10" t="inlineStr">
        <is>
          <t>BRE-01</t>
        </is>
      </c>
      <c r="B936" s="11" t="inlineStr">
        <is>
          <t>DPO logs an incident with what is known so far and a file kept as evidence</t>
        </is>
      </c>
      <c r="C936" s="11" t="n">
        <v>1</v>
      </c>
      <c r="D936" s="11" t="inlineStr">
        <is>
          <t>In Browser B open http://localhost:3000. Type dpo@cmp.local in 'Email or username' and SeedPassw0rd!2026 in 'Password' and click 'Sign in'. If the 'Verify it is you' page appears, ask the coordinator for the code, type it in '6-digit code' and click 'Verify and continue'.</t>
        </is>
      </c>
      <c r="E936" s="11" t="inlineStr">
        <is>
          <t>The Dashboard opens, signed in as Priya Menon (DPO).</t>
        </is>
      </c>
      <c r="F936" s="16" t="n"/>
      <c r="G936" s="16" t="n"/>
    </row>
    <row r="937">
      <c r="A937" s="10" t="inlineStr">
        <is>
          <t>BRE-01</t>
        </is>
      </c>
      <c r="B937" s="11" t="inlineStr">
        <is>
          <t>DPO logs an incident with what is known so far and a file kept as evidence</t>
        </is>
      </c>
      <c r="C937" s="11" t="n">
        <v>2</v>
      </c>
      <c r="D937" s="11" t="inlineStr">
        <is>
          <t>In the sidebar under 'Your work' click 'Breaches'.</t>
        </is>
      </c>
      <c r="E937" s="11" t="inlineStr">
        <is>
          <t>The page 'Incidents and personal data breaches' opens with a 'Log an incident' button at the top right. Above the list are 'Search' (hint 'INC-, BR-, title or place'), 'Show' (set to 'Open'), 'Validation', 'Duties', 'Recent activity', 'Tickets' and 'Sort'.</t>
        </is>
      </c>
      <c r="F937" s="16" t="n"/>
      <c r="G937" s="16" t="n"/>
    </row>
    <row r="938">
      <c r="A938" s="10" t="inlineStr">
        <is>
          <t>BRE-01</t>
        </is>
      </c>
      <c r="B938" s="11" t="inlineStr">
        <is>
          <t>DPO logs an incident with what is known so far and a file kept as evidence</t>
        </is>
      </c>
      <c r="C938" s="11" t="n">
        <v>3</v>
      </c>
      <c r="D938" s="11" t="inlineStr">
        <is>
          <t>Click 'Log an incident'.</t>
        </is>
      </c>
      <c r="E938" s="11" t="inlineStr">
        <is>
          <t>A dialog 'Log an incident' opens with the line 'As it was noticed. Every time is entered, not filled in: the clocks run from what you type.' It has 'Title', 'First noticed' (hint 'When it was detected. Starts the CERT-In clock'), 'Began', 'Where it occurred' (set to 'The platform's own database'), 'Where, in words', a box 'What is known so far' and 'Attachments'. 'Log the incident' is greyed out.</t>
        </is>
      </c>
      <c r="F938" s="16" t="n"/>
      <c r="G938" s="16" t="n"/>
    </row>
    <row r="939">
      <c r="A939" s="10" t="inlineStr">
        <is>
          <t>BRE-01</t>
        </is>
      </c>
      <c r="B939" s="11" t="inlineStr">
        <is>
          <t>DPO logs an incident with what is known so far and a file kept as evidence</t>
        </is>
      </c>
      <c r="C939" s="11" t="n">
        <v>4</v>
      </c>
      <c r="D939" s="11" t="inlineStr">
        <is>
          <t>Type the title, 'First noticed' and 'Began' from the test data. In 'Where it occurred' choose 'Elsewhere'.</t>
        </is>
      </c>
      <c r="E939" s="11" t="inlineStr">
        <is>
          <t>The hint under 'Where, in words' changes to 'Which store or system' and the field becomes required; 'Log the incident' stays greyed out until it is filled. Type the words from the test data.</t>
        </is>
      </c>
      <c r="F939" s="16" t="n"/>
      <c r="G939" s="16" t="n"/>
    </row>
    <row r="940">
      <c r="A940" s="10" t="inlineStr">
        <is>
          <t>BRE-01</t>
        </is>
      </c>
      <c r="B940" s="11" t="inlineStr">
        <is>
          <t>DPO logs an incident with what is known so far and a file kept as evidence</t>
        </is>
      </c>
      <c r="C940" s="11" t="n">
        <v>5</v>
      </c>
      <c r="D940" s="11" t="inlineStr">
        <is>
          <t>Read the box 'What is known so far'.</t>
        </is>
      </c>
      <c r="E940" s="11" t="inlineStr">
        <is>
          <t>It says 'All optional - answer what you can now. These are kept as logged; what is learned later goes in the assessment.' It asks 'Is it a cyber attack?' with 'Yes - reportable to CERT-In', 'No' and 'Not known yet', and the line 'Yes starts the CERT-In duty: six hours from when it was first noticed.' Below are ten boxes: 'Where it started', 'How it was found', 'Systems affected', 'What happened', 'How much is affected', 'Countries involved', 'Kinds of personal data', 'Whose data', 'Our entities involved or affected' and 'Third parties involved'.</t>
        </is>
      </c>
      <c r="F940" s="16" t="n"/>
      <c r="G940" s="16" t="n"/>
    </row>
    <row r="941">
      <c r="A941" s="10" t="inlineStr">
        <is>
          <t>BRE-01</t>
        </is>
      </c>
      <c r="B941" s="11" t="inlineStr">
        <is>
          <t>DPO logs an incident with what is known so far and a file kept as evidence</t>
        </is>
      </c>
      <c r="C941" s="11" t="n">
        <v>6</v>
      </c>
      <c r="D941" s="11" t="inlineStr">
        <is>
          <t>Choose 'Not known yet' and fill in all ten boxes from the test data.</t>
        </is>
      </c>
      <c r="E941" s="11" t="inlineStr">
        <is>
          <t>A 'Clear' link appears beside the three choices. Each box takes the text.</t>
        </is>
      </c>
      <c r="F941" s="16" t="n"/>
      <c r="G941" s="16" t="n"/>
    </row>
    <row r="942">
      <c r="A942" s="10" t="inlineStr">
        <is>
          <t>BRE-01</t>
        </is>
      </c>
      <c r="B942" s="11" t="inlineStr">
        <is>
          <t>DPO logs an incident with what is known so far and a file kept as evidence</t>
        </is>
      </c>
      <c r="C942" s="11" t="n">
        <v>7</v>
      </c>
      <c r="D942" s="11" t="inlineStr">
        <is>
          <t>Under 'Attachments' click 'Attach a file'. Choose uat-incident-01-email.pdf with the file picker and leave 'What it is' as it is.</t>
        </is>
      </c>
      <c r="E942" s="11" t="inlineStr">
        <is>
          <t>The file's name and size are shown. 'What it is' is set to 'Email' and offers 'Email', 'Proof', 'Chat' and 'Other'. The button now reads 'Attach another file'.</t>
        </is>
      </c>
      <c r="F942" s="16" t="n"/>
      <c r="G942" s="16" t="n"/>
    </row>
    <row r="943">
      <c r="A943" s="10" t="inlineStr">
        <is>
          <t>BRE-01</t>
        </is>
      </c>
      <c r="B943" s="11" t="inlineStr">
        <is>
          <t>DPO logs an incident with what is known so far and a file kept as evidence</t>
        </is>
      </c>
      <c r="C943" s="11" t="n">
        <v>8</v>
      </c>
      <c r="D943" s="11" t="inlineStr">
        <is>
          <t>Click 'Log the incident'.</t>
        </is>
      </c>
      <c r="E943" s="11" t="inlineStr">
        <is>
          <t>The message '&lt;reference&gt; logged' appears with "With 1 attached file. Validate it next: is it a personal data breach?". The incident's page opens: eyebrow 'Incident, being validated', the reference INC-YYYY-NNNN as heading, the title under it, the badges 'Still validating' and 'Open', and the buttons 'Brief for the organisation's board', 'Documents for the Board' and 'Audit trail'. Write down the reference (INC-A).</t>
        </is>
      </c>
      <c r="F943" s="16" t="n"/>
      <c r="G943" s="16" t="n"/>
    </row>
    <row r="944">
      <c r="A944" s="10" t="inlineStr">
        <is>
          <t>BRE-01</t>
        </is>
      </c>
      <c r="B944" s="11" t="inlineStr">
        <is>
          <t>DPO logs an incident with what is known so far and a file kept as evidence</t>
        </is>
      </c>
      <c r="C944" s="11" t="n">
        <v>9</v>
      </c>
      <c r="D944" s="11" t="inlineStr">
        <is>
          <t>Look above the tabs.</t>
        </is>
      </c>
      <c r="E944" s="11" t="inlineStr">
        <is>
          <t>A card 'Close' shows a 'Not yet' box listing 'Record whether this is a personal data breach before closing it'; 'Close the breach' is greyed out. An information box 'Not validated yet' reads 'Is it a personal data breach under s.2(u)? A yes records it and starts the DPDP duties.' with a 'Record the validation' link.</t>
        </is>
      </c>
      <c r="F944" s="16" t="n"/>
      <c r="G944" s="16" t="n"/>
    </row>
    <row r="945">
      <c r="A945" s="10" t="inlineStr">
        <is>
          <t>BRE-01</t>
        </is>
      </c>
      <c r="B945" s="11" t="inlineStr">
        <is>
          <t>DPO logs an incident with what is known so far and a file kept as evidence</t>
        </is>
      </c>
      <c r="C945" s="11" t="n">
        <v>10</v>
      </c>
      <c r="D945" s="11" t="inlineStr">
        <is>
          <t>Read the 'Details' card (beside the 'Close' card; below the tabs on a narrow screen).</t>
        </is>
      </c>
      <c r="E945" s="11" t="inlineStr">
        <is>
          <t>It shows 'Recorded as a breach': 'Not yet: a validation of yes records it'; 'First noticed' and 'Began' as typed; 'Became aware': 'Set with a validation of yes'; 'Where': 'Elsewhere' with the words typed; 'Cyber attack': 'Not known yet'; then each of the ten answers under its own label; and 'Logged' with the time and "by Priya Menon".</t>
        </is>
      </c>
      <c r="F945" s="16" t="n"/>
      <c r="G945" s="16" t="n"/>
    </row>
    <row r="946">
      <c r="A946" s="10" t="inlineStr">
        <is>
          <t>BRE-01</t>
        </is>
      </c>
      <c r="B946" s="11" t="inlineStr">
        <is>
          <t>DPO logs an incident with what is known so far and a file kept as evidence</t>
        </is>
      </c>
      <c r="C946" s="11" t="n">
        <v>11</v>
      </c>
      <c r="D946" s="11" t="inlineStr">
        <is>
          <t>Look at the 'Duties' tab (open by default).</t>
        </is>
      </c>
      <c r="E946" s="11" t="inlineStr">
        <is>
          <t>One row: 'Organisation's board' with 'Internal policy: within 30 minutes of first noticed' under it, the badge 'Outstanding', a due time 30 minutes after 'First noticed', a clock such as '&lt;time&gt; left' and a 'Record the report' button. There is no 'Report to CERT-In' row; instead a box asks whether it is a reportable cyber incident, with a 'Mark reportable to CERT-In' button.</t>
        </is>
      </c>
      <c r="F946" s="16" t="n"/>
      <c r="G946" s="16" t="n"/>
    </row>
    <row r="947">
      <c r="A947" s="10" t="inlineStr">
        <is>
          <t>BRE-01</t>
        </is>
      </c>
      <c r="B947" s="11" t="inlineStr">
        <is>
          <t>DPO logs an incident with what is known so far and a file kept as evidence</t>
        </is>
      </c>
      <c r="C947" s="11" t="n">
        <v>12</v>
      </c>
      <c r="D947" s="11" t="inlineStr">
        <is>
          <t>Click the 'Attachments' tab.</t>
        </is>
      </c>
      <c r="E947" s="11" t="inlineStr">
        <is>
          <t>The tab count is 1. The card 'Attachments' says 'The email that reported it, proofs, chats, logs - kept as evidence. A file is never replaced or removed; every download is recorded on the audit trail.' The file is listed with the badge 'Email', its size, "added &lt;date&gt; by Priya Menon", the start of its fingerprint and a 'Download' button. There is no delete or replace control.</t>
        </is>
      </c>
      <c r="F947" s="16" t="n"/>
      <c r="G947" s="16" t="n"/>
    </row>
    <row r="948">
      <c r="A948" s="10" t="inlineStr">
        <is>
          <t>BRE-01</t>
        </is>
      </c>
      <c r="B948" s="11" t="inlineStr">
        <is>
          <t>DPO logs an incident with what is known so far and a file kept as evidence</t>
        </is>
      </c>
      <c r="C948" s="11" t="n">
        <v>13</v>
      </c>
      <c r="D948" s="11" t="inlineStr">
        <is>
          <t>Click 'Attach a file'. Choose uat-incident-01-photo.png under 'File', set 'What it is' to 'Proof', type the note from the test data in 'Note' and click 'Attach'.</t>
        </is>
      </c>
      <c r="E948" s="11" t="inlineStr">
        <is>
          <t>The message 'File attached' with 'Kept with the incident as evidence.' appears. A second row shows 'Proof', the file name and the note. The tab count is 2.</t>
        </is>
      </c>
      <c r="F948" s="16" t="n"/>
      <c r="G948" s="16" t="n"/>
    </row>
    <row r="949">
      <c r="A949" s="10" t="inlineStr">
        <is>
          <t>BRE-01</t>
        </is>
      </c>
      <c r="B949" s="11" t="inlineStr">
        <is>
          <t>DPO logs an incident with what is known so far and a file kept as evidence</t>
        </is>
      </c>
      <c r="C949" s="11" t="n">
        <v>14</v>
      </c>
      <c r="D949" s="11" t="inlineStr">
        <is>
          <t>Click 'Download' on the email PDF.</t>
        </is>
      </c>
      <c r="E949" s="11" t="inlineStr">
        <is>
          <t>The same PDF that was attached downloads and opens.</t>
        </is>
      </c>
      <c r="F949" s="16" t="n"/>
      <c r="G949" s="16" t="n"/>
    </row>
    <row r="950">
      <c r="A950" s="10" t="inlineStr">
        <is>
          <t>BRE-02</t>
        </is>
      </c>
      <c r="B950" s="11" t="inlineStr">
        <is>
          <t>An incident logged with nothing optional; 'Yes' to cyber attack starts the CERT-In duty, and its filing is recorded</t>
        </is>
      </c>
      <c r="C950" s="11" t="n">
        <v>1</v>
      </c>
      <c r="D950" s="11" t="inlineStr">
        <is>
          <t>Click 'Breaches', then 'Log an incident'. Type the title and 'First noticed'. In 'Where it occurred' choose 'A processor'.</t>
        </is>
      </c>
      <c r="E950" s="11" t="inlineStr">
        <is>
          <t>Two fields appear: a search box (hint 'Name or code') and 'Processor', set to 'Choose…'. 'Log the incident' is greyed out until a processor is chosen.</t>
        </is>
      </c>
      <c r="F950" s="16" t="n"/>
      <c r="G950" s="16" t="n"/>
    </row>
    <row r="951">
      <c r="A951" s="10" t="inlineStr">
        <is>
          <t>BRE-02</t>
        </is>
      </c>
      <c r="B951" s="11" t="inlineStr">
        <is>
          <t>An incident logged with nothing optional; 'Yes' to cyber attack starts the CERT-In duty, and its filing is recorded</t>
        </is>
      </c>
      <c r="C951" s="11" t="n">
        <v>2</v>
      </c>
      <c r="D951" s="11" t="inlineStr">
        <is>
          <t>Type Pune in the search box, then choose Pune Motion Lab Pvt Ltd in 'Processor'.</t>
        </is>
      </c>
      <c r="E951" s="11" t="inlineStr">
        <is>
          <t>The list narrows to the processors matching the words, A to Z. Pune Motion Lab Pvt Ltd is chosen.</t>
        </is>
      </c>
      <c r="F951" s="16" t="n"/>
      <c r="G951" s="16" t="n"/>
    </row>
    <row r="952">
      <c r="A952" s="10" t="inlineStr">
        <is>
          <t>BRE-02</t>
        </is>
      </c>
      <c r="B952" s="11" t="inlineStr">
        <is>
          <t>An incident logged with nothing optional; 'Yes' to cyber attack starts the CERT-In duty, and its filing is recorded</t>
        </is>
      </c>
      <c r="C952" s="11" t="n">
        <v>3</v>
      </c>
      <c r="D952" s="11" t="inlineStr">
        <is>
          <t>Under 'Is it a cyber attack?' choose 'Yes - reportable to CERT-In'. Leave 'Began', the ten boxes and 'Attachments' empty. Click 'Log the incident'.</t>
        </is>
      </c>
      <c r="E952" s="11" t="inlineStr">
        <is>
          <t>The message '&lt;reference&gt; logged' appears with 'Validate it next: is it a personal data breach?'. The incident's page opens. Write down the reference (INC-B).</t>
        </is>
      </c>
      <c r="F952" s="16" t="n"/>
      <c r="G952" s="16" t="n"/>
    </row>
    <row r="953">
      <c r="A953" s="10" t="inlineStr">
        <is>
          <t>BRE-02</t>
        </is>
      </c>
      <c r="B953" s="11" t="inlineStr">
        <is>
          <t>An incident logged with nothing optional; 'Yes' to cyber attack starts the CERT-In duty, and its filing is recorded</t>
        </is>
      </c>
      <c r="C953" s="11" t="n">
        <v>4</v>
      </c>
      <c r="D953" s="11" t="inlineStr">
        <is>
          <t>Read the 'Details' card.</t>
        </is>
      </c>
      <c r="E953" s="11" t="inlineStr">
        <is>
          <t>'Began' reads 'Not known'; 'Where' reads 'Processor: &lt;name&gt;' (Pune Motion Lab Pvt Ltd); 'Cyber attack' reads 'Yes - reportable to CERT-In'. None of the ten 'What is known so far' labels appears - only what was said is shown.</t>
        </is>
      </c>
      <c r="F953" s="16" t="n"/>
      <c r="G953" s="16" t="n"/>
    </row>
    <row r="954">
      <c r="A954" s="10" t="inlineStr">
        <is>
          <t>BRE-02</t>
        </is>
      </c>
      <c r="B954" s="11" t="inlineStr">
        <is>
          <t>An incident logged with nothing optional; 'Yes' to cyber attack starts the CERT-In duty, and its filing is recorded</t>
        </is>
      </c>
      <c r="C954" s="11" t="n">
        <v>5</v>
      </c>
      <c r="D954" s="11" t="inlineStr">
        <is>
          <t>Look at the 'Duties' tab.</t>
        </is>
      </c>
      <c r="E954" s="11" t="inlineStr">
        <is>
          <t>Two rows: 'Organisation's board' (30 minutes) and 'Report to CERT-In' with 'CERT-In Directions 2022 (IT Act s.70B): within 6 hours of noticing' under it, due 6 hours after 'First noticed', with a clock such as "5 h 40 min left" and a 'Record submission' button. There is no 'Mark reportable to CERT-In' box - the duty already exists.</t>
        </is>
      </c>
      <c r="F954" s="16" t="n"/>
      <c r="G954" s="16" t="n"/>
    </row>
    <row r="955">
      <c r="A955" s="10" t="inlineStr">
        <is>
          <t>BRE-02</t>
        </is>
      </c>
      <c r="B955" s="11" t="inlineStr">
        <is>
          <t>An incident logged with nothing optional; 'Yes' to cyber attack starts the CERT-In duty, and its filing is recorded</t>
        </is>
      </c>
      <c r="C955" s="11" t="n">
        <v>6</v>
      </c>
      <c r="D955" s="11" t="inlineStr">
        <is>
          <t>On 'Report to CERT-In' click 'Record submission'.</t>
        </is>
      </c>
      <c r="E955" s="11" t="inlineStr">
        <is>
          <t>A dialog opens, titled with 'Record the submission' and the duty, with 'The platform never submits to a regulator. Record what was submitted through the regulator's own channel, when, and the reference it returned.' It has 'Submitted at' (hint 'When it was made, not when you are recording it'), 'Reference returned' (hint 'Acknowledgement or filing number') and 'Note'. 'Record' is greyed out.</t>
        </is>
      </c>
      <c r="F955" s="16" t="n"/>
      <c r="G955" s="16" t="n"/>
    </row>
    <row r="956">
      <c r="A956" s="10" t="inlineStr">
        <is>
          <t>BRE-02</t>
        </is>
      </c>
      <c r="B956" s="11" t="inlineStr">
        <is>
          <t>An incident logged with nothing optional; 'Yes' to cyber attack starts the CERT-In duty, and its filing is recorded</t>
        </is>
      </c>
      <c r="C956" s="11" t="n">
        <v>7</v>
      </c>
      <c r="D956" s="11" t="inlineStr">
        <is>
          <t>Type a 'Submitted at' time but leave 'Reference returned' empty.</t>
        </is>
      </c>
      <c r="E956" s="11" t="inlineStr">
        <is>
          <t>'Record' stays greyed out: the reference is required.</t>
        </is>
      </c>
      <c r="F956" s="16" t="n"/>
      <c r="G956" s="16" t="n"/>
    </row>
    <row r="957">
      <c r="A957" s="10" t="inlineStr">
        <is>
          <t>BRE-02</t>
        </is>
      </c>
      <c r="B957" s="11" t="inlineStr">
        <is>
          <t>An incident logged with nothing optional; 'Yes' to cyber attack starts the CERT-In duty, and its filing is recorded</t>
        </is>
      </c>
      <c r="C957" s="11" t="n">
        <v>8</v>
      </c>
      <c r="D957" s="11" t="inlineStr">
        <is>
          <t>Type CERTIN-UAT-01 in 'Reference returned', change 'Submitted at' to tomorrow and click 'Record'.</t>
        </is>
      </c>
      <c r="E957" s="11" t="inlineStr">
        <is>
          <t>The message 'Not recorded' with 'This time is in the future' appears. The duty is still 'Outstanding'.</t>
        </is>
      </c>
      <c r="F957" s="16" t="n"/>
      <c r="G957" s="16" t="n"/>
    </row>
    <row r="958">
      <c r="A958" s="10" t="inlineStr">
        <is>
          <t>BRE-02</t>
        </is>
      </c>
      <c r="B958" s="11" t="inlineStr">
        <is>
          <t>An incident logged with nothing optional; 'Yes' to cyber attack starts the CERT-In duty, and its filing is recorded</t>
        </is>
      </c>
      <c r="C958" s="11" t="n">
        <v>9</v>
      </c>
      <c r="D958" s="11" t="inlineStr">
        <is>
          <t>Change 'Submitted at' to one hour before 'First noticed' and click 'Record'.</t>
        </is>
      </c>
      <c r="E958" s="11" t="inlineStr">
        <is>
          <t>The message 'Not recorded' with 'A submission cannot come before its clock started' appears.</t>
        </is>
      </c>
      <c r="F958" s="16" t="n"/>
      <c r="G958" s="16" t="n"/>
    </row>
    <row r="959">
      <c r="A959" s="10" t="inlineStr">
        <is>
          <t>BRE-02</t>
        </is>
      </c>
      <c r="B959" s="11" t="inlineStr">
        <is>
          <t>An incident logged with nothing optional; 'Yes' to cyber attack starts the CERT-In duty, and its filing is recorded</t>
        </is>
      </c>
      <c r="C959" s="11" t="n">
        <v>10</v>
      </c>
      <c r="D959" s="11" t="inlineStr">
        <is>
          <t>Change 'Submitted at' to today, 5 minutes before now, and click 'Record'.</t>
        </is>
      </c>
      <c r="E959" s="11" t="inlineStr">
        <is>
          <t>A message ending ': recorded' appears with 'The submission and its reference are on the record.' The row shows the badge 'Done' with the time and CERTIN-UAT-01; its clock and button are gone.</t>
        </is>
      </c>
      <c r="F959" s="16" t="n"/>
      <c r="G959" s="16" t="n"/>
    </row>
    <row r="960">
      <c r="A960" s="10" t="inlineStr">
        <is>
          <t>BRE-02</t>
        </is>
      </c>
      <c r="B960" s="11" t="inlineStr">
        <is>
          <t>An incident logged with nothing optional; 'Yes' to cyber attack starts the CERT-In duty, and its filing is recorded</t>
        </is>
      </c>
      <c r="C960" s="11" t="n">
        <v>11</v>
      </c>
      <c r="D960" s="11" t="inlineStr">
        <is>
          <t>Read the 'Close' card.</t>
        </is>
      </c>
      <c r="E960" s="11" t="inlineStr">
        <is>
          <t>The 'Not yet' box lists 'Record whether this is a personal data breach before closing it' and the organisation's board duty, with a line ending 'is outstanding'. CERT-In is no longer listed.</t>
        </is>
      </c>
      <c r="F960" s="16" t="n"/>
      <c r="G960" s="16" t="n"/>
    </row>
    <row r="961">
      <c r="A961" s="10" t="inlineStr">
        <is>
          <t>BRE-03</t>
        </is>
      </c>
      <c r="B961" s="11" t="inlineStr">
        <is>
          <t>Log an incident refuses a missing title or time, a future time, a start after noticing, and an unnamed place</t>
        </is>
      </c>
      <c r="C961" s="11" t="n">
        <v>1</v>
      </c>
      <c r="D961" s="11" t="inlineStr">
        <is>
          <t>Click 'Breaches', then 'Log an incident'. Leave 'Title' empty and type a 'First noticed' time.</t>
        </is>
      </c>
      <c r="E961" s="11" t="inlineStr">
        <is>
          <t>'Log the incident' is greyed out. Type the title: it becomes available. Clear 'First noticed': it is greyed out again.</t>
        </is>
      </c>
      <c r="F961" s="16" t="n"/>
      <c r="G961" s="16" t="n"/>
    </row>
    <row r="962">
      <c r="A962" s="10" t="inlineStr">
        <is>
          <t>BRE-03</t>
        </is>
      </c>
      <c r="B962" s="11" t="inlineStr">
        <is>
          <t>Log an incident refuses a missing title or time, a future time, a start after noticing, and an unnamed place</t>
        </is>
      </c>
      <c r="C962" s="11" t="n">
        <v>2</v>
      </c>
      <c r="D962" s="11" t="inlineStr">
        <is>
          <t>Type tomorrow, 10:00 in 'First noticed' and click 'Log the incident'.</t>
        </is>
      </c>
      <c r="E962" s="11" t="inlineStr">
        <is>
          <t>The message 'Not logged' with 'This time is in the future' appears. The dialog stays open.</t>
        </is>
      </c>
      <c r="F962" s="16" t="n"/>
      <c r="G962" s="16" t="n"/>
    </row>
    <row r="963">
      <c r="A963" s="10" t="inlineStr">
        <is>
          <t>BRE-03</t>
        </is>
      </c>
      <c r="B963" s="11" t="inlineStr">
        <is>
          <t>Log an incident refuses a missing title or time, a future time, a start after noticing, and an unnamed place</t>
        </is>
      </c>
      <c r="C963" s="11" t="n">
        <v>3</v>
      </c>
      <c r="D963" s="11" t="inlineStr">
        <is>
          <t>Change 'First noticed' to 1 hour before now and type 30 minutes before now in 'Began'. Click 'Log the incident'.</t>
        </is>
      </c>
      <c r="E963" s="11" t="inlineStr">
        <is>
          <t>The message 'Not logged' with 'It cannot have begun after it was first noticed' appears.</t>
        </is>
      </c>
      <c r="F963" s="16" t="n"/>
      <c r="G963" s="16" t="n"/>
    </row>
    <row r="964">
      <c r="A964" s="10" t="inlineStr">
        <is>
          <t>BRE-03</t>
        </is>
      </c>
      <c r="B964" s="11" t="inlineStr">
        <is>
          <t>Log an incident refuses a missing title or time, a future time, a start after noticing, and an unnamed place</t>
        </is>
      </c>
      <c r="C964" s="11" t="n">
        <v>4</v>
      </c>
      <c r="D964" s="11" t="inlineStr">
        <is>
          <t>Clear 'Began'. In 'Where it occurred' choose 'A data source'.</t>
        </is>
      </c>
      <c r="E964" s="11" t="inlineStr">
        <is>
          <t>A field 'Data source' set to 'Choose…' appears; 'Log the incident' is greyed out until one is chosen.</t>
        </is>
      </c>
      <c r="F964" s="16" t="n"/>
      <c r="G964" s="16" t="n"/>
    </row>
    <row r="965">
      <c r="A965" s="10" t="inlineStr">
        <is>
          <t>BRE-03</t>
        </is>
      </c>
      <c r="B965" s="11" t="inlineStr">
        <is>
          <t>Log an incident refuses a missing title or time, a future time, a start after noticing, and an unnamed place</t>
        </is>
      </c>
      <c r="C965" s="11" t="n">
        <v>5</v>
      </c>
      <c r="D965" s="11" t="inlineStr">
        <is>
          <t>Choose 'Elsewhere' and leave 'Where, in words' empty.</t>
        </is>
      </c>
      <c r="E965" s="11" t="inlineStr">
        <is>
          <t>'Log the incident' is greyed out; the hint under 'Where, in words' reads 'Which store or system'.</t>
        </is>
      </c>
      <c r="F965" s="16" t="n"/>
      <c r="G965" s="16" t="n"/>
    </row>
    <row r="966">
      <c r="A966" s="10" t="inlineStr">
        <is>
          <t>BRE-03</t>
        </is>
      </c>
      <c r="B966" s="11" t="inlineStr">
        <is>
          <t>Log an incident refuses a missing title or time, a future time, a start after noticing, and an unnamed place</t>
        </is>
      </c>
      <c r="C966" s="11" t="n">
        <v>6</v>
      </c>
      <c r="D966" s="11" t="inlineStr">
        <is>
          <t>Under 'Is it a cyber attack?' choose 'Yes - reportable to CERT-In', then click 'Clear'.</t>
        </is>
      </c>
      <c r="E966" s="11" t="inlineStr">
        <is>
          <t>None of the three choices stays selected and the 'Clear' link disappears: the question can be left unanswered.</t>
        </is>
      </c>
      <c r="F966" s="16" t="n"/>
      <c r="G966" s="16" t="n"/>
    </row>
    <row r="967">
      <c r="A967" s="10" t="inlineStr">
        <is>
          <t>BRE-03</t>
        </is>
      </c>
      <c r="B967" s="11" t="inlineStr">
        <is>
          <t>Log an incident refuses a missing title or time, a future time, a start after noticing, and an unnamed place</t>
        </is>
      </c>
      <c r="C967" s="11" t="n">
        <v>7</v>
      </c>
      <c r="D967" s="11" t="inlineStr">
        <is>
          <t>Click 'Cancel'. In 'Search' type Incident 99 and press Enter.</t>
        </is>
      </c>
      <c r="E967" s="11" t="inlineStr">
        <is>
          <t>The dialog closes. The register shows 'Nothing matches' with 'No incident in this register matches the search and filters.' - nothing was logged by the refused attempts. Click 'Clear filters'.</t>
        </is>
      </c>
      <c r="F967" s="16" t="n"/>
      <c r="G967" s="16" t="n"/>
    </row>
    <row r="968">
      <c r="A968" s="10" t="inlineStr">
        <is>
          <t>BRE-04</t>
        </is>
      </c>
      <c r="B968" s="11" t="inlineStr">
        <is>
          <t>The organisation's board within 30 minutes: brief, print, record the report; a late-logged incident starts overdue</t>
        </is>
      </c>
      <c r="C968" s="11" t="n">
        <v>1</v>
      </c>
      <c r="D968" s="11" t="inlineStr">
        <is>
          <t>In the sidebar under 'Your work' click 'Breaches', then click the reference INC-A in the 'Reference' column.</t>
        </is>
      </c>
      <c r="E968" s="11" t="inlineStr">
        <is>
          <t>The page for INC-A opens, with an 'Incidents and breaches' back link above the heading.</t>
        </is>
      </c>
      <c r="F968" s="16" t="n"/>
      <c r="G968" s="16" t="n"/>
    </row>
    <row r="969">
      <c r="A969" s="10" t="inlineStr">
        <is>
          <t>BRE-04</t>
        </is>
      </c>
      <c r="B969" s="11" t="inlineStr">
        <is>
          <t>The organisation's board within 30 minutes: brief, print, record the report; a late-logged incident starts overdue</t>
        </is>
      </c>
      <c r="C969" s="11" t="n">
        <v>2</v>
      </c>
      <c r="D969" s="11" t="inlineStr">
        <is>
          <t>Click 'Brief for the organisation's board'.</t>
        </is>
      </c>
      <c r="E969" s="11" t="inlineStr">
        <is>
          <t>A page opens headed 'Brief for the organisation's board' with INC-A, the eyebrow 'Incident', a 'Back to the incident' link and a 'Print' button. Its line reads 'Drafted from the register as it stands. The platform does not report to the board: tell it through the organisation's own channel, then record when and to whom on the incident's duties.'</t>
        </is>
      </c>
      <c r="F969" s="16" t="n"/>
      <c r="G969" s="16" t="n"/>
    </row>
    <row r="970">
      <c r="A970" s="10" t="inlineStr">
        <is>
          <t>BRE-04</t>
        </is>
      </c>
      <c r="B970" s="11" t="inlineStr">
        <is>
          <t>The organisation's board within 30 minutes: brief, print, record the report; a late-logged incident starts overdue</t>
        </is>
      </c>
      <c r="C970" s="11" t="n">
        <v>3</v>
      </c>
      <c r="D970" s="11" t="inlineStr">
        <is>
          <t>Read the brief.</t>
        </is>
      </c>
      <c r="E970" s="11" t="inlineStr">
        <is>
          <t>The card is headed 'Internal policy: within 30 minutes of first noticed' with 'Drafted &lt;date and time&gt; from the register.' A box 'Not yet in the register' lists 'Whether it is a personal data breach - validation is still pending', 'The nature and extent of what happened' and 'Who it touched - no list has been confirmed'. It shows 'Reference', 'What', 'First noticed', 'Began', 'Where it occurred', 'Validation' ('Still validating'), 'Reportable to CERT-In' ('Not marked'), 'Who it touched' ('No list confirmed yet') and 'Duties and their clocks'. No person's name appears - not even who logged it.</t>
        </is>
      </c>
      <c r="F970" s="16" t="n"/>
      <c r="G970" s="16" t="n"/>
    </row>
    <row r="971">
      <c r="A971" s="10" t="inlineStr">
        <is>
          <t>BRE-04</t>
        </is>
      </c>
      <c r="B971" s="11" t="inlineStr">
        <is>
          <t>The organisation's board within 30 minutes: brief, print, record the report; a late-logged incident starts overdue</t>
        </is>
      </c>
      <c r="C971" s="11" t="n">
        <v>4</v>
      </c>
      <c r="D971" s="11" t="inlineStr">
        <is>
          <t>Click 'Print', look at the preview, then cancel the print.</t>
        </is>
      </c>
      <c r="E971" s="11" t="inlineStr">
        <is>
          <t>The browser's print preview shows the brief without the sidebar, the 'Print' button or the back link.</t>
        </is>
      </c>
      <c r="F971" s="16" t="n"/>
      <c r="G971" s="16" t="n"/>
    </row>
    <row r="972">
      <c r="A972" s="10" t="inlineStr">
        <is>
          <t>BRE-04</t>
        </is>
      </c>
      <c r="B972" s="11" t="inlineStr">
        <is>
          <t>The organisation's board within 30 minutes: brief, print, record the report; a late-logged incident starts overdue</t>
        </is>
      </c>
      <c r="C972" s="11" t="n">
        <v>5</v>
      </c>
      <c r="D972" s="11" t="inlineStr">
        <is>
          <t>Click 'Back to the incident'. On 'Organisation's board' click 'Record the report'.</t>
        </is>
      </c>
      <c r="E972" s="11" t="inlineStr">
        <is>
          <t>A dialog 'Record the report - Organisation's board' opens with 'The platform never reports to the organisation's board. Record when a person reported to it, and to whom.' It has 'Reported at', 'Reported to' (hint 'Who was told, and how - for example the chair, by phone') and 'Note' - no 'Reference returned'. 'Record' is greyed out.</t>
        </is>
      </c>
      <c r="F972" s="16" t="n"/>
      <c r="G972" s="16" t="n"/>
    </row>
    <row r="973">
      <c r="A973" s="10" t="inlineStr">
        <is>
          <t>BRE-04</t>
        </is>
      </c>
      <c r="B973" s="11" t="inlineStr">
        <is>
          <t>The organisation's board within 30 minutes: brief, print, record the report; a late-logged incident starts overdue</t>
        </is>
      </c>
      <c r="C973" s="11" t="n">
        <v>6</v>
      </c>
      <c r="D973" s="11" t="inlineStr">
        <is>
          <t>Type 'Reported at' only.</t>
        </is>
      </c>
      <c r="E973" s="11" t="inlineStr">
        <is>
          <t>'Record' stays greyed out: whom it was reported to is required.</t>
        </is>
      </c>
      <c r="F973" s="16" t="n"/>
      <c r="G973" s="16" t="n"/>
    </row>
    <row r="974">
      <c r="A974" s="10" t="inlineStr">
        <is>
          <t>BRE-04</t>
        </is>
      </c>
      <c r="B974" s="11" t="inlineStr">
        <is>
          <t>The organisation's board within 30 minutes: brief, print, record the report; a late-logged incident starts overdue</t>
        </is>
      </c>
      <c r="C974" s="11" t="n">
        <v>7</v>
      </c>
      <c r="D974" s="11" t="inlineStr">
        <is>
          <t>Type 'Reported to' from the test data and click 'Record'.</t>
        </is>
      </c>
      <c r="E974" s="11" t="inlineStr">
        <is>
          <t>A message ending ': recorded' appears with 'The report and whom it was made to are on the record.' The row shows 'Done' with the time and "to The chair of the board, by phone (Tester01)". The 'Close' card no longer lists the organisation's board.</t>
        </is>
      </c>
      <c r="F974" s="16" t="n"/>
      <c r="G974" s="16" t="n"/>
    </row>
    <row r="975">
      <c r="A975" s="10" t="inlineStr">
        <is>
          <t>BRE-04</t>
        </is>
      </c>
      <c r="B975" s="11" t="inlineStr">
        <is>
          <t>The organisation's board within 30 minutes: brief, print, record the report; a late-logged incident starts overdue</t>
        </is>
      </c>
      <c r="C975" s="11" t="n">
        <v>8</v>
      </c>
      <c r="D975" s="11" t="inlineStr">
        <is>
          <t>Click 'Breaches', then 'Log an incident', and log the new incident from the test data (45 minutes ago, 'The platform's own database', 'No').</t>
        </is>
      </c>
      <c r="E975" s="11" t="inlineStr">
        <is>
          <t>The new incident's page opens. Write down its reference (INC-C).</t>
        </is>
      </c>
      <c r="F975" s="16" t="n"/>
      <c r="G975" s="16" t="n"/>
    </row>
    <row r="976">
      <c r="A976" s="10" t="inlineStr">
        <is>
          <t>BRE-04</t>
        </is>
      </c>
      <c r="B976" s="11" t="inlineStr">
        <is>
          <t>The organisation's board within 30 minutes: brief, print, record the report; a late-logged incident starts overdue</t>
        </is>
      </c>
      <c r="C976" s="11" t="n">
        <v>9</v>
      </c>
      <c r="D976" s="11" t="inlineStr">
        <is>
          <t>Look at the 'Duties' tab.</t>
        </is>
      </c>
      <c r="E976" s="11" t="inlineStr">
        <is>
          <t>The 'Organisation's board' row is tinted red with a red 'Outstanding' badge and a clock such as 'Overdue by &lt;time&gt;' (about 15 min). The tab shows '&lt;n&gt; late' beside 'Duties'. There is no 'Report to CERT-In' row; the 'Mark reportable to CERT-In' box is offered (answering 'No' creates nothing).</t>
        </is>
      </c>
      <c r="F976" s="16" t="n"/>
      <c r="G976" s="16" t="n"/>
    </row>
    <row r="977">
      <c r="A977" s="10" t="inlineStr">
        <is>
          <t>BRE-04</t>
        </is>
      </c>
      <c r="B977" s="11" t="inlineStr">
        <is>
          <t>The organisation's board within 30 minutes: brief, print, record the report; a late-logged incident starts overdue</t>
        </is>
      </c>
      <c r="C977" s="11" t="n">
        <v>10</v>
      </c>
      <c r="D977" s="11" t="inlineStr">
        <is>
          <t>Click 'Dashboard' in the sidebar.</t>
        </is>
      </c>
      <c r="E977" s="11" t="inlineStr">
        <is>
          <t>'Needs attention' lists 'Breach duties overdue'. A card 'Open breaches' lists INC-A, INC-B and INC-C with each duty's badge and clock; INC-C's organisation's board reads 'Overdue by ...' in red.</t>
        </is>
      </c>
      <c r="F977" s="16" t="n"/>
      <c r="G977" s="16" t="n"/>
    </row>
    <row r="978">
      <c r="A978" s="10" t="inlineStr">
        <is>
          <t>BRE-04</t>
        </is>
      </c>
      <c r="B978" s="11" t="inlineStr">
        <is>
          <t>The organisation's board within 30 minutes: brief, print, record the report; a late-logged incident starts overdue</t>
        </is>
      </c>
      <c r="C978" s="11" t="n">
        <v>11</v>
      </c>
      <c r="D978" s="11" t="inlineStr">
        <is>
          <t>Wait up to 10 minutes, then ask the coordinator to check the outbox for mail to dpo@cmp.local about INC-C.</t>
        </is>
      </c>
      <c r="E978" s="11" t="inlineStr">
        <is>
          <t>One email whose subject starts with INC-C and says the organisation's board duty is overdue since &lt;time&gt;, with a link to the incident. Asked again 10 minutes later, the coordinator finds no repeat of it. (Similar emails may arrive for INC-B, whose board report is never recorded, and for any duty that falls due while testing.)</t>
        </is>
      </c>
      <c r="F978" s="16" t="n"/>
      <c r="G978" s="16" t="n"/>
    </row>
    <row r="979">
      <c r="A979" s="10" t="inlineStr">
        <is>
          <t>BRE-05</t>
        </is>
      </c>
      <c r="B979" s="11" t="inlineStr">
        <is>
          <t>Validation 'No': the incident stays an incident, nothing reaches anyone, and it closes once the board is told</t>
        </is>
      </c>
      <c r="C979" s="11" t="n">
        <v>1</v>
      </c>
      <c r="D979" s="11" t="inlineStr">
        <is>
          <t>In the sidebar under 'Your work' click 'Breaches', then click the reference INC-C in the 'Reference' column.</t>
        </is>
      </c>
      <c r="E979" s="11" t="inlineStr">
        <is>
          <t>The page for INC-C opens, with an 'Incidents and breaches' back link above the heading.</t>
        </is>
      </c>
      <c r="F979" s="16" t="n"/>
      <c r="G979" s="16" t="n"/>
    </row>
    <row r="980">
      <c r="A980" s="10" t="inlineStr">
        <is>
          <t>BRE-05</t>
        </is>
      </c>
      <c r="B980" s="11" t="inlineStr">
        <is>
          <t>Validation 'No': the incident stays an incident, nothing reaches anyone, and it closes once the board is told</t>
        </is>
      </c>
      <c r="C980" s="11" t="n">
        <v>2</v>
      </c>
      <c r="D980" s="11" t="inlineStr">
        <is>
          <t>In the 'Not validated yet' box click 'Record the validation'.</t>
        </is>
      </c>
      <c r="E980" s="11" t="inlineStr">
        <is>
          <t>The 'Validation' tab opens with the card 'Validation - is it a personal data breach under s.2(u)?' and 'Still validating. The clocks already running keep running.' It has 'Validation' (set to 'Yes, record it as a personal data breach'), 'Became aware at' (hint 'Starts every DPDP clock'), 'Reasoning' and a greyed-out 'Record the validation' button.</t>
        </is>
      </c>
      <c r="F980" s="16" t="n"/>
      <c r="G980" s="16" t="n"/>
    </row>
    <row r="981">
      <c r="A981" s="10" t="inlineStr">
        <is>
          <t>BRE-05</t>
        </is>
      </c>
      <c r="B981" s="11" t="inlineStr">
        <is>
          <t>Validation 'No': the incident stays an incident, nothing reaches anyone, and it closes once the board is told</t>
        </is>
      </c>
      <c r="C981" s="11" t="n">
        <v>3</v>
      </c>
      <c r="D981" s="11" t="inlineStr">
        <is>
          <t>In 'Validation' choose 'Not a personal data breach'.</t>
        </is>
      </c>
      <c r="E981" s="11" t="inlineStr">
        <is>
          <t>'Became aware at' disappears. 'Record the validation' stays greyed out while 'Reasoning' is empty.</t>
        </is>
      </c>
      <c r="F981" s="16" t="n"/>
      <c r="G981" s="16" t="n"/>
    </row>
    <row r="982">
      <c r="A982" s="10" t="inlineStr">
        <is>
          <t>BRE-05</t>
        </is>
      </c>
      <c r="B982" s="11" t="inlineStr">
        <is>
          <t>Validation 'No': the incident stays an incident, nothing reaches anyone, and it closes once the board is told</t>
        </is>
      </c>
      <c r="C982" s="11" t="n">
        <v>4</v>
      </c>
      <c r="D982" s="11" t="inlineStr">
        <is>
          <t>Type the reasoning and click 'Record the validation'.</t>
        </is>
      </c>
      <c r="E982" s="11" t="inlineStr">
        <is>
          <t>The message 'Validation recorded' with 'Not a personal data breach' appears. The card lists 'Not a personal data breach' with the time, Priya Menon and the reasoning.</t>
        </is>
      </c>
      <c r="F982" s="16" t="n"/>
      <c r="G982" s="16" t="n"/>
    </row>
    <row r="983">
      <c r="A983" s="10" t="inlineStr">
        <is>
          <t>BRE-05</t>
        </is>
      </c>
      <c r="B983" s="11" t="inlineStr">
        <is>
          <t>Validation 'No': the incident stays an incident, nothing reaches anyone, and it closes once the board is told</t>
        </is>
      </c>
      <c r="C983" s="11" t="n">
        <v>5</v>
      </c>
      <c r="D983" s="11" t="inlineStr">
        <is>
          <t>Look at the header and the 'Details' card.</t>
        </is>
      </c>
      <c r="E983" s="11" t="inlineStr">
        <is>
          <t>The heading is still INC-C (no BR- reference was issued) and the eyebrow still 'Incident, being validated'. The green badge reads 'Not a personal data breach'. 'Recorded as a breach' still reads 'Not yet: a validation of yes records it'. The 'Not validated yet' box is gone.</t>
        </is>
      </c>
      <c r="F983" s="16" t="n"/>
      <c r="G983" s="16" t="n"/>
    </row>
    <row r="984">
      <c r="A984" s="10" t="inlineStr">
        <is>
          <t>BRE-05</t>
        </is>
      </c>
      <c r="B984" s="11" t="inlineStr">
        <is>
          <t>Validation 'No': the incident stays an incident, nothing reaches anyone, and it closes once the board is told</t>
        </is>
      </c>
      <c r="C984" s="11" t="n">
        <v>6</v>
      </c>
      <c r="D984" s="11" t="inlineStr">
        <is>
          <t>Click the 'Duties' tab.</t>
        </is>
      </c>
      <c r="E984" s="11" t="inlineStr">
        <is>
          <t>Only 'Organisation's board' is listed. There is no 'Board - initial intimation', 'Board - detailed report' or 'Principals notified'.</t>
        </is>
      </c>
      <c r="F984" s="16" t="n"/>
      <c r="G984" s="16" t="n"/>
    </row>
    <row r="985">
      <c r="A985" s="10" t="inlineStr">
        <is>
          <t>BRE-05</t>
        </is>
      </c>
      <c r="B985" s="11" t="inlineStr">
        <is>
          <t>Validation 'No': the incident stays an incident, nothing reaches anyone, and it closes once the board is told</t>
        </is>
      </c>
      <c r="C985" s="11" t="n">
        <v>7</v>
      </c>
      <c r="D985" s="11" t="inlineStr">
        <is>
          <t>Click the 'People &amp; notices' tab, then the 'Tickets' tab.</t>
        </is>
      </c>
      <c r="E985" s="11" t="inlineStr">
        <is>
          <t>Under 'Telling the people it touched' a box 'Not sent before the breach is recorded' reads "Record the breach before anyone is notified: validate it as a personal data breach first". On 'Tickets' a box 'Tickets wait for the breach to be recorded' is shown and there is no 'Assign a ticket' button.</t>
        </is>
      </c>
      <c r="F985" s="16" t="n"/>
      <c r="G985" s="16" t="n"/>
    </row>
    <row r="986">
      <c r="A986" s="10" t="inlineStr">
        <is>
          <t>BRE-05</t>
        </is>
      </c>
      <c r="B986" s="11" t="inlineStr">
        <is>
          <t>Validation 'No': the incident stays an incident, nothing reaches anyone, and it closes once the board is told</t>
        </is>
      </c>
      <c r="C986" s="11" t="n">
        <v>8</v>
      </c>
      <c r="D986" s="11" t="inlineStr">
        <is>
          <t>Read the 'Close' card.</t>
        </is>
      </c>
      <c r="E986" s="11" t="inlineStr">
        <is>
          <t>The 'Not yet' box lists only the organisation's board duty, ending 'is outstanding'. 'Close the breach' is greyed out.</t>
        </is>
      </c>
      <c r="F986" s="16" t="n"/>
      <c r="G986" s="16" t="n"/>
    </row>
    <row r="987">
      <c r="A987" s="10" t="inlineStr">
        <is>
          <t>BRE-05</t>
        </is>
      </c>
      <c r="B987" s="11" t="inlineStr">
        <is>
          <t>Validation 'No': the incident stays an incident, nothing reaches anyone, and it closes once the board is told</t>
        </is>
      </c>
      <c r="C987" s="11" t="n">
        <v>9</v>
      </c>
      <c r="D987" s="11" t="inlineStr">
        <is>
          <t>On the 'Duties' tab click 'Record the report' and record it with the test data.</t>
        </is>
      </c>
      <c r="E987" s="11" t="inlineStr">
        <is>
          <t>The row shows 'Done'. The 'Close' card has no 'Not yet' box and 'Close the breach' is available.</t>
        </is>
      </c>
      <c r="F987" s="16" t="n"/>
      <c r="G987" s="16" t="n"/>
    </row>
    <row r="988">
      <c r="A988" s="10" t="inlineStr">
        <is>
          <t>BRE-05</t>
        </is>
      </c>
      <c r="B988" s="11" t="inlineStr">
        <is>
          <t>Validation 'No': the incident stays an incident, nothing reaches anyone, and it closes once the board is told</t>
        </is>
      </c>
      <c r="C988" s="11" t="n">
        <v>10</v>
      </c>
      <c r="D988" s="11" t="inlineStr">
        <is>
          <t>Click 'Close the breach'.</t>
        </is>
      </c>
      <c r="E988" s="11" t="inlineStr">
        <is>
          <t>The message 'Breach closed' appears. The badge reads 'Closed'. The card is now 'Reopen' with 'Why it is being reopened' and a greyed-out 'Reopen the breach'. The 'Validation' tab no longer has a form and the 'Duties' tab no longer offers 'Mark reportable to CERT-In'.</t>
        </is>
      </c>
      <c r="F988" s="16" t="n"/>
      <c r="G988" s="16" t="n"/>
    </row>
    <row r="989">
      <c r="A989" s="10" t="inlineStr">
        <is>
          <t>BRE-05</t>
        </is>
      </c>
      <c r="B989" s="11" t="inlineStr">
        <is>
          <t>Validation 'No': the incident stays an incident, nothing reaches anyone, and it closes once the board is told</t>
        </is>
      </c>
      <c r="C989" s="11" t="n">
        <v>11</v>
      </c>
      <c r="D989" s="11" t="inlineStr">
        <is>
          <t>Click the 'Activity' tab.</t>
        </is>
      </c>
      <c r="E989" s="11" t="inlineStr">
        <is>
          <t>'History' lists, newest first, 'Open' → 'Closed' and 'Logged as' 'Open', each with Priya Menon and the time.</t>
        </is>
      </c>
      <c r="F989" s="16" t="n"/>
      <c r="G989" s="16" t="n"/>
    </row>
    <row r="990">
      <c r="A990" s="10" t="inlineStr">
        <is>
          <t>BRE-05</t>
        </is>
      </c>
      <c r="B990" s="11" t="inlineStr">
        <is>
          <t>Validation 'No': the incident stays an incident, nothing reaches anyone, and it closes once the board is told</t>
        </is>
      </c>
      <c r="C990" s="11" t="n">
        <v>12</v>
      </c>
      <c r="D990" s="11" t="inlineStr">
        <is>
          <t>Click 'Breaches'. Change 'Show' from 'Open' to 'Closed'.</t>
        </is>
      </c>
      <c r="E990" s="11" t="inlineStr">
        <is>
          <t>With 'Open', INC-C is not listed. With 'Closed', INC-C is listed with the 'Closed' badge and 'Not a personal data breach' under 'Validation', and 'None' under 'Outstanding duties'.</t>
        </is>
      </c>
      <c r="F990" s="16" t="n"/>
      <c r="G990" s="16" t="n"/>
    </row>
    <row r="991">
      <c r="A991" s="10" t="inlineStr">
        <is>
          <t>BRE-06</t>
        </is>
      </c>
      <c r="B991" s="11" t="inlineStr">
        <is>
          <t>Validation 'Yes' records the incident as a BR- breach and starts the DPDP duties</t>
        </is>
      </c>
      <c r="C991" s="11" t="n">
        <v>1</v>
      </c>
      <c r="D991" s="11" t="inlineStr">
        <is>
          <t>In the sidebar under 'Your work' click 'Breaches', then click the reference INC-A in the 'Reference' column. Click the 'Validation' tab.</t>
        </is>
      </c>
      <c r="E991" s="11" t="inlineStr">
        <is>
          <t>The page for INC-A opens, with an 'Incidents and breaches' back link above the heading. The 'Validation' tab is shown.</t>
        </is>
      </c>
      <c r="F991" s="16" t="n"/>
      <c r="G991" s="16" t="n"/>
    </row>
    <row r="992">
      <c r="A992" s="10" t="inlineStr">
        <is>
          <t>BRE-06</t>
        </is>
      </c>
      <c r="B992" s="11" t="inlineStr">
        <is>
          <t>Validation 'Yes' records the incident as a BR- breach and starts the DPDP duties</t>
        </is>
      </c>
      <c r="C992" s="11" t="n">
        <v>2</v>
      </c>
      <c r="D992" s="11" t="inlineStr">
        <is>
          <t>Leave 'Validation' on 'Yes, record it as a personal data breach', type the reasoning, type yesterday 09:00 in 'Became aware at' and click 'Record the validation'.</t>
        </is>
      </c>
      <c r="E992" s="11" t="inlineStr">
        <is>
          <t>The message 'Not recorded' with 'Awareness cannot come before the event was first noticed' appears. Nothing is listed on the card.</t>
        </is>
      </c>
      <c r="F992" s="16" t="n"/>
      <c r="G992" s="16" t="n"/>
    </row>
    <row r="993">
      <c r="A993" s="10" t="inlineStr">
        <is>
          <t>BRE-06</t>
        </is>
      </c>
      <c r="B993" s="11" t="inlineStr">
        <is>
          <t>Validation 'Yes' records the incident as a BR- breach and starts the DPDP duties</t>
        </is>
      </c>
      <c r="C993" s="11" t="n">
        <v>3</v>
      </c>
      <c r="D993" s="11" t="inlineStr">
        <is>
          <t>Change 'Became aware at' to tomorrow 09:00 and click 'Record the validation'.</t>
        </is>
      </c>
      <c r="E993" s="11" t="inlineStr">
        <is>
          <t>The message 'Not recorded' with 'This time is in the future' appears.</t>
        </is>
      </c>
      <c r="F993" s="16" t="n"/>
      <c r="G993" s="16" t="n"/>
    </row>
    <row r="994">
      <c r="A994" s="10" t="inlineStr">
        <is>
          <t>BRE-06</t>
        </is>
      </c>
      <c r="B994" s="11" t="inlineStr">
        <is>
          <t>Validation 'Yes' records the incident as a BR- breach and starts the DPDP duties</t>
        </is>
      </c>
      <c r="C994" s="11" t="n">
        <v>4</v>
      </c>
      <c r="D994" s="11" t="inlineStr">
        <is>
          <t>Change 'Became aware at' to 5 minutes before now and click 'Record the validation'.</t>
        </is>
      </c>
      <c r="E994" s="11" t="inlineStr">
        <is>
          <t>The message 'Recorded as &lt;BR reference&gt;' with 'The DPDP duties have started.' appears. Write down the BR-YYYY-NNNN reference (BR-A).</t>
        </is>
      </c>
      <c r="F994" s="16" t="n"/>
      <c r="G994" s="16" t="n"/>
    </row>
    <row r="995">
      <c r="A995" s="10" t="inlineStr">
        <is>
          <t>BRE-06</t>
        </is>
      </c>
      <c r="B995" s="11" t="inlineStr">
        <is>
          <t>Validation 'Yes' records the incident as a BR- breach and starts the DPDP duties</t>
        </is>
      </c>
      <c r="C995" s="11" t="n">
        <v>5</v>
      </c>
      <c r="D995" s="11" t="inlineStr">
        <is>
          <t>Look at the header and the 'Details' card.</t>
        </is>
      </c>
      <c r="E995" s="11" t="inlineStr">
        <is>
          <t>The eyebrow reads 'Personal data breach' and the heading is now BR-A. The red badge reads 'A personal data breach'. 'Details' shows 'Logged as' INC-A, 'Recorded as a breach' with the time and "by Priya Menon", and 'Became aware' with the time typed.</t>
        </is>
      </c>
      <c r="F995" s="16" t="n"/>
      <c r="G995" s="16" t="n"/>
    </row>
    <row r="996">
      <c r="A996" s="10" t="inlineStr">
        <is>
          <t>BRE-06</t>
        </is>
      </c>
      <c r="B996" s="11" t="inlineStr">
        <is>
          <t>Validation 'Yes' records the incident as a BR- breach and starts the DPDP duties</t>
        </is>
      </c>
      <c r="C996" s="11" t="n">
        <v>6</v>
      </c>
      <c r="D996" s="11" t="inlineStr">
        <is>
          <t>Click the 'Duties' tab.</t>
        </is>
      </c>
      <c r="E996" s="11" t="inlineStr">
        <is>
          <t>Besides 'Organisation's board' ('Done'), three rows: 'Board - initial intimation' ('Rule 7(2)(a): without delay', due 'Without delay', clock '&lt;time&gt; since awareness' followed by '(no internal target set)', 'Record submission'); 'Board - detailed report' ('Rule 7(2)(b): within 72 hours of becoming aware, or as the Board allows', due 72 hours after 'Became aware', clock about "2 d 23 h left", 'Record submission' and 'Extension'); 'Principals notified' ('Rule 7(1): without delay, to each affected Data Principal', no button, the line 'Completes when every notice is delivered').</t>
        </is>
      </c>
      <c r="F996" s="16" t="n"/>
      <c r="G996" s="16" t="n"/>
    </row>
    <row r="997">
      <c r="A997" s="10" t="inlineStr">
        <is>
          <t>BRE-06</t>
        </is>
      </c>
      <c r="B997" s="11" t="inlineStr">
        <is>
          <t>Validation 'Yes' records the incident as a BR- breach and starts the DPDP duties</t>
        </is>
      </c>
      <c r="C997" s="11" t="n">
        <v>7</v>
      </c>
      <c r="D997" s="11" t="inlineStr">
        <is>
          <t>Read the 'Close' card.</t>
        </is>
      </c>
      <c r="E997" s="11" t="inlineStr">
        <is>
          <t>The 'Not yet' box lists one line for each of the three new duties, each ending 'is outstanding'. 'Close the breach' is greyed out.</t>
        </is>
      </c>
      <c r="F997" s="16" t="n"/>
      <c r="G997" s="16" t="n"/>
    </row>
    <row r="998">
      <c r="A998" s="10" t="inlineStr">
        <is>
          <t>BRE-06</t>
        </is>
      </c>
      <c r="B998" s="11" t="inlineStr">
        <is>
          <t>Validation 'Yes' records the incident as a BR- breach and starts the DPDP duties</t>
        </is>
      </c>
      <c r="C998" s="11" t="n">
        <v>8</v>
      </c>
      <c r="D998" s="11" t="inlineStr">
        <is>
          <t>Click the 'Validation' tab and open the 'Validation' list.</t>
        </is>
      </c>
      <c r="E998" s="11" t="inlineStr">
        <is>
          <t>The yes is listed with 'aware &lt;time&gt;'. The list now offers 'A personal data breach', 'Not a personal data breach' and 'Still validating' - a later yes would issue no second BR number.</t>
        </is>
      </c>
      <c r="F998" s="16" t="n"/>
      <c r="G998" s="16" t="n"/>
    </row>
    <row r="999">
      <c r="A999" s="10" t="inlineStr">
        <is>
          <t>BRE-06</t>
        </is>
      </c>
      <c r="B999" s="11" t="inlineStr">
        <is>
          <t>Validation 'Yes' records the incident as a BR- breach and starts the DPDP duties</t>
        </is>
      </c>
      <c r="C999" s="11" t="n">
        <v>9</v>
      </c>
      <c r="D999" s="11" t="inlineStr">
        <is>
          <t>Click the 'Tickets' tab.</t>
        </is>
      </c>
      <c r="E999" s="11" t="inlineStr">
        <is>
          <t>There is an 'Assign a ticket' button and the line 'No ticket yet.'; the 'Tickets wait for the breach to be recorded' box is gone.</t>
        </is>
      </c>
      <c r="F999" s="16" t="n"/>
      <c r="G999" s="16" t="n"/>
    </row>
    <row r="1000">
      <c r="A1000" s="10" t="inlineStr">
        <is>
          <t>BRE-06</t>
        </is>
      </c>
      <c r="B1000" s="11" t="inlineStr">
        <is>
          <t>Validation 'Yes' records the incident as a BR- breach and starts the DPDP duties</t>
        </is>
      </c>
      <c r="C1000" s="11" t="n">
        <v>10</v>
      </c>
      <c r="D1000" s="11" t="inlineStr">
        <is>
          <t>Click 'Breaches'. Find the row and then type the INC-A reference in 'Search' and press Enter.</t>
        </is>
      </c>
      <c r="E1000" s="11" t="inlineStr">
        <is>
          <t>The row shows BR-A with 'logged as &lt;INC reference&gt;' (INC-A) under it, the title, 'A personal data breach' under 'Validation', and the three DPDP duties under 'Outstanding duties' with their clocks. Searching by INC-A still finds BR-A.</t>
        </is>
      </c>
      <c r="F1000" s="16" t="n"/>
      <c r="G1000" s="16" t="n"/>
    </row>
    <row r="1001">
      <c r="A1001" s="10" t="inlineStr">
        <is>
          <t>BRE-07</t>
        </is>
      </c>
      <c r="B1001" s="11" t="inlineStr">
        <is>
          <t>The register is searched and filtered; the dashboard is a way in</t>
        </is>
      </c>
      <c r="C1001" s="11" t="n">
        <v>1</v>
      </c>
      <c r="D1001" s="11" t="inlineStr">
        <is>
          <t>Click 'Breaches' and look at the list with no filter.</t>
        </is>
      </c>
      <c r="E1001" s="11" t="inlineStr">
        <is>
          <t>'Show' is 'Open'. BR-A and INC-B are listed; INC-C is not. The columns are 'Reference', 'Where', 'Validation', 'Outstanding duties', 'Tickets', 'Last activity' and 'First noticed'. 'Tickets' reads 'None open' for both.</t>
        </is>
      </c>
      <c r="F1001" s="16" t="n"/>
      <c r="G1001" s="16" t="n"/>
    </row>
    <row r="1002">
      <c r="A1002" s="10" t="inlineStr">
        <is>
          <t>BRE-07</t>
        </is>
      </c>
      <c r="B1002" s="11" t="inlineStr">
        <is>
          <t>The register is searched and filtered; the dashboard is a way in</t>
        </is>
      </c>
      <c r="C1002" s="11" t="n">
        <v>2</v>
      </c>
      <c r="D1002" s="11" t="inlineStr">
        <is>
          <t>Type laptop in 'Search' and press Enter.</t>
        </is>
      </c>
      <c r="E1002" s="11" t="inlineStr">
        <is>
          <t>Only BR-A remains. A line '&lt;n&gt; of &lt;m&gt; shown' (here 1 of 2) appears and a 'Clear filters' button is shown.</t>
        </is>
      </c>
      <c r="F1002" s="16" t="n"/>
      <c r="G1002" s="16" t="n"/>
    </row>
    <row r="1003">
      <c r="A1003" s="10" t="inlineStr">
        <is>
          <t>BRE-07</t>
        </is>
      </c>
      <c r="B1003" s="11" t="inlineStr">
        <is>
          <t>The register is searched and filtered; the dashboard is a way in</t>
        </is>
      </c>
      <c r="C1003" s="11" t="n">
        <v>3</v>
      </c>
      <c r="D1003" s="11" t="inlineStr">
        <is>
          <t>Replace the search with Pune Motion, then with the INC-B reference.</t>
        </is>
      </c>
      <c r="E1003" s="11" t="inlineStr">
        <is>
          <t>Each time only INC-B remains (its 'Where' reads 'Processor: &lt;name&gt;', here Pune Motion Lab Pvt Ltd).</t>
        </is>
      </c>
      <c r="F1003" s="16" t="n"/>
      <c r="G1003" s="16" t="n"/>
    </row>
    <row r="1004">
      <c r="A1004" s="10" t="inlineStr">
        <is>
          <t>BRE-07</t>
        </is>
      </c>
      <c r="B1004" s="11" t="inlineStr">
        <is>
          <t>The register is searched and filtered; the dashboard is a way in</t>
        </is>
      </c>
      <c r="C1004" s="11" t="n">
        <v>4</v>
      </c>
      <c r="D1004" s="11" t="inlineStr">
        <is>
          <t>Click 'Clear filters'. In 'Validation' choose 'Still validating', then 'A personal data breach'.</t>
        </is>
      </c>
      <c r="E1004" s="11" t="inlineStr">
        <is>
          <t>'Still validating' shows INC-B only; 'A personal data breach' shows BR-A only.</t>
        </is>
      </c>
      <c r="F1004" s="16" t="n"/>
      <c r="G1004" s="16" t="n"/>
    </row>
    <row r="1005">
      <c r="A1005" s="10" t="inlineStr">
        <is>
          <t>BRE-07</t>
        </is>
      </c>
      <c r="B1005" s="11" t="inlineStr">
        <is>
          <t>The register is searched and filtered; the dashboard is a way in</t>
        </is>
      </c>
      <c r="C1005" s="11" t="n">
        <v>5</v>
      </c>
      <c r="D1005" s="11" t="inlineStr">
        <is>
          <t>Set 'Show' to 'All' and 'Validation' to 'Not a personal data breach'.</t>
        </is>
      </c>
      <c r="E1005" s="11" t="inlineStr">
        <is>
          <t>Only INC-C is listed, with the 'Closed' badge.</t>
        </is>
      </c>
      <c r="F1005" s="16" t="n"/>
      <c r="G1005" s="16" t="n"/>
    </row>
    <row r="1006">
      <c r="A1006" s="10" t="inlineStr">
        <is>
          <t>BRE-07</t>
        </is>
      </c>
      <c r="B1006" s="11" t="inlineStr">
        <is>
          <t>The register is searched and filtered; the dashboard is a way in</t>
        </is>
      </c>
      <c r="C1006" s="11" t="n">
        <v>6</v>
      </c>
      <c r="D1006" s="11" t="inlineStr">
        <is>
          <t>Click 'Clear filters' and set 'Show' back to 'Open'. In 'Duties' choose 'Overdue', then 'Due within 24 hours'.</t>
        </is>
      </c>
      <c r="E1006" s="11" t="inlineStr">
        <is>
          <t>'Overdue' shows INC-B, tinted red, its organisation's board reading 'Overdue by ...'. 'Due within 24 hours' shows only incidents with a duty falling due within a day and none that is late.</t>
        </is>
      </c>
      <c r="F1006" s="16" t="n"/>
      <c r="G1006" s="16" t="n"/>
    </row>
    <row r="1007">
      <c r="A1007" s="10" t="inlineStr">
        <is>
          <t>BRE-07</t>
        </is>
      </c>
      <c r="B1007" s="11" t="inlineStr">
        <is>
          <t>The register is searched and filtered; the dashboard is a way in</t>
        </is>
      </c>
      <c r="C1007" s="11" t="n">
        <v>7</v>
      </c>
      <c r="D1007" s="11" t="inlineStr">
        <is>
          <t>Set 'Duties' to 'Any'. In 'Tickets' choose 'With an open ticket'.</t>
        </is>
      </c>
      <c r="E1007" s="11" t="inlineStr">
        <is>
          <t>'Nothing matches' with 'No incident in this register matches the search and filters.' and a 'Clear filters' button - no ticket exists yet.</t>
        </is>
      </c>
      <c r="F1007" s="16" t="n"/>
      <c r="G1007" s="16" t="n"/>
    </row>
    <row r="1008">
      <c r="A1008" s="10" t="inlineStr">
        <is>
          <t>BRE-07</t>
        </is>
      </c>
      <c r="B1008" s="11" t="inlineStr">
        <is>
          <t>The register is searched and filtered; the dashboard is a way in</t>
        </is>
      </c>
      <c r="C1008" s="11" t="n">
        <v>8</v>
      </c>
      <c r="D1008" s="11" t="inlineStr">
        <is>
          <t>Set 'Tickets' to 'Any', 'Recent activity' to 'In the last 24 hours' and 'Sort' to 'Due soonest, late first'. Copy the address bar and open it in a new tab.</t>
        </is>
      </c>
      <c r="E1008" s="11" t="inlineStr">
        <is>
          <t>BR-A and INC-B are listed, INC-B (late) first. The new tab shows the same list with the same filters already set: the filters live in the address.</t>
        </is>
      </c>
      <c r="F1008" s="16" t="n"/>
      <c r="G1008" s="16" t="n"/>
    </row>
    <row r="1009">
      <c r="A1009" s="10" t="inlineStr">
        <is>
          <t>BRE-07</t>
        </is>
      </c>
      <c r="B1009" s="11" t="inlineStr">
        <is>
          <t>The register is searched and filtered; the dashboard is a way in</t>
        </is>
      </c>
      <c r="C1009" s="11" t="n">
        <v>9</v>
      </c>
      <c r="D1009" s="11" t="inlineStr">
        <is>
          <t>Click 'Dashboard'. Click 'Log an incident' in the page header.</t>
        </is>
      </c>
      <c r="E1009" s="11" t="inlineStr">
        <is>
          <t>The same 'Log an incident' dialog opens as on 'Breaches'. Click 'Cancel'.</t>
        </is>
      </c>
      <c r="F1009" s="16" t="n"/>
      <c r="G1009" s="16" t="n"/>
    </row>
    <row r="1010">
      <c r="A1010" s="10" t="inlineStr">
        <is>
          <t>BRE-07</t>
        </is>
      </c>
      <c r="B1010" s="11" t="inlineStr">
        <is>
          <t>The register is searched and filtered; the dashboard is a way in</t>
        </is>
      </c>
      <c r="C1010" s="11" t="n">
        <v>10</v>
      </c>
      <c r="D1010" s="11" t="inlineStr">
        <is>
          <t>Read the dashboard and click BR-A in the 'Open breaches' card.</t>
        </is>
      </c>
      <c r="E1010" s="11" t="inlineStr">
        <is>
          <t>'Needs attention' lists 'Breach duties overdue' and 'Breach duties outstanding'. 'Open breaches' lists BR-A and INC-B, each duty with its badge and clock. Clicking BR-A opens its page.</t>
        </is>
      </c>
      <c r="F1010" s="16" t="n"/>
      <c r="G1010" s="16" t="n"/>
    </row>
    <row r="1011">
      <c r="A1011" s="10" t="inlineStr">
        <is>
          <t>BRE-08</t>
        </is>
      </c>
      <c r="B1011" s="11" t="inlineStr">
        <is>
          <t>The assessment is recorded and revised; the Board's documents are drafted and the intimation and an extension recorded</t>
        </is>
      </c>
      <c r="C1011" s="11" t="n">
        <v>1</v>
      </c>
      <c r="D1011" s="11" t="inlineStr">
        <is>
          <t>In the sidebar under 'Your work' click 'Breaches', then click the reference BR-A in the 'Reference' column. Click the 'Assessment' tab.</t>
        </is>
      </c>
      <c r="E1011" s="11" t="inlineStr">
        <is>
          <t>The page for BR-A opens, with an 'Incidents and breaches' back link above the heading. The 'Assessment' tab is shown.</t>
        </is>
      </c>
      <c r="F1011" s="16" t="n"/>
      <c r="G1011" s="16" t="n"/>
    </row>
    <row r="1012">
      <c r="A1012" s="10" t="inlineStr">
        <is>
          <t>BRE-08</t>
        </is>
      </c>
      <c r="B1012" s="11" t="inlineStr">
        <is>
          <t>The assessment is recorded and revised; the Board's documents are drafted and the intimation and an extension recorded</t>
        </is>
      </c>
      <c r="C1012" s="11" t="n">
        <v>2</v>
      </c>
      <c r="D1012" s="11" t="inlineStr">
        <is>
          <t>Read the card, then click 'Start the assessment'.</t>
        </is>
      </c>
      <c r="E1012" s="11" t="inlineStr">
        <is>
          <t>Before the click: 'Assessment' with 'Nothing assessed yet.'. After: 'Began' (hint 'If now known. Leave empty to keep what is recorded'), nine boxes each labelled with its fact and rule - 'Nature and extent', 'Likely impact', 'Consequences likely for the people affected', 'Events, circumstances and reasons', 'Mitigation implemented, under way or proposed', 'What people can do to protect themselves', 'Findings on who caused it' (hint 'Sealed; it may name an employee'), 'Remedial measures against recurrence', 'Who answers people's questions' - then 'Data categories exposed' with 'Add a category', and 'Record this revision'.</t>
        </is>
      </c>
      <c r="F1012" s="16" t="n"/>
      <c r="G1012" s="16" t="n"/>
    </row>
    <row r="1013">
      <c r="A1013" s="10" t="inlineStr">
        <is>
          <t>BRE-08</t>
        </is>
      </c>
      <c r="B1013" s="11" t="inlineStr">
        <is>
          <t>The assessment is recorded and revised; the Board's documents are drafted and the intimation and an extension recorded</t>
        </is>
      </c>
      <c r="C1013" s="11" t="n">
        <v>3</v>
      </c>
      <c r="D1013" s="11" t="inlineStr">
        <is>
          <t>Click 'Record this revision' with every box empty.</t>
        </is>
      </c>
      <c r="E1013" s="11" t="inlineStr">
        <is>
          <t>The message 'Not recorded' with 'An assessment records at least one fact' appears.</t>
        </is>
      </c>
      <c r="F1013" s="16" t="n"/>
      <c r="G1013" s="16" t="n"/>
    </row>
    <row r="1014">
      <c r="A1014" s="10" t="inlineStr">
        <is>
          <t>BRE-08</t>
        </is>
      </c>
      <c r="B1014" s="11" t="inlineStr">
        <is>
          <t>The assessment is recorded and revised; the Board's documents are drafted and the intimation and an extension recorded</t>
        </is>
      </c>
      <c r="C1014" s="11" t="n">
        <v>4</v>
      </c>
      <c r="D1014" s="11" t="inlineStr">
        <is>
          <t>Fill the nine boxes (revision 1 words). Click 'Add a category' twice; type the two categories. On the second tick 'Sealed', then look at 'Key exposed' on both.</t>
        </is>
      </c>
      <c r="E1014" s="11" t="inlineStr">
        <is>
          <t>'Key exposed' is greyed out on the first category (not sealed) and clickable on the second once 'Sealed' is ticked. Leave it unticked.</t>
        </is>
      </c>
      <c r="F1014" s="16" t="n"/>
      <c r="G1014" s="16" t="n"/>
    </row>
    <row r="1015">
      <c r="A1015" s="10" t="inlineStr">
        <is>
          <t>BRE-08</t>
        </is>
      </c>
      <c r="B1015" s="11" t="inlineStr">
        <is>
          <t>The assessment is recorded and revised; the Board's documents are drafted and the intimation and an extension recorded</t>
        </is>
      </c>
      <c r="C1015" s="11" t="n">
        <v>5</v>
      </c>
      <c r="D1015" s="11" t="inlineStr">
        <is>
          <t>Click 'Record this revision'.</t>
        </is>
      </c>
      <c r="E1015" s="11" t="inlineStr">
        <is>
          <t>The message 'Revision &lt;n&gt; recorded' (revision 1) with 'The previous revision is kept as it was.' appears. The card shows each fact with its rule, and 'Data categories' with Names and mobile numbers - 'not sealed' and Email addresses - 'sealed, key safe'. The line under the title ends "Revision 1 of 1, &lt;date&gt; by Priya Menon."</t>
        </is>
      </c>
      <c r="F1015" s="16" t="n"/>
      <c r="G1015" s="16" t="n"/>
    </row>
    <row r="1016">
      <c r="A1016" s="10" t="inlineStr">
        <is>
          <t>BRE-08</t>
        </is>
      </c>
      <c r="B1016" s="11" t="inlineStr">
        <is>
          <t>The assessment is recorded and revised; the Board's documents are drafted and the intimation and an extension recorded</t>
        </is>
      </c>
      <c r="C1016" s="11" t="n">
        <v>6</v>
      </c>
      <c r="D1016" s="11" t="inlineStr">
        <is>
          <t>Click 'Revise the assessment', change 'Likely impact' to the revision 2 words and click 'Record this revision'.</t>
        </is>
      </c>
      <c r="E1016" s="11" t="inlineStr">
        <is>
          <t>The form opened with the previous words filled in. After saving, the line reads "Revision 2 of 2, ..." and 'Likely impact' shows the new words. The tab count is 2.</t>
        </is>
      </c>
      <c r="F1016" s="16" t="n"/>
      <c r="G1016" s="16" t="n"/>
    </row>
    <row r="1017">
      <c r="A1017" s="10" t="inlineStr">
        <is>
          <t>BRE-08</t>
        </is>
      </c>
      <c r="B1017" s="11" t="inlineStr">
        <is>
          <t>The assessment is recorded and revised; the Board's documents are drafted and the intimation and an extension recorded</t>
        </is>
      </c>
      <c r="C1017" s="11" t="n">
        <v>7</v>
      </c>
      <c r="D1017" s="11" t="inlineStr">
        <is>
          <t>Click 'Documents for the Board' in the header.</t>
        </is>
      </c>
      <c r="E1017" s="11" t="inlineStr">
        <is>
          <t>A page opens headed 'Documents for the Board' with BR-A, the eyebrow 'Personal data breach', a back link 'The breach' and a 'Print' button. Two cards: 'Initial intimation - &lt;rule&gt;' (Rule 7(2)(a)) and 'Detailed report - &lt;rule&gt;' (Rule 7(2)(b)), each with 'Drafted &lt;date and time&gt; from the register.'</t>
        </is>
      </c>
      <c r="F1017" s="16" t="n"/>
      <c r="G1017" s="16" t="n"/>
    </row>
    <row r="1018">
      <c r="A1018" s="10" t="inlineStr">
        <is>
          <t>BRE-08</t>
        </is>
      </c>
      <c r="B1018" s="11" t="inlineStr">
        <is>
          <t>The assessment is recorded and revised; the Board's documents are drafted and the intimation and an extension recorded</t>
        </is>
      </c>
      <c r="C1018" s="11" t="n">
        <v>8</v>
      </c>
      <c r="D1018" s="11" t="inlineStr">
        <is>
          <t>Read the initial intimation.</t>
        </is>
      </c>
      <c r="E1018" s="11" t="inlineStr">
        <is>
          <t>No 'Not yet in the register' box. It shows 'Reference' (BR-A), 'Validation' ('A personal data breach'), 'First noticed', 'Became aware', 'Began', 'Where it occurred', and 'Nature and extent' and 'Likely impact' from revision 2, then a line naming the 'Board - initial intimation' duty and its clock.</t>
        </is>
      </c>
      <c r="F1018" s="16" t="n"/>
      <c r="G1018" s="16" t="n"/>
    </row>
    <row r="1019">
      <c r="A1019" s="10" t="inlineStr">
        <is>
          <t>BRE-08</t>
        </is>
      </c>
      <c r="B1019" s="11" t="inlineStr">
        <is>
          <t>The assessment is recorded and revised; the Board's documents are drafted and the intimation and an extension recorded</t>
        </is>
      </c>
      <c r="C1019" s="11" t="n">
        <v>9</v>
      </c>
      <c r="D1019" s="11" t="inlineStr">
        <is>
          <t>Read the detailed report.</t>
        </is>
      </c>
      <c r="E1019" s="11" t="inlineStr">
        <is>
          <t>'Assessment' reads "Revision 2 of 2, &lt;date&gt;"; 'Determinations' lists the yes with its reasoning; sections follow for 'The events, circumstances and reasons leading to the breach', 'Measures implemented or proposed to mitigate the risk', 'Findings on the person who caused the breach' and 'Remedial measures taken to prevent recurrence', each with the assessment's words; '(vi) The account of notices to the Data Principals affected' reads "No notice has yet been sent to the Data Principals affected. Nobody is yet listed as affected."</t>
        </is>
      </c>
      <c r="F1019" s="16" t="n"/>
      <c r="G1019" s="16" t="n"/>
    </row>
    <row r="1020">
      <c r="A1020" s="10" t="inlineStr">
        <is>
          <t>BRE-08</t>
        </is>
      </c>
      <c r="B1020" s="11" t="inlineStr">
        <is>
          <t>The assessment is recorded and revised; the Board's documents are drafted and the intimation and an extension recorded</t>
        </is>
      </c>
      <c r="C1020" s="11" t="n">
        <v>10</v>
      </c>
      <c r="D1020" s="11" t="inlineStr">
        <is>
          <t>Click 'Print', look at the preview, then cancel.</t>
        </is>
      </c>
      <c r="E1020" s="11" t="inlineStr">
        <is>
          <t>The preview shows both documents without the sidebar, the 'Print' button or the back link.</t>
        </is>
      </c>
      <c r="F1020" s="16" t="n"/>
      <c r="G1020" s="16" t="n"/>
    </row>
    <row r="1021">
      <c r="A1021" s="10" t="inlineStr">
        <is>
          <t>BRE-08</t>
        </is>
      </c>
      <c r="B1021" s="11" t="inlineStr">
        <is>
          <t>The assessment is recorded and revised; the Board's documents are drafted and the intimation and an extension recorded</t>
        </is>
      </c>
      <c r="C1021" s="11" t="n">
        <v>11</v>
      </c>
      <c r="D1021" s="11" t="inlineStr">
        <is>
          <t>Click 'The breach'. On 'Board - initial intimation' click 'Record submission', enter the test data and click 'Record'.</t>
        </is>
      </c>
      <c r="E1021" s="11" t="inlineStr">
        <is>
          <t>A message ending ': recorded' with 'The submission and its reference are on the record.' appears; the row shows 'Done' with the time and DPB-UAT-INT-01.</t>
        </is>
      </c>
      <c r="F1021" s="16" t="n"/>
      <c r="G1021" s="16" t="n"/>
    </row>
    <row r="1022">
      <c r="A1022" s="10" t="inlineStr">
        <is>
          <t>BRE-08</t>
        </is>
      </c>
      <c r="B1022" s="11" t="inlineStr">
        <is>
          <t>The assessment is recorded and revised; the Board's documents are drafted and the intimation and an extension recorded</t>
        </is>
      </c>
      <c r="C1022" s="11" t="n">
        <v>12</v>
      </c>
      <c r="D1022" s="11" t="inlineStr">
        <is>
          <t>On 'Board - detailed report' click 'Extension'. Enter the refused extension and click 'Record the extension'.</t>
        </is>
      </c>
      <c r="E1022" s="11" t="inlineStr">
        <is>
          <t>The dialog 'The Board allowed longer' (with 'Asked for at', 'Allowed until' and 'The Board's reference') shows the message 'Not recorded' with 'The date allowed must be later than the report's current due time'.</t>
        </is>
      </c>
      <c r="F1022" s="16" t="n"/>
      <c r="G1022" s="16" t="n"/>
    </row>
    <row r="1023">
      <c r="A1023" s="10" t="inlineStr">
        <is>
          <t>BRE-08</t>
        </is>
      </c>
      <c r="B1023" s="11" t="inlineStr">
        <is>
          <t>The assessment is recorded and revised; the Board's documents are drafted and the intimation and an extension recorded</t>
        </is>
      </c>
      <c r="C1023" s="11" t="n">
        <v>13</v>
      </c>
      <c r="D1023" s="11" t="inlineStr">
        <is>
          <t>Change 'Allowed until' to 6 days from today, type the Board's reference and click 'Record the extension'.</t>
        </is>
      </c>
      <c r="E1023" s="11" t="inlineStr">
        <is>
          <t>The message 'Extension recorded' with 'The detailed report is now due on the date the Board allowed.' appears. The 'Due' cell shows the new date with 'extended by the Board'; the clock now shows about 6 days left. 'Board - initial intimation' is unchanged ('Done').</t>
        </is>
      </c>
      <c r="F1023" s="16" t="n"/>
      <c r="G1023" s="16" t="n"/>
    </row>
    <row r="1024">
      <c r="A1024" s="10" t="inlineStr">
        <is>
          <t>BRE-09</t>
        </is>
      </c>
      <c r="B1024" s="11" t="inlineStr">
        <is>
          <t>Who it touched: a principal added by hand, and people the records cannot show taken from an uploaded list</t>
        </is>
      </c>
      <c r="C1024" s="11" t="n">
        <v>1</v>
      </c>
      <c r="D1024" s="11" t="inlineStr">
        <is>
          <t>In the sidebar under 'Your work' click 'Breaches', then click the reference BR-A in the 'Reference' column. Click the 'People &amp; notices' tab.</t>
        </is>
      </c>
      <c r="E1024" s="11" t="inlineStr">
        <is>
          <t>The page for BR-A opens, with an 'Incidents and breaches' back link above the heading. The 'People &amp; notices' tab is shown.</t>
        </is>
      </c>
      <c r="F1024" s="16" t="n"/>
      <c r="G1024" s="16" t="n"/>
    </row>
    <row r="1025">
      <c r="A1025" s="10" t="inlineStr">
        <is>
          <t>BRE-09</t>
        </is>
      </c>
      <c r="B1025" s="11" t="inlineStr">
        <is>
          <t>Who it touched: a principal added by hand, and people the records cannot show taken from an uploaded list</t>
        </is>
      </c>
      <c r="C1025" s="11" t="n">
        <v>2</v>
      </c>
      <c r="D1025" s="11" t="inlineStr">
        <is>
          <t>Read the two cards.</t>
        </is>
      </c>
      <c r="E1025" s="11" t="inlineStr">
        <is>
          <t>'Who it touched' says 'Nobody on the platform confirmed yet.' with 'Derive who it touched' and 'Add people from a list'. 'Telling the people it touched' says 'Nobody is listed as touched yet.' and shows a box 'Confirm who it touched first'.</t>
        </is>
      </c>
      <c r="F1025" s="16" t="n"/>
      <c r="G1025" s="16" t="n"/>
    </row>
    <row r="1026">
      <c r="A1026" s="10" t="inlineStr">
        <is>
          <t>BRE-09</t>
        </is>
      </c>
      <c r="B1026" s="11" t="inlineStr">
        <is>
          <t>Who it touched: a principal added by hand, and people the records cannot show taken from an uploaded list</t>
        </is>
      </c>
      <c r="C1026" s="11" t="n">
        <v>3</v>
      </c>
      <c r="D1026" s="11" t="inlineStr">
        <is>
          <t>Click 'Derive who it touched'.</t>
        </is>
      </c>
      <c r="E1026" s="11" t="inlineStr">
        <is>
          <t>An editor opens with 'Look in' set to 'The platform's own tables', 'Affected tables' with nothing ticked, 'Rows written from' and 'Rows written until', 'Another place to look' and a greyed-out 'Show what the records say'.</t>
        </is>
      </c>
      <c r="F1026" s="16" t="n"/>
      <c r="G1026" s="16" t="n"/>
    </row>
    <row r="1027">
      <c r="A1027" s="10" t="inlineStr">
        <is>
          <t>BRE-09</t>
        </is>
      </c>
      <c r="B1027" s="11" t="inlineStr">
        <is>
          <t>Who it touched: a principal added by hand, and people the records cannot show taken from an uploaded list</t>
        </is>
      </c>
      <c r="C1027" s="11" t="n">
        <v>4</v>
      </c>
      <c r="D1027" s="11" t="inlineStr">
        <is>
          <t>Click the bin icon beside 'Look in' ('Remove this place'). In 'Add someone the records cannot show' type subject@cmp.local and click 'Find'.</t>
        </is>
      </c>
      <c r="E1027" s="11" t="inlineStr">
        <is>
          <t>The place to look disappears. Anjali Verma is offered with an 'Add' button.</t>
        </is>
      </c>
      <c r="F1027" s="16" t="n"/>
      <c r="G1027" s="16" t="n"/>
    </row>
    <row r="1028">
      <c r="A1028" s="10" t="inlineStr">
        <is>
          <t>BRE-09</t>
        </is>
      </c>
      <c r="B1028" s="11" t="inlineStr">
        <is>
          <t>Who it touched: a principal added by hand, and people the records cannot show taken from an uploaded list</t>
        </is>
      </c>
      <c r="C1028" s="11" t="n">
        <v>5</v>
      </c>
      <c r="D1028" s="11" t="inlineStr">
        <is>
          <t>Click 'Add', type the note in 'Note' and click 'Confirm the list'.</t>
        </is>
      </c>
      <c r="E1028" s="11" t="inlineStr">
        <is>
          <t>A chip 'Anjali Verma' appeared after 'Add'. After confirming, the message 'Revision &lt;n&gt; confirmed' (revision 1) with '&lt;n&gt; newly listed; &lt;m&gt; in all.' (1 and 1) appears and the editor closes.</t>
        </is>
      </c>
      <c r="F1028" s="16" t="n"/>
      <c r="G1028" s="16" t="n"/>
    </row>
    <row r="1029">
      <c r="A1029" s="10" t="inlineStr">
        <is>
          <t>BRE-09</t>
        </is>
      </c>
      <c r="B1029" s="11" t="inlineStr">
        <is>
          <t>Who it touched: a principal added by hand, and people the records cannot show taken from an uploaded list</t>
        </is>
      </c>
      <c r="C1029" s="11" t="n">
        <v>6</v>
      </c>
      <c r="D1029" s="11" t="inlineStr">
        <is>
          <t>Read 'Who it touched'.</t>
        </is>
      </c>
      <c r="E1029" s="11" t="inlineStr">
        <is>
          <t>It says 1 listed across 1 revision, and "Revision 1, &lt;date&gt; by Priya Menon:" with derived 0, left out 0, added by hand 1, newly listed 1, and the note. The table ('Person', 'How found', 'Reachable by', 'Revision') shows Anjali Verma, 'Added by the DPO', reachable by email, SMS and their account, revision 1.</t>
        </is>
      </c>
      <c r="F1029" s="16" t="n"/>
      <c r="G1029" s="16" t="n"/>
    </row>
    <row r="1030">
      <c r="A1030" s="10" t="inlineStr">
        <is>
          <t>BRE-09</t>
        </is>
      </c>
      <c r="B1030" s="11" t="inlineStr">
        <is>
          <t>Who it touched: a principal added by hand, and people the records cannot show taken from an uploaded list</t>
        </is>
      </c>
      <c r="C1030" s="11" t="n">
        <v>7</v>
      </c>
      <c r="D1030" s="11" t="inlineStr">
        <is>
          <t>Click 'Add people from a list'.</t>
        </is>
      </c>
      <c r="E1030" s="11" t="inlineStr">
        <is>
          <t>A panel 'Add people from a list' opens: 'What the list holds' with 'People: name, email, mobile' (chosen) and 'Asset IDs', each with a hint; 'Download the template'; 'Choose the filled-in file'; greyed-out 'Check the file' and 'Add to the list'.</t>
        </is>
      </c>
      <c r="F1030" s="16" t="n"/>
      <c r="G1030" s="16" t="n"/>
    </row>
    <row r="1031">
      <c r="A1031" s="10" t="inlineStr">
        <is>
          <t>BRE-09</t>
        </is>
      </c>
      <c r="B1031" s="11" t="inlineStr">
        <is>
          <t>Who it touched: a principal added by hand, and people the records cannot show taken from an uploaded list</t>
        </is>
      </c>
      <c r="C1031" s="11" t="n">
        <v>8</v>
      </c>
      <c r="D1031" s="11" t="inlineStr">
        <is>
          <t>Click 'Download the template' and open the file.</t>
        </is>
      </c>
      <c r="E1031" s="11" t="inlineStr">
        <is>
          <t>A CSV downloads. Its first line is name,email,mobile, followed by guidance lines starting with # and an example row for Asha Rao. Make uat-bre-people-01.csv from the test data and save it as CSV UTF-8.</t>
        </is>
      </c>
      <c r="F1031" s="16" t="n"/>
      <c r="G1031" s="16" t="n"/>
    </row>
    <row r="1032">
      <c r="A1032" s="10" t="inlineStr">
        <is>
          <t>BRE-09</t>
        </is>
      </c>
      <c r="B1032" s="11" t="inlineStr">
        <is>
          <t>Who it touched: a principal added by hand, and people the records cannot show taken from an uploaded list</t>
        </is>
      </c>
      <c r="C1032" s="11" t="n">
        <v>9</v>
      </c>
      <c r="D1032" s="11" t="inlineStr">
        <is>
          <t>Click 'Choose the filled-in file', choose uat-bre-people-01.csv, then click 'Check the file'.</t>
        </is>
      </c>
      <c r="E1032" s="11" t="inlineStr">
        <is>
          <t>The file name is shown and the button reads 'Choose another file'. The check shows 'Rows read', 'On the platform, to be listed' 0, 'Not on the platform, to be listed' 2, 'Already listed or repeated - skipped' 1 and 'Could not be read' 1. 'Rows that could not be read (&lt;n&gt;)' (1) lists row 4 with 'Neither an email nor a mobile'. 'Adding it takes the rows that can be read. Correct the others and send the file again - rows already listed are skipped.' Nothing has been added yet.</t>
        </is>
      </c>
      <c r="F1032" s="16" t="n"/>
      <c r="G1032" s="16" t="n"/>
    </row>
    <row r="1033">
      <c r="A1033" s="10" t="inlineStr">
        <is>
          <t>BRE-09</t>
        </is>
      </c>
      <c r="B1033" s="11" t="inlineStr">
        <is>
          <t>Who it touched: a principal added by hand, and people the records cannot show taken from an uploaded list</t>
        </is>
      </c>
      <c r="C1033" s="11" t="n">
        <v>10</v>
      </c>
      <c r="D1033" s="11" t="inlineStr">
        <is>
          <t>Click 'Add &lt;n&gt; to the list' (Add 2 to the list).</t>
        </is>
      </c>
      <c r="E1033" s="11" t="inlineStr">
        <is>
          <t>The message "2 people added to the list" with 'Send the approved notice to reach them: email and SMS, and the account of anyone on the platform.' appears and the panel closes.</t>
        </is>
      </c>
      <c r="F1033" s="16" t="n"/>
      <c r="G1033" s="16" t="n"/>
    </row>
    <row r="1034">
      <c r="A1034" s="10" t="inlineStr">
        <is>
          <t>BRE-09</t>
        </is>
      </c>
      <c r="B1034" s="11" t="inlineStr">
        <is>
          <t>Who it touched: a principal added by hand, and people the records cannot show taken from an uploaded list</t>
        </is>
      </c>
      <c r="C1034" s="11" t="n">
        <v>11</v>
      </c>
      <c r="D1034" s="11" t="inlineStr">
        <is>
          <t>Read 'Who it touched' again and open 'Lists taken (&lt;n&gt;)'.</t>
        </is>
      </c>
      <c r="E1034" s="11" t="inlineStr">
        <is>
          <t>A second revision line reads from a list of people, newly listed 2. Below: '&lt;n&gt; not on the platform - told by email and SMS.' (2) and a table 'Name', 'Email', 'Mobile', 'From' with UAT Contact 01 and UAT Contact 02 (mobile '—'), each with the badge 'People list'. 'Lists taken' shows the time, uat-bre-people-01.csv, Priya Menon and the counts: 0 on the platform, 2 not, 1 skipped, 1 unreadable.</t>
        </is>
      </c>
      <c r="F1034" s="16" t="n"/>
      <c r="G1034" s="16" t="n"/>
    </row>
    <row r="1035">
      <c r="A1035" s="10" t="inlineStr">
        <is>
          <t>BRE-09</t>
        </is>
      </c>
      <c r="B1035" s="11" t="inlineStr">
        <is>
          <t>Who it touched: a principal added by hand, and people the records cannot show taken from an uploaded list</t>
        </is>
      </c>
      <c r="C1035" s="11" t="n">
        <v>12</v>
      </c>
      <c r="D1035" s="11" t="inlineStr">
        <is>
          <t>Click 'Add people from a list' again, choose the same file and click 'Check the file'.</t>
        </is>
      </c>
      <c r="E1035" s="11" t="inlineStr">
        <is>
          <t>'Not on the platform, to be listed' is 0 and 'Already listed or repeated - skipped' is 3. A warning reads "Nothing in this file would be added: everybody in it is already listed." 'Add to the list' is greyed out. Click 'Cancel'.</t>
        </is>
      </c>
      <c r="F1035" s="16" t="n"/>
      <c r="G1035" s="16" t="n"/>
    </row>
    <row r="1036">
      <c r="A1036" s="10" t="inlineStr">
        <is>
          <t>BRE-09</t>
        </is>
      </c>
      <c r="B1036" s="11" t="inlineStr">
        <is>
          <t>Who it touched: a principal added by hand, and people the records cannot show taken from an uploaded list</t>
        </is>
      </c>
      <c r="C1036" s="11" t="n">
        <v>13</v>
      </c>
      <c r="D1036" s="11" t="inlineStr">
        <is>
          <t>Read 'Telling the people it touched'.</t>
        </is>
      </c>
      <c r="E1036" s="11" t="inlineStr">
        <is>
          <t>It now says 0 of 3 listed people have been notified on every channel, and that 2 of them have no account and are told by email and SMS. The 'Confirm who it touched first' box is gone.</t>
        </is>
      </c>
      <c r="F1036" s="16" t="n"/>
      <c r="G1036" s="16" t="n"/>
    </row>
    <row r="1037">
      <c r="A1037" s="10" t="inlineStr">
        <is>
          <t>BRE-10</t>
        </is>
      </c>
      <c r="B1037" s="11" t="inlineStr">
        <is>
          <t>The notice to the people it touched is drafted, refused while incomplete, approved, sent and accounted for</t>
        </is>
      </c>
      <c r="C1037" s="11" t="n">
        <v>1</v>
      </c>
      <c r="D1037" s="11" t="inlineStr">
        <is>
          <t>In the sidebar under 'Your work' click 'Breaches', then click the reference BR-A in the 'Reference' column. Click the 'People &amp; notices' tab.</t>
        </is>
      </c>
      <c r="E1037" s="11" t="inlineStr">
        <is>
          <t>The page for BR-A opens, with an 'Incidents and breaches' back link above the heading. The 'People &amp; notices' tab is shown.</t>
        </is>
      </c>
      <c r="F1037" s="16" t="n"/>
      <c r="G1037" s="16" t="n"/>
    </row>
    <row r="1038">
      <c r="A1038" s="10" t="inlineStr">
        <is>
          <t>BRE-10</t>
        </is>
      </c>
      <c r="B1038" s="11" t="inlineStr">
        <is>
          <t>The notice to the people it touched is drafted, refused while incomplete, approved, sent and accounted for</t>
        </is>
      </c>
      <c r="C1038" s="11" t="n">
        <v>2</v>
      </c>
      <c r="D1038" s="11" t="inlineStr">
        <is>
          <t>Under 'Telling the people it touched' click 'Draft the notice'.</t>
        </is>
      </c>
      <c r="E1038" s="11" t="inlineStr">
        <is>
          <t>The message 'Draft started' with 'Complete all five, save, then approve.' appears. 'Version 1' with the badge 'Draft' shows five boxes: 'What happened - its nature, extent and timing (Rule 7(1)(a))', 'The consequences likely for her (Rule 7(1)(b))', 'What has been done, and is being done, to limit them (Rule 7(1)(c))', 'What she can do to protect herself (Rule 7(1)(d))' and 'Who to contact with questions (Rule 7(1)(e))', filled in from the assessment.</t>
        </is>
      </c>
      <c r="F1038" s="16" t="n"/>
      <c r="G1038" s="16" t="n"/>
    </row>
    <row r="1039">
      <c r="A1039" s="10" t="inlineStr">
        <is>
          <t>BRE-10</t>
        </is>
      </c>
      <c r="B1039" s="11" t="inlineStr">
        <is>
          <t>The notice to the people it touched is drafted, refused while incomplete, approved, sent and accounted for</t>
        </is>
      </c>
      <c r="C1039" s="11" t="n">
        <v>3</v>
      </c>
      <c r="D1039" s="11" t="inlineStr">
        <is>
          <t>Empty the box 'Who to contact with questions (Rule 7(1)(e))'.</t>
        </is>
      </c>
      <c r="E1039" s="11" t="inlineStr">
        <is>
          <t>The line 'Save the draft before approving it.' appears and 'Approve' is greyed out. Click 'Save draft': the message 'Draft saved' appears.</t>
        </is>
      </c>
      <c r="F1039" s="16" t="n"/>
      <c r="G1039" s="16" t="n"/>
    </row>
    <row r="1040">
      <c r="A1040" s="10" t="inlineStr">
        <is>
          <t>BRE-10</t>
        </is>
      </c>
      <c r="B1040" s="11" t="inlineStr">
        <is>
          <t>The notice to the people it touched is drafted, refused while incomplete, approved, sent and accounted for</t>
        </is>
      </c>
      <c r="C1040" s="11" t="n">
        <v>4</v>
      </c>
      <c r="D1040" s="11" t="inlineStr">
        <is>
          <t>Click 'Approve'.</t>
        </is>
      </c>
      <c r="E1040" s="11" t="inlineStr">
        <is>
          <t>The message 'Not done' with "A notice says all five things Rule 7(1) requires. Missing: Who to contact with questions (Rule 7(1)(e))" appears. The version is still 'Draft'.</t>
        </is>
      </c>
      <c r="F1040" s="16" t="n"/>
      <c r="G1040" s="16" t="n"/>
    </row>
    <row r="1041">
      <c r="A1041" s="10" t="inlineStr">
        <is>
          <t>BRE-10</t>
        </is>
      </c>
      <c r="B1041" s="11" t="inlineStr">
        <is>
          <t>The notice to the people it touched is drafted, refused while incomplete, approved, sent and accounted for</t>
        </is>
      </c>
      <c r="C1041" s="11" t="n">
        <v>5</v>
      </c>
      <c r="D1041" s="11" t="inlineStr">
        <is>
          <t>Type the contact from the test data, click 'Save draft', then 'Approve'.</t>
        </is>
      </c>
      <c r="E1041" s="11" t="inlineStr">
        <is>
          <t>The message 'Notice approved' with 'Send it when you are ready.' appears. 'Version 1' now has the badge 'Approved' with the time and Priya Menon, and shows the five contents as text - nothing can be edited. The buttons 'Start an updated notice' and 'Send version 1' are shown.</t>
        </is>
      </c>
      <c r="F1041" s="16" t="n"/>
      <c r="G1041" s="16" t="n"/>
    </row>
    <row r="1042">
      <c r="A1042" s="10" t="inlineStr">
        <is>
          <t>BRE-10</t>
        </is>
      </c>
      <c r="B1042" s="11" t="inlineStr">
        <is>
          <t>The notice to the people it touched is drafted, refused while incomplete, approved, sent and accounted for</t>
        </is>
      </c>
      <c r="C1042" s="11" t="n">
        <v>6</v>
      </c>
      <c r="D1042" s="11" t="inlineStr">
        <is>
          <t>Click 'Send version 1'.</t>
        </is>
      </c>
      <c r="E1042" s="11" t="inlineStr">
        <is>
          <t>The message 'Version &lt;n&gt; sent' with 'Each email and SMS is sent by the worker.' appears. A table 'Version', 'Channel', 'Delivered', 'Queued', 'Failed' shows rows for 'Their account', 'Email' and 'SMS'.</t>
        </is>
      </c>
      <c r="F1042" s="16" t="n"/>
      <c r="G1042" s="16" t="n"/>
    </row>
    <row r="1043">
      <c r="A1043" s="10" t="inlineStr">
        <is>
          <t>BRE-10</t>
        </is>
      </c>
      <c r="B1043" s="11" t="inlineStr">
        <is>
          <t>The notice to the people it touched is drafted, refused while incomplete, approved, sent and accounted for</t>
        </is>
      </c>
      <c r="C1043" s="11" t="n">
        <v>7</v>
      </c>
      <c r="D1043" s="11" t="inlineStr">
        <is>
          <t>Wait one minute and read the table and the line above it.</t>
        </is>
      </c>
      <c r="E1043" s="11" t="inlineStr">
        <is>
          <t>Nothing is queued any longer. 'Their account' shows 1 delivered (Anjali), 'Email' 3 and 'SMS' 2 (UAT Contact 02 has no mobile); 'Failed' is 0. The line says 3 of 3 listed people have been notified on every channel. (If a delivery failed, 'Failed deliveries' lists it - note it as a finding.)</t>
        </is>
      </c>
      <c r="F1043" s="16" t="n"/>
      <c r="G1043" s="16" t="n"/>
    </row>
    <row r="1044">
      <c r="A1044" s="10" t="inlineStr">
        <is>
          <t>BRE-10</t>
        </is>
      </c>
      <c r="B1044" s="11" t="inlineStr">
        <is>
          <t>The notice to the people it touched is drafted, refused while incomplete, approved, sent and accounted for</t>
        </is>
      </c>
      <c r="C1044" s="11" t="n">
        <v>8</v>
      </c>
      <c r="D1044" s="11" t="inlineStr">
        <is>
          <t>Click the 'Duties' tab.</t>
        </is>
      </c>
      <c r="E1044" s="11" t="inlineStr">
        <is>
          <t>'Principals notified' shows 'Done' with a time - it completed by delivery; nobody pressed a button for it.</t>
        </is>
      </c>
      <c r="F1044" s="16" t="n"/>
      <c r="G1044" s="16" t="n"/>
    </row>
    <row r="1045">
      <c r="A1045" s="10" t="inlineStr">
        <is>
          <t>BRE-10</t>
        </is>
      </c>
      <c r="B1045" s="11" t="inlineStr">
        <is>
          <t>The notice to the people it touched is drafted, refused while incomplete, approved, sent and accounted for</t>
        </is>
      </c>
      <c r="C1045" s="11" t="n">
        <v>9</v>
      </c>
      <c r="D1045" s="11" t="inlineStr">
        <is>
          <t>Ask the coordinator to check the outbox for the notice.</t>
        </is>
      </c>
      <c r="E1045" s="11" t="inlineStr">
        <is>
          <t>An email to subject@cmp.local whose subject ends ': a personal data breach that may affect you', carrying BR-A and all five contents; an SMS to +91 90000 00001 saying a personal data breach may affect her data and pointing to her account; an email and an SMS for UAT Contact 01 and an email only for UAT Contact 02, carrying what happened, what to do and whom to ask. None names any other person.</t>
        </is>
      </c>
      <c r="F1045" s="16" t="n"/>
      <c r="G1045" s="16" t="n"/>
    </row>
    <row r="1046">
      <c r="A1046" s="10" t="inlineStr">
        <is>
          <t>BRE-10</t>
        </is>
      </c>
      <c r="B1046" s="11" t="inlineStr">
        <is>
          <t>The notice to the people it touched is drafted, refused while incomplete, approved, sent and accounted for</t>
        </is>
      </c>
      <c r="C1046" s="11" t="n">
        <v>10</v>
      </c>
      <c r="D1046" s="11" t="inlineStr">
        <is>
          <t>Click 'Send version 1' again.</t>
        </is>
      </c>
      <c r="E1046" s="11" t="inlineStr">
        <is>
          <t>The counts in the table do not change, and the coordinator finds no second copy for anyone: a resend writes only what is missing.</t>
        </is>
      </c>
      <c r="F1046" s="16" t="n"/>
      <c r="G1046" s="16" t="n"/>
    </row>
    <row r="1047">
      <c r="A1047" s="10" t="inlineStr">
        <is>
          <t>BRE-10</t>
        </is>
      </c>
      <c r="B1047" s="11" t="inlineStr">
        <is>
          <t>The notice to the people it touched is drafted, refused while incomplete, approved, sent and accounted for</t>
        </is>
      </c>
      <c r="C1047" s="11" t="n">
        <v>11</v>
      </c>
      <c r="D1047" s="11" t="inlineStr">
        <is>
          <t>Click 'Documents for the Board' and read item (vi) of the detailed report.</t>
        </is>
      </c>
      <c r="E1047" s="11" t="inlineStr">
        <is>
          <t>'(vi) The account of notices to the Data Principals affected' now says 3 of the 3 Data Principals listed as affected have been notified, and that 2 have no account and were written to by email and SMS, with a table 'Version', 'Approved', 'Channel', 'Delivered', 'Queued', 'Failed'.</t>
        </is>
      </c>
      <c r="F1047" s="16" t="n"/>
      <c r="G1047" s="16" t="n"/>
    </row>
    <row r="1048">
      <c r="A1048" s="10" t="inlineStr">
        <is>
          <t>BRE-10</t>
        </is>
      </c>
      <c r="B1048" s="11" t="inlineStr">
        <is>
          <t>The notice to the people it touched is drafted, refused while incomplete, approved, sent and accounted for</t>
        </is>
      </c>
      <c r="C1048" s="11" t="n">
        <v>12</v>
      </c>
      <c r="D1048" s="11" t="inlineStr">
        <is>
          <t>Click 'The breach'. On 'Board - detailed report' click 'Record submission', enter the test data and click 'Record'.</t>
        </is>
      </c>
      <c r="E1048" s="11" t="inlineStr">
        <is>
          <t>The row shows 'Done' with DPB-UAT-REP-01. The 'Close' card's 'Not yet' box no longer lists any duty.</t>
        </is>
      </c>
      <c r="F1048" s="16" t="n"/>
      <c r="G1048" s="16" t="n"/>
    </row>
    <row r="1049">
      <c r="A1049" s="10" t="inlineStr">
        <is>
          <t>BRE-11</t>
        </is>
      </c>
      <c r="B1049" s="11" t="inlineStr">
        <is>
          <t>The data principal reads the breach notice on the portal, and an update appears above it</t>
        </is>
      </c>
      <c r="C1049" s="11" t="n">
        <v>1</v>
      </c>
      <c r="D1049" s="11" t="inlineStr">
        <is>
          <t>In Browser A open http://localhost:3001/sign-in. Under 'Sign in with' choose 'Email', type subject@cmp.local in 'Email address' and click 'Send me a code'. Ask the coordinator for the code, type it in 'Six-digit code' and click 'Verify'.</t>
        </is>
      </c>
      <c r="E1049" s="11" t="inlineStr">
        <is>
          <t>A 'Check your messages' box appears after the first click. After 'Verify' you are signed in and the 'My consents' page opens; the sidebar shows 'My consents' and 'My requests'.</t>
        </is>
      </c>
      <c r="F1049" s="16" t="n"/>
      <c r="G1049" s="16" t="n"/>
    </row>
    <row r="1050">
      <c r="A1050" s="10" t="inlineStr">
        <is>
          <t>BRE-11</t>
        </is>
      </c>
      <c r="B1050" s="11" t="inlineStr">
        <is>
          <t>The data principal reads the breach notice on the portal, and an update appears above it</t>
        </is>
      </c>
      <c r="C1050" s="11" t="n">
        <v>2</v>
      </c>
      <c r="D1050" s="11" t="inlineStr">
        <is>
          <t>In the sidebar click 'Updates'.</t>
        </is>
      </c>
      <c r="E1050" s="11" t="inlineStr">
        <is>
          <t>The newest entry is about the breach notice, with the line 'We wrote to tell you about a personal data breach that may affect your data: what happened, what it may mean for you, and what you can do.' and a link naming the 'Notice about personal data breach' with BR-A.</t>
        </is>
      </c>
      <c r="F1050" s="16" t="n"/>
      <c r="G1050" s="16" t="n"/>
    </row>
    <row r="1051">
      <c r="A1051" s="10" t="inlineStr">
        <is>
          <t>BRE-11</t>
        </is>
      </c>
      <c r="B1051" s="11" t="inlineStr">
        <is>
          <t>The data principal reads the breach notice on the portal, and an update appears above it</t>
        </is>
      </c>
      <c r="C1051" s="11" t="n">
        <v>3</v>
      </c>
      <c r="D1051" s="11" t="inlineStr">
        <is>
          <t>Open the entry and follow its link, or open http://localhost:3001/breach-notices.</t>
        </is>
      </c>
      <c r="E1051" s="11" t="inlineStr">
        <is>
          <t>The page 'Personal data breach notices' opens with 'When a breach may affect your personal data, we tell you here and by your registered email or mobile: what happened, what it may mean for you, what we are doing, what you can do, and whom to ask.' One card is headed BR-A, with 'Written to your account &lt;date and time&gt;'.</t>
        </is>
      </c>
      <c r="F1051" s="16" t="n"/>
      <c r="G1051" s="16" t="n"/>
    </row>
    <row r="1052">
      <c r="A1052" s="10" t="inlineStr">
        <is>
          <t>BRE-11</t>
        </is>
      </c>
      <c r="B1052" s="11" t="inlineStr">
        <is>
          <t>The data principal reads the breach notice on the portal, and an update appears above it</t>
        </is>
      </c>
      <c r="C1052" s="11" t="n">
        <v>4</v>
      </c>
      <c r="D1052" s="11" t="inlineStr">
        <is>
          <t>Read the card.</t>
        </is>
      </c>
      <c r="E1052" s="11" t="inlineStr">
        <is>
          <t>Five sections in order - 'What happened', 'What it may mean for you', 'What we have done, and are doing', 'What you can do', 'Questions' - with the words approved in BRE-10. No INC- reference, incident title, other person's name or staff name appears.</t>
        </is>
      </c>
      <c r="F1052" s="16" t="n"/>
      <c r="G1052" s="16" t="n"/>
    </row>
    <row r="1053">
      <c r="A1053" s="10" t="inlineStr">
        <is>
          <t>BRE-11</t>
        </is>
      </c>
      <c r="B1053" s="11" t="inlineStr">
        <is>
          <t>The data principal reads the breach notice on the portal, and an update appears above it</t>
        </is>
      </c>
      <c r="C1053" s="11" t="n">
        <v>5</v>
      </c>
      <c r="D1053" s="11" t="inlineStr">
        <is>
          <t>In Browser B (DPO) open BR-A, tab 'People &amp; notices', click 'Start an updated notice'. Change 'What has been done, and is being done, to limit them (Rule 7(1)(c))' to the test data, click 'Save draft', 'Approve', then 'Send version &lt;n&gt;' (version 2).</t>
        </is>
      </c>
      <c r="E1053" s="11" t="inlineStr">
        <is>
          <t>'Update started' appears and 'Version &lt;n&gt;' (2) 'Draft' opens with version 1's words. After approving, 'Send version &lt;n&gt;' is offered; after sending, the table gains rows for version 2 that move from 'Queued' to 'Delivered'.</t>
        </is>
      </c>
      <c r="F1053" s="16" t="n"/>
      <c r="G1053" s="16" t="n"/>
    </row>
    <row r="1054">
      <c r="A1054" s="10" t="inlineStr">
        <is>
          <t>BRE-11</t>
        </is>
      </c>
      <c r="B1054" s="11" t="inlineStr">
        <is>
          <t>The data principal reads the breach notice on the portal, and an update appears above it</t>
        </is>
      </c>
      <c r="C1054" s="11" t="n">
        <v>6</v>
      </c>
      <c r="D1054" s="11" t="inlineStr">
        <is>
          <t>In Browser A reload 'Personal data breach notices'.</t>
        </is>
      </c>
      <c r="E1054" s="11" t="inlineStr">
        <is>
          <t>Two cards: the top one headed BR-A with '- update &lt;n&gt;' (update 1) and the new words under 'What we have done, and are doing'; the original below it, unchanged.</t>
        </is>
      </c>
      <c r="F1054" s="16" t="n"/>
      <c r="G1054" s="16" t="n"/>
    </row>
    <row r="1055">
      <c r="A1055" s="10" t="inlineStr">
        <is>
          <t>BRE-11</t>
        </is>
      </c>
      <c r="B1055" s="11" t="inlineStr">
        <is>
          <t>The data principal reads the breach notice on the portal, and an update appears above it</t>
        </is>
      </c>
      <c r="C1055" s="11" t="n">
        <v>7</v>
      </c>
      <c r="D1055" s="11" t="inlineStr">
        <is>
          <t>Ask the coordinator to check the outbox for mail to subject@cmp.local.</t>
        </is>
      </c>
      <c r="E1055" s="11" t="inlineStr">
        <is>
          <t>A second notice email to subject@cmp.local carries the updated words; UAT Contact 01 and 02 also have a second email.</t>
        </is>
      </c>
      <c r="F1055" s="16" t="n"/>
      <c r="G1055" s="16" t="n"/>
    </row>
    <row r="1056">
      <c r="A1056" s="10" t="inlineStr">
        <is>
          <t>BRE-12</t>
        </is>
      </c>
      <c r="B1056" s="11" t="inlineStr">
        <is>
          <t>A breach ticket to a member of staff: answered in My tasks, sent back, returned and closed</t>
        </is>
      </c>
      <c r="C1056" s="11" t="n">
        <v>1</v>
      </c>
      <c r="D1056" s="11" t="inlineStr">
        <is>
          <t>In the sidebar under 'Your work' click 'Breaches', then click the reference BR-A in the 'Reference' column. Click the 'Tickets' tab.</t>
        </is>
      </c>
      <c r="E1056" s="11" t="inlineStr">
        <is>
          <t>The page for BR-A opens, with an 'Incidents and breaches' back link above the heading. The 'Tickets' tab is shown.</t>
        </is>
      </c>
      <c r="F1056" s="16" t="n"/>
      <c r="G1056" s="16" t="n"/>
    </row>
    <row r="1057">
      <c r="A1057" s="10" t="inlineStr">
        <is>
          <t>BRE-12</t>
        </is>
      </c>
      <c r="B1057" s="11" t="inlineStr">
        <is>
          <t>A breach ticket to a member of staff: answered in My tasks, sent back, returned and closed</t>
        </is>
      </c>
      <c r="C1057" s="11" t="n">
        <v>2</v>
      </c>
      <c r="D1057" s="11" t="inlineStr">
        <is>
          <t>Click 'Assign a ticket'.</t>
        </is>
      </c>
      <c r="E1057" s="11" t="inlineStr">
        <is>
          <t>A dialog 'Assign a ticket' opens with 'To somebody on the organisation's own email domains. They see the breach reference, your instruction and the thread - nothing else from the register.' It offers 'A member of staff' (chosen) and 'Someone without a console login', then 'Find them', 'Who' ('Choose a member of staff'), 'What you are asking them to do', 'Answer by' and a greyed-out 'Assign'.</t>
        </is>
      </c>
      <c r="F1057" s="16" t="n"/>
      <c r="G1057" s="16" t="n"/>
    </row>
    <row r="1058">
      <c r="A1058" s="10" t="inlineStr">
        <is>
          <t>BRE-12</t>
        </is>
      </c>
      <c r="B1058" s="11" t="inlineStr">
        <is>
          <t>A breach ticket to a member of staff: answered in My tasks, sent back, returned and closed</t>
        </is>
      </c>
      <c r="C1058" s="11" t="n">
        <v>3</v>
      </c>
      <c r="D1058" s="11" t="inlineStr">
        <is>
          <t>Type Kavya in 'Find them', choose Kavya Rao · rnd@cmp.local in 'Who', type the instruction, set 'Answer by' and click 'Assign'.</t>
        </is>
      </c>
      <c r="E1058" s="11" t="inlineStr">
        <is>
          <t>The message 'Ticket assigned' with 'They are emailed that a ticket is waiting; the email names no breach.' appears. The table ('Holder', 'State', 'Answer by', 'Last activity') shows Kavya Rao, 'Waiting on the holder', the date, and an 'Open' button. There is no 'Temporary login' badge.</t>
        </is>
      </c>
      <c r="F1058" s="16" t="n"/>
      <c r="G1058" s="16" t="n"/>
    </row>
    <row r="1059">
      <c r="A1059" s="10" t="inlineStr">
        <is>
          <t>BRE-12</t>
        </is>
      </c>
      <c r="B1059" s="11" t="inlineStr">
        <is>
          <t>A breach ticket to a member of staff: answered in My tasks, sent back, returned and closed</t>
        </is>
      </c>
      <c r="C1059" s="11" t="n">
        <v>4</v>
      </c>
      <c r="D1059" s="11" t="inlineStr">
        <is>
          <t>Ask the coordinator to check the outbox for mail to rnd@cmp.local.</t>
        </is>
      </c>
      <c r="E1059" s="11" t="inlineStr">
        <is>
          <t>An email 'A ticket from the &lt;organisation&gt; Privacy Office is waiting for you' with a link to the console. It names no breach: no BR-A, no title, no words of the instruction.</t>
        </is>
      </c>
      <c r="F1059" s="16" t="n"/>
      <c r="G1059" s="16" t="n"/>
    </row>
    <row r="1060">
      <c r="A1060" s="10" t="inlineStr">
        <is>
          <t>BRE-12</t>
        </is>
      </c>
      <c r="B1060" s="11" t="inlineStr">
        <is>
          <t>A breach ticket to a member of staff: answered in My tasks, sent back, returned and closed</t>
        </is>
      </c>
      <c r="C1060" s="11" t="n">
        <v>5</v>
      </c>
      <c r="D1060" s="11" t="inlineStr">
        <is>
          <t>In Browser C open http://localhost:3000. Type rnd@cmp.local in 'Email or username' and SeedPassw0rd!2026 in 'Password' and click 'Sign in'. If the 'Verify it is you' page appears, ask the coordinator for the code, type it in '6-digit code' and click 'Verify and continue'.</t>
        </is>
      </c>
      <c r="E1060" s="11" t="inlineStr">
        <is>
          <t>The Dashboard opens, signed in as Kavya Rao (R&amp;D User). A queue on the dashboard lists BR-A with 'Answer the Privacy Office's breach ticket'.</t>
        </is>
      </c>
      <c r="F1060" s="16" t="n"/>
      <c r="G1060" s="16" t="n"/>
    </row>
    <row r="1061">
      <c r="A1061" s="10" t="inlineStr">
        <is>
          <t>BRE-12</t>
        </is>
      </c>
      <c r="B1061" s="11" t="inlineStr">
        <is>
          <t>A breach ticket to a member of staff: answered in My tasks, sent back, returned and closed</t>
        </is>
      </c>
      <c r="C1061" s="11" t="n">
        <v>6</v>
      </c>
      <c r="D1061" s="11" t="inlineStr">
        <is>
          <t>In Browser C click 'My tasks' in the sidebar.</t>
        </is>
      </c>
      <c r="E1061" s="11" t="inlineStr">
        <is>
          <t>The page 'My tasks' opens. A section 'Breach tickets · &lt;n&gt; open' (1) holds a card: BR-A, the badges 'Personal data breach' and 'Waiting on the holder', 'From the Privacy Office · &lt;date&gt;', 'Answer by &lt;date&gt;', 'What you are asked' with the instruction, and the buttons 'Respond' and 'Add a colleague'. Nothing else about the breach is shown - no title, no people.</t>
        </is>
      </c>
      <c r="F1061" s="16" t="n"/>
      <c r="G1061" s="16" t="n"/>
    </row>
    <row r="1062">
      <c r="A1062" s="10" t="inlineStr">
        <is>
          <t>BRE-12</t>
        </is>
      </c>
      <c r="B1062" s="11" t="inlineStr">
        <is>
          <t>A breach ticket to a member of staff: answered in My tasks, sent back, returned and closed</t>
        </is>
      </c>
      <c r="C1062" s="11" t="n">
        <v>7</v>
      </c>
      <c r="D1062" s="11" t="inlineStr">
        <is>
          <t>Click 'Respond'. Type Kavya's message and click 'Send'.</t>
        </is>
      </c>
      <c r="E1062" s="11" t="inlineStr">
        <is>
          <t>The dialog '&lt;reference&gt; · breach ticket' showed 'Everything said so far, and your response. Tick the box to make a response your return.', the instruction in the thread, 'When you return the ticket: what was done?', the message box, 'Attach a file' and the box 'This is my return'. After 'Send' the message 'Message sent' with 'The Privacy Office can see it.' appears and the dialog closes.</t>
        </is>
      </c>
      <c r="F1062" s="16" t="n"/>
      <c r="G1062" s="16" t="n"/>
    </row>
    <row r="1063">
      <c r="A1063" s="10" t="inlineStr">
        <is>
          <t>BRE-12</t>
        </is>
      </c>
      <c r="B1063" s="11" t="inlineStr">
        <is>
          <t>A breach ticket to a member of staff: answered in My tasks, sent back, returned and closed</t>
        </is>
      </c>
      <c r="C1063" s="11" t="n">
        <v>8</v>
      </c>
      <c r="D1063" s="11" t="inlineStr">
        <is>
          <t>Click 'Respond' again. Type the first return's words, tick 'This is my return' without choosing what was done, and click 'Return the ticket'.</t>
        </is>
      </c>
      <c r="E1063" s="11" t="inlineStr">
        <is>
          <t>The button read 'Return the ticket' once the box was ticked. An error says 'Choose what was done before returning the ticket.' Nothing is returned.</t>
        </is>
      </c>
      <c r="F1063" s="16" t="n"/>
      <c r="G1063" s="16" t="n"/>
    </row>
    <row r="1064">
      <c r="A1064" s="10" t="inlineStr">
        <is>
          <t>BRE-12</t>
        </is>
      </c>
      <c r="B1064" s="11" t="inlineStr">
        <is>
          <t>A breach ticket to a member of staff: answered in My tasks, sent back, returned and closed</t>
        </is>
      </c>
      <c r="C1064" s="11" t="n">
        <v>9</v>
      </c>
      <c r="D1064" s="11" t="inlineStr">
        <is>
          <t>In 'When you return the ticket: what was done?' choose 'Did only part of it', attach sync-log-01.txt and click 'Return the ticket'.</t>
        </is>
      </c>
      <c r="E1064" s="11" t="inlineStr">
        <is>
          <t>The message 'Ticket returned' appears. The card shows 'Returned' and an 'Open' button in place of 'Respond'.</t>
        </is>
      </c>
      <c r="F1064" s="16" t="n"/>
      <c r="G1064" s="16" t="n"/>
    </row>
    <row r="1065">
      <c r="A1065" s="10" t="inlineStr">
        <is>
          <t>BRE-12</t>
        </is>
      </c>
      <c r="B1065" s="11" t="inlineStr">
        <is>
          <t>A breach ticket to a member of staff: answered in My tasks, sent back, returned and closed</t>
        </is>
      </c>
      <c r="C1065" s="11" t="n">
        <v>10</v>
      </c>
      <c r="D1065" s="11" t="inlineStr">
        <is>
          <t>In Browser B reload the 'Tickets' tab and click 'Dashboard'. Ask the coordinator for mail to dpo@cmp.local.</t>
        </is>
      </c>
      <c r="E1065" s="11" t="inlineStr">
        <is>
          <t>Kavya Rao's row reads 'Returned' with a '&lt;n&gt; new' badge. 'Needs attention' lists 'Breach tickets returned'. An email says Kavya Rao answered their ticket on BR-A.</t>
        </is>
      </c>
      <c r="F1065" s="16" t="n"/>
      <c r="G1065" s="16" t="n"/>
    </row>
    <row r="1066">
      <c r="A1066" s="10" t="inlineStr">
        <is>
          <t>BRE-12</t>
        </is>
      </c>
      <c r="B1066" s="11" t="inlineStr">
        <is>
          <t>A breach ticket to a member of staff: answered in My tasks, sent back, returned and closed</t>
        </is>
      </c>
      <c r="C1066" s="11" t="n">
        <v>11</v>
      </c>
      <c r="D1066" s="11" t="inlineStr">
        <is>
          <t>Open BR-A's 'Tickets' tab, click 'Open' on Kavya's row, then 'Send back'. Type the reason in 'What is missing or wrong? The holder reads this.' and click 'Send back'.</t>
        </is>
      </c>
      <c r="E1066" s="11" t="inlineStr">
        <is>
          <t>The dialog 'Ticket for &lt;name&gt;' (Kavya Rao) showed the thread - her message, her return marked 'Returned' with the file and a 'download' link - and the buttons 'Send back', 'Close the ticket' and 'Withdraw'. After sending back, 'Sent back' appears, the state is 'Waiting on the holder' and the thread ends with 'Sent back by the Privacy Office' and the reason.</t>
        </is>
      </c>
      <c r="F1066" s="16" t="n"/>
      <c r="G1066" s="16" t="n"/>
    </row>
    <row r="1067">
      <c r="A1067" s="10" t="inlineStr">
        <is>
          <t>BRE-12</t>
        </is>
      </c>
      <c r="B1067" s="11" t="inlineStr">
        <is>
          <t>A breach ticket to a member of staff: answered in My tasks, sent back, returned and closed</t>
        </is>
      </c>
      <c r="C1067" s="11" t="n">
        <v>12</v>
      </c>
      <c r="D1067" s="11" t="inlineStr">
        <is>
          <t>Ask the coordinator for mail to rnd@cmp.local. In Browser C reload 'My tasks', click 'Respond', and return the ticket with 'Did all of it' and the second return's words.</t>
        </is>
      </c>
      <c r="E1067" s="11" t="inlineStr">
        <is>
          <t>A new 'is waiting for you' email to rnd@cmp.local names no breach. The card was 'Waiting on the holder' with the reason in the thread; after returning, 'Ticket returned' appears.</t>
        </is>
      </c>
      <c r="F1067" s="16" t="n"/>
      <c r="G1067" s="16" t="n"/>
    </row>
    <row r="1068">
      <c r="A1068" s="10" t="inlineStr">
        <is>
          <t>BRE-12</t>
        </is>
      </c>
      <c r="B1068" s="11" t="inlineStr">
        <is>
          <t>A breach ticket to a member of staff: answered in My tasks, sent back, returned and closed</t>
        </is>
      </c>
      <c r="C1068" s="11" t="n">
        <v>13</v>
      </c>
      <c r="D1068" s="11" t="inlineStr">
        <is>
          <t>In Browser B open Kavya's ticket and click 'Close the ticket'.</t>
        </is>
      </c>
      <c r="E1068" s="11" t="inlineStr">
        <is>
          <t>No reason is asked. 'Ticket closed' appears; the state is 'Closed'; the message box is replaced by 'This ticket is not open; reopen it to write.' and 'Reopen' is offered.</t>
        </is>
      </c>
      <c r="F1068" s="16" t="n"/>
      <c r="G1068" s="16" t="n"/>
    </row>
    <row r="1069">
      <c r="A1069" s="10" t="inlineStr">
        <is>
          <t>BRE-12</t>
        </is>
      </c>
      <c r="B1069" s="11" t="inlineStr">
        <is>
          <t>A breach ticket to a member of staff: answered in My tasks, sent back, returned and closed</t>
        </is>
      </c>
      <c r="C1069" s="11" t="n">
        <v>14</v>
      </c>
      <c r="D1069" s="11" t="inlineStr">
        <is>
          <t>In Browser C reload 'My tasks' and click 'Open' on the card.</t>
        </is>
      </c>
      <c r="E1069" s="11" t="inlineStr">
        <is>
          <t>The section reads 'Breach tickets · &lt;n&gt; open' (0); the card shows 'Closed'. The dialog says 'Everything said is kept. Only the Privacy Office closes a ticket.' and, in place of the message box, 'This ticket is closed. Nothing further is needed from you.'</t>
        </is>
      </c>
      <c r="F1069" s="16" t="n"/>
      <c r="G1069" s="16" t="n"/>
    </row>
    <row r="1070">
      <c r="A1070" s="10" t="inlineStr">
        <is>
          <t>BRE-13</t>
        </is>
      </c>
      <c r="B1070" s="11" t="inlineStr">
        <is>
          <t>Breach tickets are refused before recording, to outside addresses, without a name, twice to one person and with a past date</t>
        </is>
      </c>
      <c r="C1070" s="11" t="n">
        <v>1</v>
      </c>
      <c r="D1070" s="11" t="inlineStr">
        <is>
          <t>In the sidebar under 'Your work' click 'Breaches', then click the reference INC-B in the 'Reference' column. Click the 'Tickets' tab.</t>
        </is>
      </c>
      <c r="E1070" s="11" t="inlineStr">
        <is>
          <t>The page for INC-B opens, with an 'Incidents and breaches' back link above the heading. The 'Tickets' tab is shown.</t>
        </is>
      </c>
      <c r="F1070" s="16" t="n"/>
      <c r="G1070" s="16" t="n"/>
    </row>
    <row r="1071">
      <c r="A1071" s="10" t="inlineStr">
        <is>
          <t>BRE-13</t>
        </is>
      </c>
      <c r="B1071" s="11" t="inlineStr">
        <is>
          <t>Breach tickets are refused before recording, to outside addresses, without a name, twice to one person and with a past date</t>
        </is>
      </c>
      <c r="C1071" s="11" t="n">
        <v>2</v>
      </c>
      <c r="D1071" s="11" t="inlineStr">
        <is>
          <t>Read the tab.</t>
        </is>
      </c>
      <c r="E1071" s="11" t="inlineStr">
        <is>
          <t>A box 'Tickets wait for the breach to be recorded' reads 'A ticket reaches a person on the breach's account, so it is assigned once validation records this as a personal data breach.' There is no 'Assign a ticket' button.</t>
        </is>
      </c>
      <c r="F1071" s="16" t="n"/>
      <c r="G1071" s="16" t="n"/>
    </row>
    <row r="1072">
      <c r="A1072" s="10" t="inlineStr">
        <is>
          <t>BRE-13</t>
        </is>
      </c>
      <c r="B1072" s="11" t="inlineStr">
        <is>
          <t>Breach tickets are refused before recording, to outside addresses, without a name, twice to one person and with a past date</t>
        </is>
      </c>
      <c r="C1072" s="11" t="n">
        <v>3</v>
      </c>
      <c r="D1072" s="11" t="inlineStr">
        <is>
          <t>Open BR-A's 'Tickets' tab, click 'Assign a ticket' and choose 'Someone without a console login'.</t>
        </is>
      </c>
      <c r="E1072" s="11" t="inlineStr">
        <is>
          <t>A note explains the login for this breach only, then 'Their name' (hint 'Needed when nobody has an account at this address'), 'Their work email' (hint 'On one of the organisation's own domains') and 'Their mobile' ('Optional'). 'Assign' is greyed out until the email and the instruction are filled.</t>
        </is>
      </c>
      <c r="F1072" s="16" t="n"/>
      <c r="G1072" s="16" t="n"/>
    </row>
    <row r="1073">
      <c r="A1073" s="10" t="inlineStr">
        <is>
          <t>BRE-13</t>
        </is>
      </c>
      <c r="B1073" s="11" t="inlineStr">
        <is>
          <t>Breach tickets are refused before recording, to outside addresses, without a name, twice to one person and with a past date</t>
        </is>
      </c>
      <c r="C1073" s="11" t="n">
        <v>4</v>
      </c>
      <c r="D1073" s="11" t="inlineStr">
        <is>
          <t>Enter the outside address and name and the instruction, and click 'Assign'.</t>
        </is>
      </c>
      <c r="E1073" s="11" t="inlineStr">
        <is>
          <t>The message 'Not assigned' with 'Breach tickets go to internal staff only: this email address is not on one of the organisation's own domains' appears. The message does not repeat the address.</t>
        </is>
      </c>
      <c r="F1073" s="16" t="n"/>
      <c r="G1073" s="16" t="n"/>
    </row>
    <row r="1074">
      <c r="A1074" s="10" t="inlineStr">
        <is>
          <t>BRE-13</t>
        </is>
      </c>
      <c r="B1074" s="11" t="inlineStr">
        <is>
          <t>Breach tickets are refused before recording, to outside addresses, without a name, twice to one person and with a past date</t>
        </is>
      </c>
      <c r="C1074" s="11" t="n">
        <v>5</v>
      </c>
      <c r="D1074" s="11" t="inlineStr">
        <is>
          <t>Clear 'Their name', change the email to tester01.nobody@cmp.local and click 'Assign'.</t>
        </is>
      </c>
      <c r="E1074" s="11" t="inlineStr">
        <is>
          <t>The message 'Not assigned' with 'Give their name: nobody has an account at this address' appears.</t>
        </is>
      </c>
      <c r="F1074" s="16" t="n"/>
      <c r="G1074" s="16" t="n"/>
    </row>
    <row r="1075">
      <c r="A1075" s="10" t="inlineStr">
        <is>
          <t>BRE-13</t>
        </is>
      </c>
      <c r="B1075" s="11" t="inlineStr">
        <is>
          <t>Breach tickets are refused before recording, to outside addresses, without a name, twice to one person and with a past date</t>
        </is>
      </c>
      <c r="C1075" s="11" t="n">
        <v>6</v>
      </c>
      <c r="D1075" s="11" t="inlineStr">
        <is>
          <t>Choose 'A member of staff', pick Kavya Rao in 'Who' and click 'Assign'.</t>
        </is>
      </c>
      <c r="E1075" s="11" t="inlineStr">
        <is>
          <t>The message 'Not assigned' with 'This person already holds a ticket on this breach' appears.</t>
        </is>
      </c>
      <c r="F1075" s="16" t="n"/>
      <c r="G1075" s="16" t="n"/>
    </row>
    <row r="1076">
      <c r="A1076" s="10" t="inlineStr">
        <is>
          <t>BRE-13</t>
        </is>
      </c>
      <c r="B1076" s="11" t="inlineStr">
        <is>
          <t>Breach tickets are refused before recording, to outside addresses, without a name, twice to one person and with a past date</t>
        </is>
      </c>
      <c r="C1076" s="11" t="n">
        <v>7</v>
      </c>
      <c r="D1076" s="11" t="inlineStr">
        <is>
          <t>Choose 'Someone without a console login', type rnd@cmp.local in 'Their work email' and click 'Assign'.</t>
        </is>
      </c>
      <c r="E1076" s="11" t="inlineStr">
        <is>
          <t>The same 'This person already holds a ticket on this breach' - an address with a console login is treated as that person.</t>
        </is>
      </c>
      <c r="F1076" s="16" t="n"/>
      <c r="G1076" s="16" t="n"/>
    </row>
    <row r="1077">
      <c r="A1077" s="10" t="inlineStr">
        <is>
          <t>BRE-13</t>
        </is>
      </c>
      <c r="B1077" s="11" t="inlineStr">
        <is>
          <t>Breach tickets are refused before recording, to outside addresses, without a name, twice to one person and with a past date</t>
        </is>
      </c>
      <c r="C1077" s="11" t="n">
        <v>8</v>
      </c>
      <c r="D1077" s="11" t="inlineStr">
        <is>
          <t>Choose 'A member of staff', pick Meera Iyer, set 'Answer by' to yesterday and click 'Assign'.</t>
        </is>
      </c>
      <c r="E1077" s="11" t="inlineStr">
        <is>
          <t>The message 'Not assigned' with 'The answer-by date has already passed' appears. Click 'Cancel'.</t>
        </is>
      </c>
      <c r="F1077" s="16" t="n"/>
      <c r="G1077" s="16" t="n"/>
    </row>
    <row r="1078">
      <c r="A1078" s="10" t="inlineStr">
        <is>
          <t>BRE-13</t>
        </is>
      </c>
      <c r="B1078" s="11" t="inlineStr">
        <is>
          <t>Breach tickets are refused before recording, to outside addresses, without a name, twice to one person and with a past date</t>
        </is>
      </c>
      <c r="C1078" s="11" t="n">
        <v>9</v>
      </c>
      <c r="D1078" s="11" t="inlineStr">
        <is>
          <t>Look at the table and ask the coordinator to check the outbox.</t>
        </is>
      </c>
      <c r="E1078" s="11" t="inlineStr">
        <is>
          <t>Only Kavya Rao's ticket is listed. No email went to tester01@example.org, tester01.nobody@cmp.local or rco@cmp.local.</t>
        </is>
      </c>
      <c r="F1078" s="16" t="n"/>
      <c r="G1078" s="16" t="n"/>
    </row>
    <row r="1079">
      <c r="A1079" s="10" t="inlineStr">
        <is>
          <t>BRE-14</t>
        </is>
      </c>
      <c r="B1079" s="11" t="inlineStr">
        <is>
          <t>An internal person with no console login is given a temporary login, answers in My tasks and adds a colleague</t>
        </is>
      </c>
      <c r="C1079" s="11" t="n">
        <v>1</v>
      </c>
      <c r="D1079" s="11" t="inlineStr">
        <is>
          <t>In Browser B open BR-A's 'Tickets' tab, click 'Assign a ticket' and choose 'Someone without a console login'.</t>
        </is>
      </c>
      <c r="E1079" s="11" t="inlineStr">
        <is>
          <t>The note reads 'They are given a login for this breach only: they set a password from the email, sign in with a code like all staff, and see only their ticket. It ends when you withdraw their ticket or the breach closes. If the address already has a console login, the ticket goes to it as usual.'</t>
        </is>
      </c>
      <c r="F1079" s="16" t="n"/>
      <c r="G1079" s="16" t="n"/>
    </row>
    <row r="1080">
      <c r="A1080" s="10" t="inlineStr">
        <is>
          <t>BRE-14</t>
        </is>
      </c>
      <c r="B1080" s="11" t="inlineStr">
        <is>
          <t>An internal person with no console login is given a temporary login, answers in My tasks and adds a colleague</t>
        </is>
      </c>
      <c r="C1080" s="11" t="n">
        <v>2</v>
      </c>
      <c r="D1080" s="11" t="inlineStr">
        <is>
          <t>Enter the holder's name, email, mobile and the instruction, and click 'Assign'.</t>
        </is>
      </c>
      <c r="E1080" s="11" t="inlineStr">
        <is>
          <t>The message 'Ticket assigned' with 'They are emailed how to sign in, or that a ticket is waiting if they already can; the email names no breach.' appears. A row UAT Holder 01 shows the badge 'Temporary login · not yet signed in' and 'Waiting on the holder'.</t>
        </is>
      </c>
      <c r="F1080" s="16" t="n"/>
      <c r="G1080" s="16" t="n"/>
    </row>
    <row r="1081">
      <c r="A1081" s="10" t="inlineStr">
        <is>
          <t>BRE-14</t>
        </is>
      </c>
      <c r="B1081" s="11" t="inlineStr">
        <is>
          <t>An internal person with no console login is given a temporary login, answers in My tasks and adds a colleague</t>
        </is>
      </c>
      <c r="C1081" s="11" t="n">
        <v>3</v>
      </c>
      <c r="D1081" s="11" t="inlineStr">
        <is>
          <t>Ask the coordinator for the email to tester01.holder@cmp.local.</t>
        </is>
      </c>
      <c r="E1081" s="11" t="inlineStr">
        <is>
          <t>An email 'The &lt;organisation&gt; Privacy Office has asked for your help' gives temporary access to the console to answer a ticket, says that when the matter is closed they can still read it but no longer answer it, and carries a set-password link and a code. It names no breach.</t>
        </is>
      </c>
      <c r="F1081" s="16" t="n"/>
      <c r="G1081" s="16" t="n"/>
    </row>
    <row r="1082">
      <c r="A1082" s="10" t="inlineStr">
        <is>
          <t>BRE-14</t>
        </is>
      </c>
      <c r="B1082" s="11" t="inlineStr">
        <is>
          <t>An internal person with no console login is given a temporary login, answers in My tasks and adds a colleague</t>
        </is>
      </c>
      <c r="C1082" s="11" t="n">
        <v>4</v>
      </c>
      <c r="D1082" s="11" t="inlineStr">
        <is>
          <t>In Browser D open the link from the email.</t>
        </is>
      </c>
      <c r="E1082" s="11" t="inlineStr">
        <is>
          <t>The page 'Set your password' opens with 'Enter the code sent to &lt;email&gt; and choose a password...' (tester01.holder@cmp.local), and the fields 'Code', 'New password' and 'Confirm new password' with a 'Set the new password' button.</t>
        </is>
      </c>
      <c r="F1082" s="16" t="n"/>
      <c r="G1082" s="16" t="n"/>
    </row>
    <row r="1083">
      <c r="A1083" s="10" t="inlineStr">
        <is>
          <t>BRE-14</t>
        </is>
      </c>
      <c r="B1083" s="11" t="inlineStr">
        <is>
          <t>An internal person with no console login is given a temporary login, answers in My tasks and adds a colleague</t>
        </is>
      </c>
      <c r="C1083" s="11" t="n">
        <v>5</v>
      </c>
      <c r="D1083" s="11" t="inlineStr">
        <is>
          <t>Type the code and UatHolder01!Pass twice, and click 'Set the new password'.</t>
        </is>
      </c>
      <c r="E1083" s="11" t="inlineStr">
        <is>
          <t>A green box 'Password changed' reads 'Every other session has been signed out. Taking you to sign in…' and the sign-in page opens.</t>
        </is>
      </c>
      <c r="F1083" s="16" t="n"/>
      <c r="G1083" s="16" t="n"/>
    </row>
    <row r="1084">
      <c r="A1084" s="10" t="inlineStr">
        <is>
          <t>BRE-14</t>
        </is>
      </c>
      <c r="B1084" s="11" t="inlineStr">
        <is>
          <t>An internal person with no console login is given a temporary login, answers in My tasks and adds a colleague</t>
        </is>
      </c>
      <c r="C1084" s="11" t="n">
        <v>6</v>
      </c>
      <c r="D1084" s="11" t="inlineStr">
        <is>
          <t>Sign in with tester01.holder@cmp.local and UatHolder01!Pass. On 'Verify it is you' type the code the coordinator relays and click 'Verify and continue'.</t>
        </is>
      </c>
      <c r="E1084" s="11" t="inlineStr">
        <is>
          <t>The page 'My tasks' opens (not a dashboard). The sidebar under 'Your work' shows only 'My tasks'.</t>
        </is>
      </c>
      <c r="F1084" s="16" t="n"/>
      <c r="G1084" s="16" t="n"/>
    </row>
    <row r="1085">
      <c r="A1085" s="10" t="inlineStr">
        <is>
          <t>BRE-14</t>
        </is>
      </c>
      <c r="B1085" s="11" t="inlineStr">
        <is>
          <t>An internal person with no console login is given a temporary login, answers in My tasks and adds a colleague</t>
        </is>
      </c>
      <c r="C1085" s="11" t="n">
        <v>7</v>
      </c>
      <c r="D1085" s="11" t="inlineStr">
        <is>
          <t>Read the page.</t>
        </is>
      </c>
      <c r="E1085" s="11" t="inlineStr">
        <is>
          <t>'Breach tickets · &lt;n&gt; open' (1) with one card: BR-A, 'Personal data breach', 'Waiting on the holder', 'What you are asked' with the instruction, 'Respond' and 'Add a colleague'. Nothing else about the breach or any other work is shown.</t>
        </is>
      </c>
      <c r="F1085" s="16" t="n"/>
      <c r="G1085" s="16" t="n"/>
    </row>
    <row r="1086">
      <c r="A1086" s="10" t="inlineStr">
        <is>
          <t>BRE-14</t>
        </is>
      </c>
      <c r="B1086" s="11" t="inlineStr">
        <is>
          <t>An internal person with no console login is given a temporary login, answers in My tasks and adds a colleague</t>
        </is>
      </c>
      <c r="C1086" s="11" t="n">
        <v>8</v>
      </c>
      <c r="D1086" s="11" t="inlineStr">
        <is>
          <t>In the address bar type http://localhost:3000/breaches and press Enter.</t>
        </is>
      </c>
      <c r="E1086" s="11" t="inlineStr">
        <is>
          <t>The box 'Not part of your account' with 'This section belongs to a different role, so there is nothing here for you.' is shown - no register.</t>
        </is>
      </c>
      <c r="F1086" s="16" t="n"/>
      <c r="G1086" s="16" t="n"/>
    </row>
    <row r="1087">
      <c r="A1087" s="10" t="inlineStr">
        <is>
          <t>BRE-14</t>
        </is>
      </c>
      <c r="B1087" s="11" t="inlineStr">
        <is>
          <t>An internal person with no console login is given a temporary login, answers in My tasks and adds a colleague</t>
        </is>
      </c>
      <c r="C1087" s="11" t="n">
        <v>9</v>
      </c>
      <c r="D1087" s="11" t="inlineStr">
        <is>
          <t>Go back to 'My tasks'. In Browser B reload BR-A's 'Tickets' tab.</t>
        </is>
      </c>
      <c r="E1087" s="11" t="inlineStr">
        <is>
          <t>UAT Holder 01's badge now reads 'Temporary login'.</t>
        </is>
      </c>
      <c r="F1087" s="16" t="n"/>
      <c r="G1087" s="16" t="n"/>
    </row>
    <row r="1088">
      <c r="A1088" s="10" t="inlineStr">
        <is>
          <t>BRE-14</t>
        </is>
      </c>
      <c r="B1088" s="11" t="inlineStr">
        <is>
          <t>An internal person with no console login is given a temporary login, answers in My tasks and adds a colleague</t>
        </is>
      </c>
      <c r="C1088" s="11" t="n">
        <v>10</v>
      </c>
      <c r="D1088" s="11" t="inlineStr">
        <is>
          <t>In Browser D click 'Add a colleague', fill in the colleague from the test data and click 'Add'.</t>
        </is>
      </c>
      <c r="E1088" s="11" t="inlineStr">
        <is>
          <t>The dialog 'Add a colleague' asked for 'Their name', 'Their work email', 'Their mobile' and 'What you are asking them to do'. The message 'Colleague added' with 'They have their own ticket on this, opening with your note, and are emailed about it. The Privacy Office can see that you added them.' appears.</t>
        </is>
      </c>
      <c r="F1088" s="16" t="n"/>
      <c r="G1088" s="16" t="n"/>
    </row>
    <row r="1089">
      <c r="A1089" s="10" t="inlineStr">
        <is>
          <t>BRE-14</t>
        </is>
      </c>
      <c r="B1089" s="11" t="inlineStr">
        <is>
          <t>An internal person with no console login is given a temporary login, answers in My tasks and adds a colleague</t>
        </is>
      </c>
      <c r="C1089" s="11" t="n">
        <v>11</v>
      </c>
      <c r="D1089" s="11" t="inlineStr">
        <is>
          <t>In Browser B reload the 'Tickets' tab and ask the coordinator for mail to tester01.colleague@cmp.local.</t>
        </is>
      </c>
      <c r="E1089" s="11" t="inlineStr">
        <is>
          <t>A row UAT Colleague 01, indented under UAT Holder 01, with 'added by &lt;name&gt;' (UAT Holder 01), 'Temporary login · not yet signed in' and 'Waiting on the holder'. The colleague has the same 'asked for your help' email, naming no breach.</t>
        </is>
      </c>
      <c r="F1089" s="16" t="n"/>
      <c r="G1089" s="16" t="n"/>
    </row>
    <row r="1090">
      <c r="A1090" s="10" t="inlineStr">
        <is>
          <t>BRE-14</t>
        </is>
      </c>
      <c r="B1090" s="11" t="inlineStr">
        <is>
          <t>An internal person with no console login is given a temporary login, answers in My tasks and adds a colleague</t>
        </is>
      </c>
      <c r="C1090" s="11" t="n">
        <v>12</v>
      </c>
      <c r="D1090" s="11" t="inlineStr">
        <is>
          <t>In Browser D click 'Respond', choose 'Did all of it', type the return, tick 'This is my return' and click 'Return the ticket'.</t>
        </is>
      </c>
      <c r="E1090" s="11" t="inlineStr">
        <is>
          <t>The message 'Ticket returned' appears; the card reads 'Returned'. In Browser B the holder's row reads 'Returned'.</t>
        </is>
      </c>
      <c r="F1090" s="16" t="n"/>
      <c r="G1090" s="16" t="n"/>
    </row>
    <row r="1091">
      <c r="A1091" s="10" t="inlineStr">
        <is>
          <t>BRE-15</t>
        </is>
      </c>
      <c r="B1091" s="11" t="inlineStr">
        <is>
          <t>Withdrawing a temporary holder's ticket leaves a read-only login; reopening it lets them answer again</t>
        </is>
      </c>
      <c r="C1091" s="11" t="n">
        <v>1</v>
      </c>
      <c r="D1091" s="11" t="inlineStr">
        <is>
          <t>In Browser B on BR-A's 'Tickets' tab click 'Open' on UAT Holder 01's row.</t>
        </is>
      </c>
      <c r="E1091" s="11" t="inlineStr">
        <is>
          <t>The dialog 'Ticket for &lt;name&gt;' (UAT Holder 01) shows the badges 'Returned' and 'Temporary login', the thread, and 'Send back', 'Close the ticket' and 'Withdraw'.</t>
        </is>
      </c>
      <c r="F1091" s="16" t="n"/>
      <c r="G1091" s="16" t="n"/>
    </row>
    <row r="1092">
      <c r="A1092" s="10" t="inlineStr">
        <is>
          <t>BRE-15</t>
        </is>
      </c>
      <c r="B1092" s="11" t="inlineStr">
        <is>
          <t>Withdrawing a temporary holder's ticket leaves a read-only login; reopening it lets them answer again</t>
        </is>
      </c>
      <c r="C1092" s="11" t="n">
        <v>2</v>
      </c>
      <c r="D1092" s="11" t="inlineStr">
        <is>
          <t>Click 'Withdraw', type the reason in 'Why is it withdrawn? The holder reads this.' and click 'Withdraw'.</t>
        </is>
      </c>
      <c r="E1092" s="11" t="inlineStr">
        <is>
          <t>'Ticket withdrawn' appears. The state is 'Withdrawn', the badge 'Temporary login · read only', the thread ends with 'Withdrawn by the Privacy Office' and the reason, and only 'Reopen' is offered.</t>
        </is>
      </c>
      <c r="F1092" s="16" t="n"/>
      <c r="G1092" s="16" t="n"/>
    </row>
    <row r="1093">
      <c r="A1093" s="10" t="inlineStr">
        <is>
          <t>BRE-15</t>
        </is>
      </c>
      <c r="B1093" s="11" t="inlineStr">
        <is>
          <t>Withdrawing a temporary holder's ticket leaves a read-only login; reopening it lets them answer again</t>
        </is>
      </c>
      <c r="C1093" s="11" t="n">
        <v>3</v>
      </c>
      <c r="D1093" s="11" t="inlineStr">
        <is>
          <t>In Browser D reload 'My tasks'.</t>
        </is>
      </c>
      <c r="E1093" s="11" t="inlineStr">
        <is>
          <t>They are still signed in. The section reads 'Breach tickets · &lt;n&gt; open' (0); the card shows 'Withdrawn' with only an 'Open' button - no 'Respond', no 'Add a colleague'.</t>
        </is>
      </c>
      <c r="F1093" s="16" t="n"/>
      <c r="G1093" s="16" t="n"/>
    </row>
    <row r="1094">
      <c r="A1094" s="10" t="inlineStr">
        <is>
          <t>BRE-15</t>
        </is>
      </c>
      <c r="B1094" s="11" t="inlineStr">
        <is>
          <t>Withdrawing a temporary holder's ticket leaves a read-only login; reopening it lets them answer again</t>
        </is>
      </c>
      <c r="C1094" s="11" t="n">
        <v>4</v>
      </c>
      <c r="D1094" s="11" t="inlineStr">
        <is>
          <t>Click 'Open' on the card.</t>
        </is>
      </c>
      <c r="E1094" s="11" t="inlineStr">
        <is>
          <t>The thread shows the withdrawal and its reason. In place of the message box: 'This ticket is closed. Nothing further is needed from you.'</t>
        </is>
      </c>
      <c r="F1094" s="16" t="n"/>
      <c r="G1094" s="16" t="n"/>
    </row>
    <row r="1095">
      <c r="A1095" s="10" t="inlineStr">
        <is>
          <t>BRE-15</t>
        </is>
      </c>
      <c r="B1095" s="11" t="inlineStr">
        <is>
          <t>Withdrawing a temporary holder's ticket leaves a read-only login; reopening it lets them answer again</t>
        </is>
      </c>
      <c r="C1095" s="11" t="n">
        <v>5</v>
      </c>
      <c r="D1095" s="11" t="inlineStr">
        <is>
          <t>In Browser D sign out and sign in again with tester01.holder@cmp.local, UatHolder01!Pass and a relayed code.</t>
        </is>
      </c>
      <c r="E1095" s="11" t="inlineStr">
        <is>
          <t>Sign-in works: the login stays. 'My tasks' opens with the withdrawn ticket, read only.</t>
        </is>
      </c>
      <c r="F1095" s="16" t="n"/>
      <c r="G1095" s="16" t="n"/>
    </row>
    <row r="1096">
      <c r="A1096" s="10" t="inlineStr">
        <is>
          <t>BRE-15</t>
        </is>
      </c>
      <c r="B1096" s="11" t="inlineStr">
        <is>
          <t>Withdrawing a temporary holder's ticket leaves a read-only login; reopening it lets them answer again</t>
        </is>
      </c>
      <c r="C1096" s="11" t="n">
        <v>6</v>
      </c>
      <c r="D1096" s="11" t="inlineStr">
        <is>
          <t>In Browser B open the ticket again, click 'Reopen', type the reason in 'Why is it reopened? The holder reads this.' and click 'Reopen'.</t>
        </is>
      </c>
      <c r="E1096" s="11" t="inlineStr">
        <is>
          <t>'Ticket reopened' appears. The state is 'Waiting on the holder' and the badge 'Temporary login'.</t>
        </is>
      </c>
      <c r="F1096" s="16" t="n"/>
      <c r="G1096" s="16" t="n"/>
    </row>
    <row r="1097">
      <c r="A1097" s="10" t="inlineStr">
        <is>
          <t>BRE-15</t>
        </is>
      </c>
      <c r="B1097" s="11" t="inlineStr">
        <is>
          <t>Withdrawing a temporary holder's ticket leaves a read-only login; reopening it lets them answer again</t>
        </is>
      </c>
      <c r="C1097" s="11" t="n">
        <v>7</v>
      </c>
      <c r="D1097" s="11" t="inlineStr">
        <is>
          <t>Ask the coordinator for mail to tester01.holder@cmp.local.</t>
        </is>
      </c>
      <c r="E1097" s="11" t="inlineStr">
        <is>
          <t>A new email tells them a ticket is waiting; it names no breach.</t>
        </is>
      </c>
      <c r="F1097" s="16" t="n"/>
      <c r="G1097" s="16" t="n"/>
    </row>
    <row r="1098">
      <c r="A1098" s="10" t="inlineStr">
        <is>
          <t>BRE-15</t>
        </is>
      </c>
      <c r="B1098" s="11" t="inlineStr">
        <is>
          <t>Withdrawing a temporary holder's ticket leaves a read-only login; reopening it lets them answer again</t>
        </is>
      </c>
      <c r="C1098" s="11" t="n">
        <v>8</v>
      </c>
      <c r="D1098" s="11" t="inlineStr">
        <is>
          <t>In Browser D reload 'My tasks', click 'Respond' and return the ticket with the second return.</t>
        </is>
      </c>
      <c r="E1098" s="11" t="inlineStr">
        <is>
          <t>The card was 'Waiting on the holder' with 'Respond' and 'Add a colleague' back, and the reopen reason in the thread. 'Ticket returned' appears.</t>
        </is>
      </c>
      <c r="F1098" s="16" t="n"/>
      <c r="G1098" s="16" t="n"/>
    </row>
    <row r="1099">
      <c r="A1099" s="10" t="inlineStr">
        <is>
          <t>BRE-15</t>
        </is>
      </c>
      <c r="B1099" s="11" t="inlineStr">
        <is>
          <t>Withdrawing a temporary holder's ticket leaves a read-only login; reopening it lets them answer again</t>
        </is>
      </c>
      <c r="C1099" s="11" t="n">
        <v>9</v>
      </c>
      <c r="D1099" s="11" t="inlineStr">
        <is>
          <t>In Browser B open the ticket and click 'Close the ticket'.</t>
        </is>
      </c>
      <c r="E1099" s="11" t="inlineStr">
        <is>
          <t>'Ticket closed' appears; the state is 'Closed'.</t>
        </is>
      </c>
      <c r="F1099" s="16" t="n"/>
      <c r="G1099" s="16" t="n"/>
    </row>
    <row r="1100">
      <c r="A1100" s="10" t="inlineStr">
        <is>
          <t>BRE-15</t>
        </is>
      </c>
      <c r="B1100" s="11" t="inlineStr">
        <is>
          <t>Withdrawing a temporary holder's ticket leaves a read-only login; reopening it lets them answer again</t>
        </is>
      </c>
      <c r="C1100" s="11" t="n">
        <v>10</v>
      </c>
      <c r="D1100" s="11" t="inlineStr">
        <is>
          <t>Open UAT Colleague 01's ticket, click 'Withdraw', type the colleague reason and click 'Withdraw'.</t>
        </is>
      </c>
      <c r="E1100" s="11" t="inlineStr">
        <is>
          <t>'Ticket withdrawn' appears; the colleague's row reads 'Withdrawn' with 'Temporary login · read only'.</t>
        </is>
      </c>
      <c r="F1100" s="16" t="n"/>
      <c r="G1100" s="16" t="n"/>
    </row>
    <row r="1101">
      <c r="A1101" s="10" t="inlineStr">
        <is>
          <t>BRE-15</t>
        </is>
      </c>
      <c r="B1101" s="11" t="inlineStr">
        <is>
          <t>Withdrawing a temporary holder's ticket leaves a read-only login; reopening it lets them answer again</t>
        </is>
      </c>
      <c r="C1101" s="11" t="n">
        <v>11</v>
      </c>
      <c r="D1101" s="11" t="inlineStr">
        <is>
          <t>Look at the 'Tickets' tab and the 'Close' card.</t>
        </is>
      </c>
      <c r="E1101" s="11" t="inlineStr">
        <is>
          <t>No ticket is 'Waiting on the holder' or 'Returned'. The 'Close' card no longer lists an open breach ticket.</t>
        </is>
      </c>
      <c r="F1101" s="16" t="n"/>
      <c r="G1101" s="16" t="n"/>
    </row>
    <row r="1102">
      <c r="A1102" s="10" t="inlineStr">
        <is>
          <t>BRE-16</t>
        </is>
      </c>
      <c r="B1102" s="11" t="inlineStr">
        <is>
          <t>The breach closes when nothing is outstanding, is read only while closed, and reopens with a reason</t>
        </is>
      </c>
      <c r="C1102" s="11" t="n">
        <v>1</v>
      </c>
      <c r="D1102" s="11" t="inlineStr">
        <is>
          <t>In the sidebar under 'Your work' click 'Breaches', then click the reference BR-A in the 'Reference' column.</t>
        </is>
      </c>
      <c r="E1102" s="11" t="inlineStr">
        <is>
          <t>The page for BR-A opens, with an 'Incidents and breaches' back link above the heading.</t>
        </is>
      </c>
      <c r="F1102" s="16" t="n"/>
      <c r="G1102" s="16" t="n"/>
    </row>
    <row r="1103">
      <c r="A1103" s="10" t="inlineStr">
        <is>
          <t>BRE-16</t>
        </is>
      </c>
      <c r="B1103" s="11" t="inlineStr">
        <is>
          <t>The breach closes when nothing is outstanding, is read only while closed, and reopens with a reason</t>
        </is>
      </c>
      <c r="C1103" s="11" t="n">
        <v>2</v>
      </c>
      <c r="D1103" s="11" t="inlineStr">
        <is>
          <t>Read the 'Close' card.</t>
        </is>
      </c>
      <c r="E1103" s="11" t="inlineStr">
        <is>
          <t>There is no 'Not yet' box and 'Close the breach' is available. (If a 'Not yet' box is shown, write down its lines - they name what is still outstanding - and clear them first.)</t>
        </is>
      </c>
      <c r="F1103" s="16" t="n"/>
      <c r="G1103" s="16" t="n"/>
    </row>
    <row r="1104">
      <c r="A1104" s="10" t="inlineStr">
        <is>
          <t>BRE-16</t>
        </is>
      </c>
      <c r="B1104" s="11" t="inlineStr">
        <is>
          <t>The breach closes when nothing is outstanding, is read only while closed, and reopens with a reason</t>
        </is>
      </c>
      <c r="C1104" s="11" t="n">
        <v>3</v>
      </c>
      <c r="D1104" s="11" t="inlineStr">
        <is>
          <t>Click 'Close the breach'.</t>
        </is>
      </c>
      <c r="E1104" s="11" t="inlineStr">
        <is>
          <t>'Breach closed' appears. The badge reads 'Closed'. The card becomes 'Reopen' with 'Why it is being reopened' and a greyed-out 'Reopen the breach'.</t>
        </is>
      </c>
      <c r="F1104" s="16" t="n"/>
      <c r="G1104" s="16" t="n"/>
    </row>
    <row r="1105">
      <c r="A1105" s="10" t="inlineStr">
        <is>
          <t>BRE-16</t>
        </is>
      </c>
      <c r="B1105" s="11" t="inlineStr">
        <is>
          <t>The breach closes when nothing is outstanding, is read only while closed, and reopens with a reason</t>
        </is>
      </c>
      <c r="C1105" s="11" t="n">
        <v>4</v>
      </c>
      <c r="D1105" s="11" t="inlineStr">
        <is>
          <t>Go through the tabs.</t>
        </is>
      </c>
      <c r="E1105" s="11" t="inlineStr">
        <is>
          <t>Nothing can be recorded: 'Duties' has no 'Record...' buttons; 'Validation' has no form; 'Assessment' has no 'Revise the assessment'; 'People &amp; notices' has no 'Revise the list', 'Add people from a list' or 'Start an updated notice'; 'Tickets' has no 'Assign a ticket'; 'Attachments' has no 'Attach a file' and says 'The breach is closed: reopen it to attach more.'</t>
        </is>
      </c>
      <c r="F1105" s="16" t="n"/>
      <c r="G1105" s="16" t="n"/>
    </row>
    <row r="1106">
      <c r="A1106" s="10" t="inlineStr">
        <is>
          <t>BRE-16</t>
        </is>
      </c>
      <c r="B1106" s="11" t="inlineStr">
        <is>
          <t>The breach closes when nothing is outstanding, is read only while closed, and reopens with a reason</t>
        </is>
      </c>
      <c r="C1106" s="11" t="n">
        <v>5</v>
      </c>
      <c r="D1106" s="11" t="inlineStr">
        <is>
          <t>On the 'Tickets' tab read the badges.</t>
        </is>
      </c>
      <c r="E1106" s="11" t="inlineStr">
        <is>
          <t>UAT Holder 01's row now reads 'Temporary login · read only' - closing the breach ended their part. Kavya Rao's row has no badge.</t>
        </is>
      </c>
      <c r="F1106" s="16" t="n"/>
      <c r="G1106" s="16" t="n"/>
    </row>
    <row r="1107">
      <c r="A1107" s="10" t="inlineStr">
        <is>
          <t>BRE-16</t>
        </is>
      </c>
      <c r="B1107" s="11" t="inlineStr">
        <is>
          <t>The breach closes when nothing is outstanding, is read only while closed, and reopens with a reason</t>
        </is>
      </c>
      <c r="C1107" s="11" t="n">
        <v>6</v>
      </c>
      <c r="D1107" s="11" t="inlineStr">
        <is>
          <t>In Browser D reload 'My tasks' and open the ticket. In Browser C (Kavya) do the same.</t>
        </is>
      </c>
      <c r="E1107" s="11" t="inlineStr">
        <is>
          <t>Both still see the ticket, 'Closed', with only 'Open' and 'This ticket is closed. Nothing further is needed from you.' The holder is still signed in; Kavya's own menu is unchanged.</t>
        </is>
      </c>
      <c r="F1107" s="16" t="n"/>
      <c r="G1107" s="16" t="n"/>
    </row>
    <row r="1108">
      <c r="A1108" s="10" t="inlineStr">
        <is>
          <t>BRE-16</t>
        </is>
      </c>
      <c r="B1108" s="11" t="inlineStr">
        <is>
          <t>The breach closes when nothing is outstanding, is read only while closed, and reopens with a reason</t>
        </is>
      </c>
      <c r="C1108" s="11" t="n">
        <v>7</v>
      </c>
      <c r="D1108" s="11" t="inlineStr">
        <is>
          <t>In Browser B click 'Breaches' and set 'Show' to 'Closed'; then open 'Dashboard'.</t>
        </is>
      </c>
      <c r="E1108" s="11" t="inlineStr">
        <is>
          <t>BR-A is listed as 'Closed'. The dashboard's 'Open breaches' card no longer lists BR-A.</t>
        </is>
      </c>
      <c r="F1108" s="16" t="n"/>
      <c r="G1108" s="16" t="n"/>
    </row>
    <row r="1109">
      <c r="A1109" s="10" t="inlineStr">
        <is>
          <t>BRE-16</t>
        </is>
      </c>
      <c r="B1109" s="11" t="inlineStr">
        <is>
          <t>The breach closes when nothing is outstanding, is read only while closed, and reopens with a reason</t>
        </is>
      </c>
      <c r="C1109" s="11" t="n">
        <v>8</v>
      </c>
      <c r="D1109" s="11" t="inlineStr">
        <is>
          <t>Open BR-A. In 'Why it is being reopened' type the reason and click 'Reopen the breach'.</t>
        </is>
      </c>
      <c r="E1109" s="11" t="inlineStr">
        <is>
          <t>'Reopen the breach' was greyed out until the reason was typed. 'Breach reopened' appears; the badge reads 'Open' and the 'Close' card is back.</t>
        </is>
      </c>
      <c r="F1109" s="16" t="n"/>
      <c r="G1109" s="16" t="n"/>
    </row>
    <row r="1110">
      <c r="A1110" s="10" t="inlineStr">
        <is>
          <t>BRE-16</t>
        </is>
      </c>
      <c r="B1110" s="11" t="inlineStr">
        <is>
          <t>The breach closes when nothing is outstanding, is read only while closed, and reopens with a reason</t>
        </is>
      </c>
      <c r="C1110" s="11" t="n">
        <v>9</v>
      </c>
      <c r="D1110" s="11" t="inlineStr">
        <is>
          <t>Look at the 'Tickets' tab.</t>
        </is>
      </c>
      <c r="E1110" s="11" t="inlineStr">
        <is>
          <t>The tickets keep their states ('Closed', 'Withdrawn') - reopening the breach reopens nobody's ticket - and UAT Holder 01 is still 'Temporary login · read only'.</t>
        </is>
      </c>
      <c r="F1110" s="16" t="n"/>
      <c r="G1110" s="16" t="n"/>
    </row>
    <row r="1111">
      <c r="A1111" s="10" t="inlineStr">
        <is>
          <t>BRE-16</t>
        </is>
      </c>
      <c r="B1111" s="11" t="inlineStr">
        <is>
          <t>The breach closes when nothing is outstanding, is read only while closed, and reopens with a reason</t>
        </is>
      </c>
      <c r="C1111" s="11" t="n">
        <v>10</v>
      </c>
      <c r="D1111" s="11" t="inlineStr">
        <is>
          <t>Click the 'Activity' tab.</t>
        </is>
      </c>
      <c r="E1111" s="11" t="inlineStr">
        <is>
          <t>'History', newest first: 'Closed' → 'Open' with the reopen reason in quotation marks, 'Open' → 'Closed', and 'Logged as' 'Open', each with Priya Menon and the time.</t>
        </is>
      </c>
      <c r="F1111" s="16" t="n"/>
      <c r="G1111" s="16" t="n"/>
    </row>
    <row r="1112">
      <c r="A1112" s="10" t="inlineStr">
        <is>
          <t>BRE-16</t>
        </is>
      </c>
      <c r="B1112" s="11" t="inlineStr">
        <is>
          <t>The breach closes when nothing is outstanding, is read only while closed, and reopens with a reason</t>
        </is>
      </c>
      <c r="C1112" s="11" t="n">
        <v>11</v>
      </c>
      <c r="D1112" s="11" t="inlineStr">
        <is>
          <t>Click 'Close the breach' again.</t>
        </is>
      </c>
      <c r="E1112" s="11" t="inlineStr">
        <is>
          <t>'Breach closed' appears; BR-A is closed again.</t>
        </is>
      </c>
      <c r="F1112" s="16" t="n"/>
      <c r="G1112" s="16" t="n"/>
    </row>
    <row r="1113">
      <c r="A1113" s="10" t="inlineStr">
        <is>
          <t>BRE-17</t>
        </is>
      </c>
      <c r="B1113" s="11" t="inlineStr">
        <is>
          <t>The administrator ends a temporary login with 'End temporary access'</t>
        </is>
      </c>
      <c r="C1113" s="11" t="n">
        <v>1</v>
      </c>
      <c r="D1113" s="11" t="inlineStr">
        <is>
          <t>In Browser C open http://localhost:3000. Type admin@cmp.local in 'Email or username' and SeedPassw0rd!2026 in 'Password' and click 'Sign in'. If the 'Verify it is you' page appears, ask the coordinator for the code, type it in '6-digit code' and click 'Verify and continue'.</t>
        </is>
      </c>
      <c r="E1113" s="11" t="inlineStr">
        <is>
          <t>The Dashboard opens, signed in as System Admin (Administrator).</t>
        </is>
      </c>
      <c r="F1113" s="16" t="n"/>
      <c r="G1113" s="16" t="n"/>
    </row>
    <row r="1114">
      <c r="A1114" s="10" t="inlineStr">
        <is>
          <t>BRE-17</t>
        </is>
      </c>
      <c r="B1114" s="11" t="inlineStr">
        <is>
          <t>The administrator ends a temporary login with 'End temporary access'</t>
        </is>
      </c>
      <c r="C1114" s="11" t="n">
        <v>2</v>
      </c>
      <c r="D1114" s="11" t="inlineStr">
        <is>
          <t>Click 'Users'. Type tester01.holder@cmp.local in the search box and press Enter.</t>
        </is>
      </c>
      <c r="E1114" s="11" t="inlineStr">
        <is>
          <t>One row: UAT Holder 01 with the role badge 'Temporary ticket holder' and the status 'Active'. Among its buttons is 'End temporary access'; hovering it shows 'Ends their console login, including reading their tickets. An account made for a ticket is switched off; one that was a data principal's goes back to being one.'</t>
        </is>
      </c>
      <c r="F1114" s="16" t="n"/>
      <c r="G1114" s="16" t="n"/>
    </row>
    <row r="1115">
      <c r="A1115" s="10" t="inlineStr">
        <is>
          <t>BRE-17</t>
        </is>
      </c>
      <c r="B1115" s="11" t="inlineStr">
        <is>
          <t>The administrator ends a temporary login with 'End temporary access'</t>
        </is>
      </c>
      <c r="C1115" s="11" t="n">
        <v>3</v>
      </c>
      <c r="D1115" s="11" t="inlineStr">
        <is>
          <t>Click 'End temporary access'.</t>
        </is>
      </c>
      <c r="E1115" s="11" t="inlineStr">
        <is>
          <t>The message 'Temporary access ended' appears with the server's words saying the account was deactivated and how many sessions were terminated. The status reads 'Deactivated' and a 'Reactivate' button replaces 'End temporary access'.</t>
        </is>
      </c>
      <c r="F1115" s="16" t="n"/>
      <c r="G1115" s="16" t="n"/>
    </row>
    <row r="1116">
      <c r="A1116" s="10" t="inlineStr">
        <is>
          <t>BRE-17</t>
        </is>
      </c>
      <c r="B1116" s="11" t="inlineStr">
        <is>
          <t>The administrator ends a temporary login with 'End temporary access'</t>
        </is>
      </c>
      <c r="C1116" s="11" t="n">
        <v>4</v>
      </c>
      <c r="D1116" s="11" t="inlineStr">
        <is>
          <t>In Browser D reload the page.</t>
        </is>
      </c>
      <c r="E1116" s="11" t="inlineStr">
        <is>
          <t>The holder is signed out and sees the sign-in page.</t>
        </is>
      </c>
      <c r="F1116" s="16" t="n"/>
      <c r="G1116" s="16" t="n"/>
    </row>
    <row r="1117">
      <c r="A1117" s="10" t="inlineStr">
        <is>
          <t>BRE-17</t>
        </is>
      </c>
      <c r="B1117" s="11" t="inlineStr">
        <is>
          <t>The administrator ends a temporary login with 'End temporary access'</t>
        </is>
      </c>
      <c r="C1117" s="11" t="n">
        <v>5</v>
      </c>
      <c r="D1117" s="11" t="inlineStr">
        <is>
          <t>Sign in again with tester01.holder@cmp.local and UatHolder01!Pass.</t>
        </is>
      </c>
      <c r="E1117" s="11" t="inlineStr">
        <is>
          <t>Sign-in is refused; no code is sent and 'My tasks' does not open.</t>
        </is>
      </c>
      <c r="F1117" s="16" t="n"/>
      <c r="G1117" s="16" t="n"/>
    </row>
    <row r="1118">
      <c r="A1118" s="10" t="inlineStr">
        <is>
          <t>BRE-17</t>
        </is>
      </c>
      <c r="B1118" s="11" t="inlineStr">
        <is>
          <t>The administrator ends a temporary login with 'End temporary access'</t>
        </is>
      </c>
      <c r="C1118" s="11" t="n">
        <v>6</v>
      </c>
      <c r="D1118" s="11" t="inlineStr">
        <is>
          <t>In Browser C search for tester01.colleague@cmp.local and click 'End temporary access' on its row.</t>
        </is>
      </c>
      <c r="E1118" s="11" t="inlineStr">
        <is>
          <t>Before: the role 'Temporary ticket holder' and the status 'Pending'. After: 'Temporary access ended' and the status 'Deactivated'.</t>
        </is>
      </c>
      <c r="F1118" s="16" t="n"/>
      <c r="G1118" s="16" t="n"/>
    </row>
    <row r="1119">
      <c r="A1119" s="10" t="inlineStr">
        <is>
          <t>BRE-17</t>
        </is>
      </c>
      <c r="B1119" s="11" t="inlineStr">
        <is>
          <t>The administrator ends a temporary login with 'End temporary access'</t>
        </is>
      </c>
      <c r="C1119" s="11" t="n">
        <v>7</v>
      </c>
      <c r="D1119" s="11" t="inlineStr">
        <is>
          <t>Sign in as the DPO in Browser B (if signed out) and open BR-A's 'Tickets' tab.</t>
        </is>
      </c>
      <c r="E1119" s="11" t="inlineStr">
        <is>
          <t>Both rows are still listed with their threads and 'Temporary login · read only'; the evidence stays.</t>
        </is>
      </c>
      <c r="F1119" s="16" t="n"/>
      <c r="G1119" s="16" t="n"/>
    </row>
    <row r="1120">
      <c r="A1120" s="10" t="inlineStr">
        <is>
          <t>BRE-18</t>
        </is>
      </c>
      <c r="B1120" s="11" t="inlineStr">
        <is>
          <t>No other role can see the register; the administrator's trail shows references only; the DPO's trail records every step</t>
        </is>
      </c>
      <c r="C1120" s="11" t="n">
        <v>1</v>
      </c>
      <c r="D1120" s="11" t="inlineStr">
        <is>
          <t>In Browser C open http://localhost:3000. Type rnd@cmp.local in 'Email or username' and SeedPassw0rd!2026 in 'Password' and click 'Sign in'. If the 'Verify it is you' page appears, ask the coordinator for the code, type it in '6-digit code' and click 'Verify and continue'.</t>
        </is>
      </c>
      <c r="E1120" s="11" t="inlineStr">
        <is>
          <t>The Dashboard opens, signed in as Kavya Rao (R&amp;D User). The sidebar has no 'Breaches'; the dashboard has no 'Open breaches' card and no 'Log an incident' button.</t>
        </is>
      </c>
      <c r="F1120" s="16" t="n"/>
      <c r="G1120" s="16" t="n"/>
    </row>
    <row r="1121">
      <c r="A1121" s="10" t="inlineStr">
        <is>
          <t>BRE-18</t>
        </is>
      </c>
      <c r="B1121" s="11" t="inlineStr">
        <is>
          <t>No other role can see the register; the administrator's trail shows references only; the DPO's trail records every step</t>
        </is>
      </c>
      <c r="C1121" s="11" t="n">
        <v>2</v>
      </c>
      <c r="D1121" s="11" t="inlineStr">
        <is>
          <t>In the address bar type http://localhost:3000/breaches, then paste BR-A's page address.</t>
        </is>
      </c>
      <c r="E1121" s="11" t="inlineStr">
        <is>
          <t>Both show only the box 'Not part of your account' with 'This section belongs to a different role, so there is nothing here for you.' and 'Back to your dashboard'. No reference, title or duty of any incident is shown.</t>
        </is>
      </c>
      <c r="F1121" s="16" t="n"/>
      <c r="G1121" s="16" t="n"/>
    </row>
    <row r="1122">
      <c r="A1122" s="10" t="inlineStr">
        <is>
          <t>BRE-18</t>
        </is>
      </c>
      <c r="B1122" s="11" t="inlineStr">
        <is>
          <t>No other role can see the register; the administrator's trail shows references only; the DPO's trail records every step</t>
        </is>
      </c>
      <c r="C1122" s="11" t="n">
        <v>3</v>
      </c>
      <c r="D1122" s="11" t="inlineStr">
        <is>
          <t>Sign out. Repeat the two checks signed in as dco@cmp.local (Arun Shetty), then as rco@cmp.local (Meera Iyer).</t>
        </is>
      </c>
      <c r="E1122" s="11" t="inlineStr">
        <is>
          <t>For each: no 'Breaches' in the sidebar, and both addresses show 'Not part of your account'.</t>
        </is>
      </c>
      <c r="F1122" s="16" t="n"/>
      <c r="G1122" s="16" t="n"/>
    </row>
    <row r="1123">
      <c r="A1123" s="10" t="inlineStr">
        <is>
          <t>BRE-18</t>
        </is>
      </c>
      <c r="B1123" s="11" t="inlineStr">
        <is>
          <t>No other role can see the register; the administrator's trail shows references only; the DPO's trail records every step</t>
        </is>
      </c>
      <c r="C1123" s="11" t="n">
        <v>4</v>
      </c>
      <c r="D1123" s="11" t="inlineStr">
        <is>
          <t>Sign out and sign in as admin@cmp.local. Look at the sidebar, then type http://localhost:3000/breaches.</t>
        </is>
      </c>
      <c r="E1123" s="11" t="inlineStr">
        <is>
          <t>There is no 'Breaches' item; the address shows 'Not part of your account'.</t>
        </is>
      </c>
      <c r="F1123" s="16" t="n"/>
      <c r="G1123" s="16" t="n"/>
    </row>
    <row r="1124">
      <c r="A1124" s="10" t="inlineStr">
        <is>
          <t>BRE-18</t>
        </is>
      </c>
      <c r="B1124" s="11" t="inlineStr">
        <is>
          <t>No other role can see the register; the administrator's trail shows references only; the DPO's trail records every step</t>
        </is>
      </c>
      <c r="C1124" s="11" t="n">
        <v>5</v>
      </c>
      <c r="D1124" s="11" t="inlineStr">
        <is>
          <t>Click 'Audit trail'. In 'Area' choose 'Incidents and breaches'.</t>
        </is>
      </c>
      <c r="E1124" s="11" t="inlineStr">
        <is>
          <t>Rows for the breach events appear (logged, validated, recorded as a breach, assessed, duties completed, people listed, notice drafted, approved and sent, closed, reopened). The 'Record' column names each by reference only - 'Incident' with an INC- reference, or 'Breach' with BR-A and its INC- reference in brackets. No incident title (such as UAT Incident 01) or reasoning appears.</t>
        </is>
      </c>
      <c r="F1124" s="16" t="n"/>
      <c r="G1124" s="16" t="n"/>
    </row>
    <row r="1125">
      <c r="A1125" s="10" t="inlineStr">
        <is>
          <t>BRE-18</t>
        </is>
      </c>
      <c r="B1125" s="11" t="inlineStr">
        <is>
          <t>No other role can see the register; the administrator's trail shows references only; the DPO's trail records every step</t>
        </is>
      </c>
      <c r="C1125" s="11" t="n">
        <v>6</v>
      </c>
      <c r="D1125" s="11" t="inlineStr">
        <is>
          <t>Open one entry, then choose 'Breach tickets' in 'Area'.</t>
        </is>
      </c>
      <c r="E1125" s="11" t="inlineStr">
        <is>
          <t>The entry's dialog carries the reference and what kind of thing happened, never the office's words. The ticket rows name each record as 'Breach ticket on' with BR-A.</t>
        </is>
      </c>
      <c r="F1125" s="16" t="n"/>
      <c r="G1125" s="16" t="n"/>
    </row>
    <row r="1126">
      <c r="A1126" s="10" t="inlineStr">
        <is>
          <t>BRE-18</t>
        </is>
      </c>
      <c r="B1126" s="11" t="inlineStr">
        <is>
          <t>No other role can see the register; the administrator's trail shows references only; the DPO's trail records every step</t>
        </is>
      </c>
      <c r="C1126" s="11" t="n">
        <v>7</v>
      </c>
      <c r="D1126" s="11" t="inlineStr">
        <is>
          <t>Sign out and sign in as dpo@cmp.local. Open BR-A and click 'Audit trail' in its header.</t>
        </is>
      </c>
      <c r="E1126" s="11" t="inlineStr">
        <is>
          <t>The trail opens filtered to BR-A. It lists, among others, the incident being logged, each validation, its recording as a breach, each assessment, the CERT-In marking or duty events, each duty completed or extended, each list revision and upload, the notice drafted, edited, approved and sent, each attachment added and each download, and each close and reopening - each with Priya Menon and the time.</t>
        </is>
      </c>
      <c r="F1126" s="16" t="n"/>
      <c r="G1126" s="16" t="n"/>
    </row>
    <row r="1127">
      <c r="A1127" s="10" t="inlineStr">
        <is>
          <t>BRE-18</t>
        </is>
      </c>
      <c r="B1127" s="11" t="inlineStr">
        <is>
          <t>No other role can see the register; the administrator's trail shows references only; the DPO's trail records every step</t>
        </is>
      </c>
      <c r="C1127" s="11" t="n">
        <v>8</v>
      </c>
      <c r="D1127" s="11" t="inlineStr">
        <is>
          <t>In 'Area' choose 'Breach tickets' (clear the BR-A chip if it hides them).</t>
        </is>
      </c>
      <c r="E1127" s="11" t="inlineStr">
        <is>
          <t>Rows for the tickets assigned, messages, returns, the send-back, closes, withdrawals, the reopening, the colleague added and the file downloaded are listed.</t>
        </is>
      </c>
      <c r="F1127" s="16" t="n"/>
      <c r="G1127" s="16" t="n"/>
    </row>
    <row r="1128">
      <c r="A1128" s="10" t="inlineStr">
        <is>
          <t>OVS-01</t>
        </is>
      </c>
      <c r="B1128" s="11" t="inlineStr">
        <is>
          <t>DPO dashboard lists only work the DPO can act on</t>
        </is>
      </c>
      <c r="C1128" s="11" t="n">
        <v>1</v>
      </c>
      <c r="D1128" s="11" t="inlineStr">
        <is>
          <t>Open http://localhost:3000. Type dpo@cmp.local in 'Email or username' and SeedPassw0rd!2026 in 'Password', click 'Sign in'. On the 'Verify it is you' page type the six-digit code the test coordinator relays into '6-digit code' and click 'Verify and continue'.</t>
        </is>
      </c>
      <c r="E1128" s="11" t="inlineStr">
        <is>
          <t>You land on the Dashboard with the heading 'Good day, Priya'. The top right of the header shows the person's name with the role badge 'DPO'.</t>
        </is>
      </c>
      <c r="F1128" s="16" t="n"/>
      <c r="G1128" s="16" t="n"/>
    </row>
    <row r="1129">
      <c r="A1129" s="10" t="inlineStr">
        <is>
          <t>OVS-01</t>
        </is>
      </c>
      <c r="B1129" s="11" t="inlineStr">
        <is>
          <t>DPO dashboard lists only work the DPO can act on</t>
        </is>
      </c>
      <c r="C1129" s="11" t="n">
        <v>2</v>
      </c>
      <c r="D1129" s="11" t="inlineStr">
        <is>
          <t>Read the line under the heading, and look at the buttons beside the heading.</t>
        </is>
      </c>
      <c r="E1129" s="11" t="inlineStr">
        <is>
          <t>It reads 'Notices awaiting publication, projects awaiting your review, and the consent position across the platform.' Beside the heading are two buttons: 'Log an incident' (the main one, first) and 'New notice template'.</t>
        </is>
      </c>
      <c r="F1129" s="16" t="n"/>
      <c r="G1129" s="16" t="n"/>
    </row>
    <row r="1130">
      <c r="A1130" s="10" t="inlineStr">
        <is>
          <t>OVS-01</t>
        </is>
      </c>
      <c r="B1130" s="11" t="inlineStr">
        <is>
          <t>DPO dashboard lists only work the DPO can act on</t>
        </is>
      </c>
      <c r="C1130" s="11" t="n">
        <v>3</v>
      </c>
      <c r="D1130" s="11" t="inlineStr">
        <is>
          <t>Click 'Log an incident', look at the dialog and press Esc without typing anything. Then click 'New notice template' and press Esc.</t>
        </is>
      </c>
      <c r="E1130" s="11" t="inlineStr">
        <is>
          <t>The first dialog is titled 'Log an incident' ('As it was noticed. Every time is entered, not filled in: the clocks run from what you type.'); the second is titled 'New notice template' ('A notice written before any project exists. A project uses it by its ID, which makes that project's own draft notice from it.'). Each closes on Esc and nothing is saved.</t>
        </is>
      </c>
      <c r="F1130" s="16" t="n"/>
      <c r="G1130" s="16" t="n"/>
    </row>
    <row r="1131">
      <c r="A1131" s="10" t="inlineStr">
        <is>
          <t>OVS-01</t>
        </is>
      </c>
      <c r="B1131" s="11" t="inlineStr">
        <is>
          <t>DPO dashboard lists only work the DPO can act on</t>
        </is>
      </c>
      <c r="C1131" s="11" t="n">
        <v>4</v>
      </c>
      <c r="D1131" s="11" t="inlineStr">
        <is>
          <t>Look at the first card, 'Needs attention'.</t>
        </is>
      </c>
      <c r="E1131" s="11" t="inlineStr">
        <is>
          <t>Each row shows a number, a label and an arrow; the card's heading carries no overall count. Every label is one of: 'Breach duties overdue', 'Breach duties outstanding', 'Breach tickets returned', 'Breach tickets past their answer-by', 'Tickets past their date', 'Rights requests overdue', 'Rights requests due within 7 days', 'Requests awaiting verification', 'Teams have written on their tickets', 'Grievances about the DPO to escalate', 'Retention floors passed, erasure due', 'Tickets addressed to you', 'Notice text awaiting approval', 'Projects pending approval', 'New collectors awaiting your decision'. If nothing is waiting the card says 'Nothing needs your attention. The queues below are clear or waiting on somebody else.'</t>
        </is>
      </c>
      <c r="F1131" s="16" t="n"/>
      <c r="G1131" s="16" t="n"/>
    </row>
    <row r="1132">
      <c r="A1132" s="10" t="inlineStr">
        <is>
          <t>OVS-01</t>
        </is>
      </c>
      <c r="B1132" s="11" t="inlineStr">
        <is>
          <t>DPO dashboard lists only work the DPO can act on</t>
        </is>
      </c>
      <c r="C1132" s="11" t="n">
        <v>5</v>
      </c>
      <c r="D1132" s="11" t="inlineStr">
        <is>
          <t>Check the card for rows that belong to other roles.</t>
        </is>
      </c>
      <c r="E1132" s="11" t="inlineStr">
        <is>
          <t>There is no row about lockouts, sign-ins, access denials, 'Staff invitations not yet accepted', 'Sites awaiting a data source', 'Sources without an owner' or 'Imports that did not reconcile'.</t>
        </is>
      </c>
      <c r="F1132" s="16" t="n"/>
      <c r="G1132" s="16" t="n"/>
    </row>
    <row r="1133">
      <c r="A1133" s="10" t="inlineStr">
        <is>
          <t>OVS-01</t>
        </is>
      </c>
      <c r="B1133" s="11" t="inlineStr">
        <is>
          <t>DPO dashboard lists only work the DPO can act on</t>
        </is>
      </c>
      <c r="C1133" s="11" t="n">
        <v>6</v>
      </c>
      <c r="D1133" s="11" t="inlineStr">
        <is>
          <t>Click one of the rows in 'Needs attention' (for example 'Projects pending approval' or 'Rights requests due within 7 days').</t>
        </is>
      </c>
      <c r="E1133" s="11" t="inlineStr">
        <is>
          <t>The list behind that number opens already filtered (e.g. the Projects page showing only projects pending approval, or the Rights requests page). The number of rows matches the count on the dashboard. Use the browser Back button to return.</t>
        </is>
      </c>
      <c r="F1133" s="16" t="n"/>
      <c r="G1133" s="16" t="n"/>
    </row>
    <row r="1134">
      <c r="A1134" s="10" t="inlineStr">
        <is>
          <t>OVS-01</t>
        </is>
      </c>
      <c r="B1134" s="11" t="inlineStr">
        <is>
          <t>DPO dashboard lists only work the DPO can act on</t>
        </is>
      </c>
      <c r="C1134" s="11" t="n">
        <v>7</v>
      </c>
      <c r="D1134" s="11" t="inlineStr">
        <is>
          <t>Scroll down past 'Needs attention' to the queue cards.</t>
        </is>
      </c>
      <c r="E1134" s="11" t="inlineStr">
        <is>
          <t>If any breach is open, an 'Open breaches' card comes first: each open breach by its reference and title, with each duty's state and clock (or 'No duty yet: validate it.'); clicking a reference opens that breach. With no breach open the card is not shown. Queues with work then appear as cards, in this order: 'Tickets past their date', 'Rights requests, soonest due first', 'Teams have written on their tickets', 'Retention floors passed - erasure due', 'Pending Approval', 'New collectors awaiting your decision', 'Drafts whose purposes are not activated', and last 'Tickets addressed to you' when a ticket is addressed to Priya. Each card shows a count badge; a queue at its 25-row limit shows '25+' and a 'See all' link. Empty queues are listed together in one grey line that starts 'Clear:'. People's names in queue rows are readable.</t>
        </is>
      </c>
      <c r="F1134" s="16" t="n"/>
      <c r="G1134" s="16" t="n"/>
    </row>
    <row r="1135">
      <c r="A1135" s="10" t="inlineStr">
        <is>
          <t>OVS-01</t>
        </is>
      </c>
      <c r="B1135" s="11" t="inlineStr">
        <is>
          <t>DPO dashboard lists only work the DPO can act on</t>
        </is>
      </c>
      <c r="C1135" s="11" t="n">
        <v>8</v>
      </c>
      <c r="D1135" s="11" t="inlineStr">
        <is>
          <t>Scroll further to the cards 'Projects by stage' and 'Consent position'.</t>
        </is>
      </c>
      <c r="E1135" s="11" t="inlineStr">
        <is>
          <t>'Projects by stage' shows bars labelled 'In draft', 'Pending approval' and 'Approved' with numbers; 'Consent position' shows one bar split into 'Agreed to all purposes', 'Agreed to some', 'Declined' and 'Withdrawn' with the caption 'Every record counted once, at its current state.'</t>
        </is>
      </c>
      <c r="F1135" s="16" t="n"/>
      <c r="G1135" s="16" t="n"/>
    </row>
    <row r="1136">
      <c r="A1136" s="10" t="inlineStr">
        <is>
          <t>OVS-01</t>
        </is>
      </c>
      <c r="B1136" s="11" t="inlineStr">
        <is>
          <t>DPO dashboard lists only work the DPO can act on</t>
        </is>
      </c>
      <c r="C1136" s="11" t="n">
        <v>9</v>
      </c>
      <c r="D1136" s="11" t="inlineStr">
        <is>
          <t>Look at the 'Recent activity' card at the bottom.</t>
        </is>
      </c>
      <c r="E1136" s="11" t="inlineStr">
        <is>
          <t>Up to 8 entries, newest first, each with an event name, a time, who did it (name and role badge) and the record it concerns. No sign-in events (titles starting 'Auth ...') are listed. A 'Full audit trail' link is at the card's top right.</t>
        </is>
      </c>
      <c r="F1136" s="16" t="n"/>
      <c r="G1136" s="16" t="n"/>
    </row>
    <row r="1137">
      <c r="A1137" s="10" t="inlineStr">
        <is>
          <t>OVS-01</t>
        </is>
      </c>
      <c r="B1137" s="11" t="inlineStr">
        <is>
          <t>DPO dashboard lists only work the DPO can act on</t>
        </is>
      </c>
      <c r="C1137" s="11" t="n">
        <v>10</v>
      </c>
      <c r="D1137" s="11" t="inlineStr">
        <is>
          <t>Click 'Full audit trail'.</t>
        </is>
      </c>
      <c r="E1137" s="11" t="inlineStr">
        <is>
          <t>The 'Audit trail' page opens.</t>
        </is>
      </c>
      <c r="F1137" s="16" t="n"/>
      <c r="G1137" s="16" t="n"/>
    </row>
    <row r="1138">
      <c r="A1138" s="10" t="inlineStr">
        <is>
          <t>OVS-02</t>
        </is>
      </c>
      <c r="B1138" s="11" t="inlineStr">
        <is>
          <t>Administrator dashboard - lockouts are information, not tasks</t>
        </is>
      </c>
      <c r="C1138" s="11" t="n">
        <v>1</v>
      </c>
      <c r="D1138" s="11" t="inlineStr">
        <is>
          <t>Open http://localhost:3000. Type admin@cmp.local in 'Email or username' and SeedPassw0rd!2026 in 'Password', click 'Sign in'. On the 'Verify it is you' page type the six-digit code the test coordinator relays into '6-digit code' and click 'Verify and continue'.</t>
        </is>
      </c>
      <c r="E1138" s="11" t="inlineStr">
        <is>
          <t>You land on the Dashboard with the heading 'Good day, System'. The top right of the header shows the person's name with the role badge 'Administrator'.</t>
        </is>
      </c>
      <c r="F1138" s="16" t="n"/>
      <c r="G1138" s="16" t="n"/>
    </row>
    <row r="1139">
      <c r="A1139" s="10" t="inlineStr">
        <is>
          <t>OVS-02</t>
        </is>
      </c>
      <c r="B1139" s="11" t="inlineStr">
        <is>
          <t>Administrator dashboard - lockouts are information, not tasks</t>
        </is>
      </c>
      <c r="C1139" s="11" t="n">
        <v>2</v>
      </c>
      <c r="D1139" s="11" t="inlineStr">
        <is>
          <t>Read the line under the heading, and look beside the heading.</t>
        </is>
      </c>
      <c r="E1139" s="11" t="inlineStr">
        <is>
          <t>It reads 'Invitations waiting, access problems, grievances about the DPO, and the processor and source registry.' Beside the heading is one button, 'Provision an account', which opens the dialog 'Provision an account' (the same form as on 'Users'); press Esc to close it. There is no 'Log an incident' button and no 'Open breaches' card: breaches are the DPO's.</t>
        </is>
      </c>
      <c r="F1139" s="16" t="n"/>
      <c r="G1139" s="16" t="n"/>
    </row>
    <row r="1140">
      <c r="A1140" s="10" t="inlineStr">
        <is>
          <t>OVS-02</t>
        </is>
      </c>
      <c r="B1140" s="11" t="inlineStr">
        <is>
          <t>Administrator dashboard - lockouts are information, not tasks</t>
        </is>
      </c>
      <c r="C1140" s="11" t="n">
        <v>3</v>
      </c>
      <c r="D1140" s="11" t="inlineStr">
        <is>
          <t>Look at 'Needs attention'.</t>
        </is>
      </c>
      <c r="E1140" s="11" t="inlineStr">
        <is>
          <t>Only these labels can appear (each only when its count is above zero): 'Staff invitations not yet accepted', 'Grievances about the DPO to review', 'Tickets addressed to you'. Otherwise the card says 'Nothing needs your attention. The queues below are clear or waiting on somebody else.'</t>
        </is>
      </c>
      <c r="F1140" s="16" t="n"/>
      <c r="G1140" s="16" t="n"/>
    </row>
    <row r="1141">
      <c r="A1141" s="10" t="inlineStr">
        <is>
          <t>OVS-02</t>
        </is>
      </c>
      <c r="B1141" s="11" t="inlineStr">
        <is>
          <t>Administrator dashboard - lockouts are information, not tasks</t>
        </is>
      </c>
      <c r="C1141" s="11" t="n">
        <v>4</v>
      </c>
      <c r="D1141" s="11" t="inlineStr">
        <is>
          <t>Check 'Needs attention' for rows the administrator cannot act on.</t>
        </is>
      </c>
      <c r="E1141" s="11" t="inlineStr">
        <is>
          <t>There is no row about lockouts, access denials, consent withdrawals, projects, notices, or rights requests overdue.</t>
        </is>
      </c>
      <c r="F1141" s="16" t="n"/>
      <c r="G1141" s="16" t="n"/>
    </row>
    <row r="1142">
      <c r="A1142" s="10" t="inlineStr">
        <is>
          <t>OVS-02</t>
        </is>
      </c>
      <c r="B1142" s="11" t="inlineStr">
        <is>
          <t>Administrator dashboard - lockouts are information, not tasks</t>
        </is>
      </c>
      <c r="C1142" s="11" t="n">
        <v>5</v>
      </c>
      <c r="D1142" s="11" t="inlineStr">
        <is>
          <t>If 'Staff invitations not yet accepted' is shown, click it.</t>
        </is>
      </c>
      <c r="E1142" s="11" t="inlineStr">
        <is>
          <t>The 'Users' page opens filtered to pending accounts; it lists staff whose invitation is not yet accepted and no data principals. Use Back to return. (If the row is absent, note 'no pending invitations' and continue.)</t>
        </is>
      </c>
      <c r="F1142" s="16" t="n"/>
      <c r="G1142" s="16" t="n"/>
    </row>
    <row r="1143">
      <c r="A1143" s="10" t="inlineStr">
        <is>
          <t>OVS-02</t>
        </is>
      </c>
      <c r="B1143" s="11" t="inlineStr">
        <is>
          <t>Administrator dashboard - lockouts are information, not tasks</t>
        </is>
      </c>
      <c r="C1143" s="11" t="n">
        <v>6</v>
      </c>
      <c r="D1143" s="11" t="inlineStr">
        <is>
          <t>Scroll to the queue cards and the 'Clear:' line.</t>
        </is>
      </c>
      <c r="E1143" s="11" t="inlineStr">
        <is>
          <t>The queues are 'Grievances about the DPO - yours to review', 'Lockouts (24h)' and 'Suspended sources and processors' (as cards, or named in the 'Clear:' line when empty). A lockout from the last 24 hours appears as a row in 'Lockouts (24h)' with the person's readable name - here, and not in 'Needs attention'.</t>
        </is>
      </c>
      <c r="F1143" s="16" t="n"/>
      <c r="G1143" s="16" t="n"/>
    </row>
    <row r="1144">
      <c r="A1144" s="10" t="inlineStr">
        <is>
          <t>OVS-02</t>
        </is>
      </c>
      <c r="B1144" s="11" t="inlineStr">
        <is>
          <t>Administrator dashboard - lockouts are information, not tasks</t>
        </is>
      </c>
      <c r="C1144" s="11" t="n">
        <v>7</v>
      </c>
      <c r="D1144" s="11" t="inlineStr">
        <is>
          <t>Look for the cards 'Projects by stage' and 'Consent position'.</t>
        </is>
      </c>
      <c r="E1144" s="11" t="inlineStr">
        <is>
          <t>Neither card is shown to the administrator.</t>
        </is>
      </c>
      <c r="F1144" s="16" t="n"/>
      <c r="G1144" s="16" t="n"/>
    </row>
    <row r="1145">
      <c r="A1145" s="10" t="inlineStr">
        <is>
          <t>OVS-02</t>
        </is>
      </c>
      <c r="B1145" s="11" t="inlineStr">
        <is>
          <t>Administrator dashboard - lockouts are information, not tasks</t>
        </is>
      </c>
      <c r="C1145" s="11" t="n">
        <v>8</v>
      </c>
      <c r="D1145" s="11" t="inlineStr">
        <is>
          <t>Look at 'Recent activity'.</t>
        </is>
      </c>
      <c r="E1145" s="11" t="inlineStr">
        <is>
          <t>Entries are refused requests - title 'Auth access denied' with the sentence 'A request was refused by the permission matrix.' - each with who and when. A 'Full audit trail' link is at the card's top right.</t>
        </is>
      </c>
      <c r="F1145" s="16" t="n"/>
      <c r="G1145" s="16" t="n"/>
    </row>
    <row r="1146">
      <c r="A1146" s="10" t="inlineStr">
        <is>
          <t>OVS-03</t>
        </is>
      </c>
      <c r="B1146" s="11" t="inlineStr">
        <is>
          <t>DCO and RCO dashboards show their collection work and no audit link</t>
        </is>
      </c>
      <c r="C1146" s="11" t="n">
        <v>1</v>
      </c>
      <c r="D1146" s="11" t="inlineStr">
        <is>
          <t>Open http://localhost:3000. Type dco@cmp.local in 'Email or username' and SeedPassw0rd!2026 in 'Password', click 'Sign in'. On the 'Verify it is you' page type the six-digit code the test coordinator relays into '6-digit code' and click 'Verify and continue'.</t>
        </is>
      </c>
      <c r="E1146" s="11" t="inlineStr">
        <is>
          <t>You land on the Dashboard with the heading 'Good day, Arun'. The top right of the header shows the person's name with the role badge 'Data Collection Owner'.</t>
        </is>
      </c>
      <c r="F1146" s="16" t="n"/>
      <c r="G1146" s="16" t="n"/>
    </row>
    <row r="1147">
      <c r="A1147" s="10" t="inlineStr">
        <is>
          <t>OVS-03</t>
        </is>
      </c>
      <c r="B1147" s="11" t="inlineStr">
        <is>
          <t>DCO and RCO dashboards show their collection work and no audit link</t>
        </is>
      </c>
      <c r="C1147" s="11" t="n">
        <v>2</v>
      </c>
      <c r="D1147" s="11" t="inlineStr">
        <is>
          <t>Read the line under the heading, then look at 'Needs attention'.</t>
        </is>
      </c>
      <c r="E1147" s="11" t="inlineStr">
        <is>
          <t>The line reads 'Your approved projects, the links collecting against them, and anything that failed to reconcile on import.' No button sits beside the heading (no 'Log an incident', 'Register a project' or 'Provision an account'). 'Needs attention' holds only rows from: 'Tickets past their date', 'Tickets addressed to you', 'Imports that did not reconcile', 'Assets with unmapped subjects' - or the sentence 'Nothing needs your attention. ...'.</t>
        </is>
      </c>
      <c r="F1147" s="16" t="n"/>
      <c r="G1147" s="16" t="n"/>
    </row>
    <row r="1148">
      <c r="A1148" s="10" t="inlineStr">
        <is>
          <t>OVS-03</t>
        </is>
      </c>
      <c r="B1148" s="11" t="inlineStr">
        <is>
          <t>DCO and RCO dashboards show their collection work and no audit link</t>
        </is>
      </c>
      <c r="C1148" s="11" t="n">
        <v>3</v>
      </c>
      <c r="D1148" s="11" t="inlineStr">
        <is>
          <t>Check 'Needs attention' for rows belonging to other roles.</t>
        </is>
      </c>
      <c r="E1148" s="11" t="inlineStr">
        <is>
          <t>No 'Projects pending approval', 'Rights requests overdue', 'Notice text awaiting approval', 'Staff invitations not yet accepted', lockout or 'Sites awaiting a data source' row appears.</t>
        </is>
      </c>
      <c r="F1148" s="16" t="n"/>
      <c r="G1148" s="16" t="n"/>
    </row>
    <row r="1149">
      <c r="A1149" s="10" t="inlineStr">
        <is>
          <t>OVS-03</t>
        </is>
      </c>
      <c r="B1149" s="11" t="inlineStr">
        <is>
          <t>DCO and RCO dashboards show their collection work and no audit link</t>
        </is>
      </c>
      <c r="C1149" s="11" t="n">
        <v>4</v>
      </c>
      <c r="D1149" s="11" t="inlineStr">
        <is>
          <t>Find the 'Import exceptions' queue (a card, or named in the 'Clear:' line). If it is a card, click its first row.</t>
        </is>
      </c>
      <c r="E1149" s="11" t="inlineStr">
        <is>
          <t>The queues are 'Import exceptions' and 'Approved projects ready to collect' (as cards, or named in the 'Clear:' line). An 'Import exceptions' row names a collection and a project and says '&lt;n&gt; declared, &lt;m&gt; mapped — &lt;k&gt; unaccounted for'. Clicking it opens that collection's page (not 'Not part of your account'). Use Back to return.</t>
        </is>
      </c>
      <c r="F1149" s="16" t="n"/>
      <c r="G1149" s="16" t="n"/>
    </row>
    <row r="1150">
      <c r="A1150" s="10" t="inlineStr">
        <is>
          <t>OVS-03</t>
        </is>
      </c>
      <c r="B1150" s="11" t="inlineStr">
        <is>
          <t>DCO and RCO dashboards show their collection work and no audit link</t>
        </is>
      </c>
      <c r="C1150" s="11" t="n">
        <v>5</v>
      </c>
      <c r="D1150" s="11" t="inlineStr">
        <is>
          <t>Look at the 'Recent activity' card.</t>
        </is>
      </c>
      <c r="E1150" s="11" t="inlineStr">
        <is>
          <t>It lists events on Arun's own projects or done by him, with no sign-in ('Auth ...') events. There is NO 'Full audit trail' link on the card, because a DCO has no audit page.</t>
        </is>
      </c>
      <c r="F1150" s="16" t="n"/>
      <c r="G1150" s="16" t="n"/>
    </row>
    <row r="1151">
      <c r="A1151" s="10" t="inlineStr">
        <is>
          <t>OVS-03</t>
        </is>
      </c>
      <c r="B1151" s="11" t="inlineStr">
        <is>
          <t>DCO and RCO dashboards show their collection work and no audit link</t>
        </is>
      </c>
      <c r="C1151" s="11" t="n">
        <v>6</v>
      </c>
      <c r="D1151" s="11" t="inlineStr">
        <is>
          <t>Click 'Sign out' at the bottom of the sidebar. Then sign in again as rco@cmp.local (password SeedPassw0rd!2026, code from the coordinator, 'Verify and continue').</t>
        </is>
      </c>
      <c r="E1151" s="11" t="inlineStr">
        <is>
          <t>The Dashboard opens with the heading 'Good day, Meera' and the role badge 'R&amp;D Collection Owner'.</t>
        </is>
      </c>
      <c r="F1151" s="16" t="n"/>
      <c r="G1151" s="16" t="n"/>
    </row>
    <row r="1152">
      <c r="A1152" s="10" t="inlineStr">
        <is>
          <t>OVS-03</t>
        </is>
      </c>
      <c r="B1152" s="11" t="inlineStr">
        <is>
          <t>DCO and RCO dashboards show their collection work and no audit link</t>
        </is>
      </c>
      <c r="C1152" s="11" t="n">
        <v>7</v>
      </c>
      <c r="D1152" s="11" t="inlineStr">
        <is>
          <t>Read the line under the heading and 'Needs attention'.</t>
        </is>
      </c>
      <c r="E1152" s="11" t="inlineStr">
        <is>
          <t>The line reads 'The collection your team runs itself — your approved projects, the links collecting against them, and anything that failed to reconcile on import.' No button sits beside the heading. 'Needs attention' uses the same four DCO labels only.</t>
        </is>
      </c>
      <c r="F1152" s="16" t="n"/>
      <c r="G1152" s="16" t="n"/>
    </row>
    <row r="1153">
      <c r="A1153" s="10" t="inlineStr">
        <is>
          <t>OVS-03</t>
        </is>
      </c>
      <c r="B1153" s="11" t="inlineStr">
        <is>
          <t>DCO and RCO dashboards show their collection work and no audit link</t>
        </is>
      </c>
      <c r="C1153" s="11" t="n">
        <v>8</v>
      </c>
      <c r="D1153" s="11" t="inlineStr">
        <is>
          <t>Look at the 'Recent activity' card.</t>
        </is>
      </c>
      <c r="E1153" s="11" t="inlineStr">
        <is>
          <t>Events on Meera's projects only, no sign-in events, and no 'Full audit trail' link.</t>
        </is>
      </c>
      <c r="F1153" s="16" t="n"/>
      <c r="G1153" s="16" t="n"/>
    </row>
    <row r="1154">
      <c r="A1154" s="10" t="inlineStr">
        <is>
          <t>OVS-04</t>
        </is>
      </c>
      <c r="B1154" s="11" t="inlineStr">
        <is>
          <t>DCO Admin and R&amp;D User dashboards show only their own queues</t>
        </is>
      </c>
      <c r="C1154" s="11" t="n">
        <v>1</v>
      </c>
      <c r="D1154" s="11" t="inlineStr">
        <is>
          <t>Open http://localhost:3000. Type dcoadmin@cmp.local in 'Email or username' and SeedPassw0rd!2026 in 'Password', click 'Sign in'. On the 'Verify it is you' page type the six-digit code the test coordinator relays into '6-digit code' and click 'Verify and continue'.</t>
        </is>
      </c>
      <c r="E1154" s="11" t="inlineStr">
        <is>
          <t>You land on the Dashboard with the heading 'Good day, Nikhil'. The top right of the header shows the person's name with the role badge 'DCO Admin'.</t>
        </is>
      </c>
      <c r="F1154" s="16" t="n"/>
      <c r="G1154" s="16" t="n"/>
    </row>
    <row r="1155">
      <c r="A1155" s="10" t="inlineStr">
        <is>
          <t>OVS-04</t>
        </is>
      </c>
      <c r="B1155" s="11" t="inlineStr">
        <is>
          <t>DCO Admin and R&amp;D User dashboards show only their own queues</t>
        </is>
      </c>
      <c r="C1155" s="11" t="n">
        <v>2</v>
      </c>
      <c r="D1155" s="11" t="inlineStr">
        <is>
          <t>Read the line under the heading and look at 'Needs attention'.</t>
        </is>
      </c>
      <c r="E1155" s="11" t="inlineStr">
        <is>
          <t>The line reads 'Projects collected by a third party: which sites are still waiting for a data source, and who picks them up when you attach one.' No button sits beside the heading. Rows come only from: 'Tickets past their date', 'Sites awaiting a data source', 'Sources without an owner', 'Processors with no collection set up', 'Tickets addressed to you'.</t>
        </is>
      </c>
      <c r="F1155" s="16" t="n"/>
      <c r="G1155" s="16" t="n"/>
    </row>
    <row r="1156">
      <c r="A1156" s="10" t="inlineStr">
        <is>
          <t>OVS-04</t>
        </is>
      </c>
      <c r="B1156" s="11" t="inlineStr">
        <is>
          <t>DCO Admin and R&amp;D User dashboards show only their own queues</t>
        </is>
      </c>
      <c r="C1156" s="11" t="n">
        <v>3</v>
      </c>
      <c r="D1156" s="11" t="inlineStr">
        <is>
          <t>If 'Sites awaiting a data source' is listed, click it.</t>
        </is>
      </c>
      <c r="E1156" s="11" t="inlineStr">
        <is>
          <t>The page scrolls down to the 'Sites awaiting a data source' queue card on the same dashboard; each row names a project and says 'Attach the data source that will collect here'.</t>
        </is>
      </c>
      <c r="F1156" s="16" t="n"/>
      <c r="G1156" s="16" t="n"/>
    </row>
    <row r="1157">
      <c r="A1157" s="10" t="inlineStr">
        <is>
          <t>OVS-04</t>
        </is>
      </c>
      <c r="B1157" s="11" t="inlineStr">
        <is>
          <t>DCO Admin and R&amp;D User dashboards show only their own queues</t>
        </is>
      </c>
      <c r="C1157" s="11" t="n">
        <v>4</v>
      </c>
      <c r="D1157" s="11" t="inlineStr">
        <is>
          <t>If 'Sources without an owner' is listed, click it.</t>
        </is>
      </c>
      <c r="E1157" s="11" t="inlineStr">
        <is>
          <t>The 'Data sources' page opens (not 'Not part of your account'). Use Back to return.</t>
        </is>
      </c>
      <c r="F1157" s="16" t="n"/>
      <c r="G1157" s="16" t="n"/>
    </row>
    <row r="1158">
      <c r="A1158" s="10" t="inlineStr">
        <is>
          <t>OVS-04</t>
        </is>
      </c>
      <c r="B1158" s="11" t="inlineStr">
        <is>
          <t>DCO Admin and R&amp;D User dashboards show only their own queues</t>
        </is>
      </c>
      <c r="C1158" s="11" t="n">
        <v>5</v>
      </c>
      <c r="D1158" s="11" t="inlineStr">
        <is>
          <t>Look at 'Recent activity'.</t>
        </is>
      </c>
      <c r="E1158" s="11" t="inlineStr">
        <is>
          <t>No sign-in events and no 'Full audit trail' link.</t>
        </is>
      </c>
      <c r="F1158" s="16" t="n"/>
      <c r="G1158" s="16" t="n"/>
    </row>
    <row r="1159">
      <c r="A1159" s="10" t="inlineStr">
        <is>
          <t>OVS-04</t>
        </is>
      </c>
      <c r="B1159" s="11" t="inlineStr">
        <is>
          <t>DCO Admin and R&amp;D User dashboards show only their own queues</t>
        </is>
      </c>
      <c r="C1159" s="11" t="n">
        <v>6</v>
      </c>
      <c r="D1159" s="11" t="inlineStr">
        <is>
          <t>Click 'Sign out' at the bottom of the sidebar. Then sign in again as rnd@cmp.local (password SeedPassw0rd!2026, code from the coordinator, 'Verify and continue').</t>
        </is>
      </c>
      <c r="E1159" s="11" t="inlineStr">
        <is>
          <t>The Dashboard opens with the heading 'Good day, Kavya' and the role badge 'R&amp;D User'.</t>
        </is>
      </c>
      <c r="F1159" s="16" t="n"/>
      <c r="G1159" s="16" t="n"/>
    </row>
    <row r="1160">
      <c r="A1160" s="10" t="inlineStr">
        <is>
          <t>OVS-04</t>
        </is>
      </c>
      <c r="B1160" s="11" t="inlineStr">
        <is>
          <t>DCO Admin and R&amp;D User dashboards show only their own queues</t>
        </is>
      </c>
      <c r="C1160" s="11" t="n">
        <v>7</v>
      </c>
      <c r="D1160" s="11" t="inlineStr">
        <is>
          <t>Read the line under the heading and look at 'Needs attention'.</t>
        </is>
      </c>
      <c r="E1160" s="11" t="inlineStr">
        <is>
          <t>The line reads 'Your projects and what each one needs from you before it can move forward.' Beside the heading is one button, 'Register a project', which opens the dialog 'Register a project' (press Esc to close it without saving). In 'Needs attention' rows come only from 'Projects needing something from you' and 'Tickets addressed to you'.</t>
        </is>
      </c>
      <c r="F1160" s="16" t="n"/>
      <c r="G1160" s="16" t="n"/>
    </row>
    <row r="1161">
      <c r="A1161" s="10" t="inlineStr">
        <is>
          <t>OVS-04</t>
        </is>
      </c>
      <c r="B1161" s="11" t="inlineStr">
        <is>
          <t>DCO Admin and R&amp;D User dashboards show only their own queues</t>
        </is>
      </c>
      <c r="C1161" s="11" t="n">
        <v>8</v>
      </c>
      <c r="D1161" s="11" t="inlineStr">
        <is>
          <t>If 'Projects needing something from you' is listed, click it, then click the first row of the queue it jumps to.</t>
        </is>
      </c>
      <c r="E1161" s="11" t="inlineStr">
        <is>
          <t>The page scrolls to the 'Needs your action' queue; rows name Kavya's draft projects with 'Upload a security approval with its proof file'. Clicking a row opens that project's page.</t>
        </is>
      </c>
      <c r="F1161" s="16" t="n"/>
      <c r="G1161" s="16" t="n"/>
    </row>
    <row r="1162">
      <c r="A1162" s="10" t="inlineStr">
        <is>
          <t>OVS-04</t>
        </is>
      </c>
      <c r="B1162" s="11" t="inlineStr">
        <is>
          <t>DCO Admin and R&amp;D User dashboards show only their own queues</t>
        </is>
      </c>
      <c r="C1162" s="11" t="n">
        <v>9</v>
      </c>
      <c r="D1162" s="11" t="inlineStr">
        <is>
          <t>Scroll to the bottom of the dashboard.</t>
        </is>
      </c>
      <c r="E1162" s="11" t="inlineStr">
        <is>
          <t>A 'Waiting for DPO review' queue lists Kavya's projects pending approval (or is named in the 'Clear:' line). 'Projects by stage' is shown (counting only Kavya's projects); there is no 'Consent position' card; 'Recent activity' has no 'Full audit trail' link.</t>
        </is>
      </c>
      <c r="F1162" s="16" t="n"/>
      <c r="G1162" s="16" t="n"/>
    </row>
    <row r="1163">
      <c r="A1163" s="10" t="inlineStr">
        <is>
          <t>OVS-05</t>
        </is>
      </c>
      <c r="B1163" s="11" t="inlineStr">
        <is>
          <t>Sidebar for the DPO and the Administrator</t>
        </is>
      </c>
      <c r="C1163" s="11" t="n">
        <v>1</v>
      </c>
      <c r="D1163" s="11" t="inlineStr">
        <is>
          <t>Open http://localhost:3000. Type dpo@cmp.local in 'Email or username' and SeedPassw0rd!2026 in 'Password', click 'Sign in'. On the 'Verify it is you' page type the six-digit code the test coordinator relays into '6-digit code' and click 'Verify and continue'.</t>
        </is>
      </c>
      <c r="E1163" s="11" t="inlineStr">
        <is>
          <t>You land on the Dashboard with the heading 'Good day, Priya'. The top right of the header shows the person's name with the role badge 'DPO'.</t>
        </is>
      </c>
      <c r="F1163" s="16" t="n"/>
      <c r="G1163" s="16" t="n"/>
    </row>
    <row r="1164">
      <c r="A1164" s="10" t="inlineStr">
        <is>
          <t>OVS-05</t>
        </is>
      </c>
      <c r="B1164" s="11" t="inlineStr">
        <is>
          <t>Sidebar for the DPO and the Administrator</t>
        </is>
      </c>
      <c r="C1164" s="11" t="n">
        <v>2</v>
      </c>
      <c r="D1164" s="11" t="inlineStr">
        <is>
          <t>Read the whole left-hand sidebar from top to bottom (section headings are shown in small capitals).</t>
        </is>
      </c>
      <c r="E1164" s="11" t="inlineStr">
        <is>
          <t>In this order: YOUR WORK - Dashboard, Rights requests, Breaches, My tasks, Projects, Notices; GOVERNANCE - Approval documents, Purposes; CONSENT - Consents, Consent links, Collection sites; REGISTRY - Processors, Data sources; DATA MOVEMENT - Collections, Exports, Imports; OVERSIGHT - Audit trail, Users, Delegations, Message templates. There is no 'My profile' or 'Notifications' entry: 'My profile' is in the account menu (click your name at the top right) and notifications open from the bell in the header. There is no separate notice templates entry: 'Notices' opens on the tabs 'Project notices' and 'Templates', with a 'New notice template' button at the top. A 'Sign out' button sits at the bottom.</t>
        </is>
      </c>
      <c r="F1164" s="16" t="n"/>
      <c r="G1164" s="16" t="n"/>
    </row>
    <row r="1165">
      <c r="A1165" s="10" t="inlineStr">
        <is>
          <t>OVS-05</t>
        </is>
      </c>
      <c r="B1165" s="11" t="inlineStr">
        <is>
          <t>Sidebar for the DPO and the Administrator</t>
        </is>
      </c>
      <c r="C1165" s="11" t="n">
        <v>3</v>
      </c>
      <c r="D1165" s="11" t="inlineStr">
        <is>
          <t>Click each sidebar link in turn.</t>
        </is>
      </c>
      <c r="E1165" s="11" t="inlineStr">
        <is>
          <t>Every link opens a page with its own heading. None shows 'We can't find that page' or 'Not part of your account'. The link for the open page is highlighted.</t>
        </is>
      </c>
      <c r="F1165" s="16" t="n"/>
      <c r="G1165" s="16" t="n"/>
    </row>
    <row r="1166">
      <c r="A1166" s="10" t="inlineStr">
        <is>
          <t>OVS-05</t>
        </is>
      </c>
      <c r="B1166" s="11" t="inlineStr">
        <is>
          <t>Sidebar for the DPO and the Administrator</t>
        </is>
      </c>
      <c r="C1166" s="11" t="n">
        <v>4</v>
      </c>
      <c r="D1166" s="11" t="inlineStr">
        <is>
          <t>Click 'Sign out' at the bottom of the sidebar. Then sign in again as admin@cmp.local (password SeedPassw0rd!2026, code from the coordinator, 'Verify and continue').</t>
        </is>
      </c>
      <c r="E1166" s="11" t="inlineStr">
        <is>
          <t>The Dashboard opens with the heading 'Good day, System' and the role badge 'Administrator'.</t>
        </is>
      </c>
      <c r="F1166" s="16" t="n"/>
      <c r="G1166" s="16" t="n"/>
    </row>
    <row r="1167">
      <c r="A1167" s="10" t="inlineStr">
        <is>
          <t>OVS-05</t>
        </is>
      </c>
      <c r="B1167" s="11" t="inlineStr">
        <is>
          <t>Sidebar for the DPO and the Administrator</t>
        </is>
      </c>
      <c r="C1167" s="11" t="n">
        <v>5</v>
      </c>
      <c r="D1167" s="11" t="inlineStr">
        <is>
          <t>Read the whole sidebar.</t>
        </is>
      </c>
      <c r="E1167" s="11" t="inlineStr">
        <is>
          <t>YOUR WORK - Dashboard, Users, Grievances about the DPO, Message templates, Processors, Data sources, Audit trail; OVERSIGHT - Delegations; YOU - My tasks.</t>
        </is>
      </c>
      <c r="F1167" s="16" t="n"/>
      <c r="G1167" s="16" t="n"/>
    </row>
    <row r="1168">
      <c r="A1168" s="10" t="inlineStr">
        <is>
          <t>OVS-05</t>
        </is>
      </c>
      <c r="B1168" s="11" t="inlineStr">
        <is>
          <t>Sidebar for the DPO and the Administrator</t>
        </is>
      </c>
      <c r="C1168" s="11" t="n">
        <v>6</v>
      </c>
      <c r="D1168" s="11" t="inlineStr">
        <is>
          <t>Check what is absent for the administrator.</t>
        </is>
      </c>
      <c r="E1168" s="11" t="inlineStr">
        <is>
          <t>There are no GOVERNANCE, CONSENT, REGISTRY or DATA MOVEMENT headings and no links to Breaches, Projects, Approval documents, Notices, Purposes, Consents, Consent links, Collection sites, Collections, Exports or Imports. There is no 'Rights requests' link - that slot reads 'Grievances about the DPO'.</t>
        </is>
      </c>
      <c r="F1168" s="16" t="n"/>
      <c r="G1168" s="16" t="n"/>
    </row>
    <row r="1169">
      <c r="A1169" s="10" t="inlineStr">
        <is>
          <t>OVS-05</t>
        </is>
      </c>
      <c r="B1169" s="11" t="inlineStr">
        <is>
          <t>Sidebar for the DPO and the Administrator</t>
        </is>
      </c>
      <c r="C1169" s="11" t="n">
        <v>7</v>
      </c>
      <c r="D1169" s="11" t="inlineStr">
        <is>
          <t>Click 'Grievances about the DPO'.</t>
        </is>
      </c>
      <c r="E1169" s="11" t="inlineStr">
        <is>
          <t>A page headed 'Grievances about the DPO' opens.</t>
        </is>
      </c>
      <c r="F1169" s="16" t="n"/>
      <c r="G1169" s="16" t="n"/>
    </row>
    <row r="1170">
      <c r="A1170" s="10" t="inlineStr">
        <is>
          <t>OVS-05</t>
        </is>
      </c>
      <c r="B1170" s="11" t="inlineStr">
        <is>
          <t>Sidebar for the DPO and the Administrator</t>
        </is>
      </c>
      <c r="C1170" s="11" t="n">
        <v>8</v>
      </c>
      <c r="D1170" s="11" t="inlineStr">
        <is>
          <t>Click each remaining administrator link in turn.</t>
        </is>
      </c>
      <c r="E1170" s="11" t="inlineStr">
        <is>
          <t>Every link opens a page with its own heading; none shows 'We can't find that page' or 'Not part of your account'.</t>
        </is>
      </c>
      <c r="F1170" s="16" t="n"/>
      <c r="G1170" s="16" t="n"/>
    </row>
    <row r="1171">
      <c r="A1171" s="10" t="inlineStr">
        <is>
          <t>OVS-06</t>
        </is>
      </c>
      <c r="B1171" s="11" t="inlineStr">
        <is>
          <t>Sidebar for DCO, DCO Admin and RCO has no Audit trail</t>
        </is>
      </c>
      <c r="C1171" s="11" t="n">
        <v>1</v>
      </c>
      <c r="D1171" s="11" t="inlineStr">
        <is>
          <t>Open http://localhost:3000. Type dco@cmp.local in 'Email or username' and SeedPassw0rd!2026 in 'Password', click 'Sign in'. On the 'Verify it is you' page type the six-digit code the test coordinator relays into '6-digit code' and click 'Verify and continue'.</t>
        </is>
      </c>
      <c r="E1171" s="11" t="inlineStr">
        <is>
          <t>You land on the Dashboard with the heading 'Good day, Arun'. The top right of the header shows the person's name with the role badge 'Data Collection Owner'.</t>
        </is>
      </c>
      <c r="F1171" s="16" t="n"/>
      <c r="G1171" s="16" t="n"/>
    </row>
    <row r="1172">
      <c r="A1172" s="10" t="inlineStr">
        <is>
          <t>OVS-06</t>
        </is>
      </c>
      <c r="B1172" s="11" t="inlineStr">
        <is>
          <t>Sidebar for DCO, DCO Admin and RCO has no Audit trail</t>
        </is>
      </c>
      <c r="C1172" s="11" t="n">
        <v>2</v>
      </c>
      <c r="D1172" s="11" t="inlineStr">
        <is>
          <t>Read the whole sidebar.</t>
        </is>
      </c>
      <c r="E1172" s="11" t="inlineStr">
        <is>
          <t>YOUR WORK - Dashboard, My projects, Collection sites, Consent links, My tasks, Collections; CONSENT - Consents; REGISTRY - Data sources; DATA MOVEMENT - Exports, Imports; OVERSIGHT - Delegations. 'My profile' is in the account menu and notifications open from the bell in the header.</t>
        </is>
      </c>
      <c r="F1172" s="16" t="n"/>
      <c r="G1172" s="16" t="n"/>
    </row>
    <row r="1173">
      <c r="A1173" s="10" t="inlineStr">
        <is>
          <t>OVS-06</t>
        </is>
      </c>
      <c r="B1173" s="11" t="inlineStr">
        <is>
          <t>Sidebar for DCO, DCO Admin and RCO has no Audit trail</t>
        </is>
      </c>
      <c r="C1173" s="11" t="n">
        <v>3</v>
      </c>
      <c r="D1173" s="11" t="inlineStr">
        <is>
          <t>Look under OVERSIGHT and the rest of the sidebar for oversight and governance links.</t>
        </is>
      </c>
      <c r="E1173" s="11" t="inlineStr">
        <is>
          <t>OVERSIGHT holds only 'Delegations'. There is no 'Audit trail', 'Users', 'Rights requests', 'Breaches' or 'Message templates', and no 'Approval documents', 'Notices', 'Purposes' or 'Processors' anywhere in the sidebar.</t>
        </is>
      </c>
      <c r="F1173" s="16" t="n"/>
      <c r="G1173" s="16" t="n"/>
    </row>
    <row r="1174">
      <c r="A1174" s="10" t="inlineStr">
        <is>
          <t>OVS-06</t>
        </is>
      </c>
      <c r="B1174" s="11" t="inlineStr">
        <is>
          <t>Sidebar for DCO, DCO Admin and RCO has no Audit trail</t>
        </is>
      </c>
      <c r="C1174" s="11" t="n">
        <v>4</v>
      </c>
      <c r="D1174" s="11" t="inlineStr">
        <is>
          <t>Click each sidebar link in turn.</t>
        </is>
      </c>
      <c r="E1174" s="11" t="inlineStr">
        <is>
          <t>Every link opens a page with its own heading; none shows 'We can't find that page' or 'Not part of your account'.</t>
        </is>
      </c>
      <c r="F1174" s="16" t="n"/>
      <c r="G1174" s="16" t="n"/>
    </row>
    <row r="1175">
      <c r="A1175" s="10" t="inlineStr">
        <is>
          <t>OVS-06</t>
        </is>
      </c>
      <c r="B1175" s="11" t="inlineStr">
        <is>
          <t>Sidebar for DCO, DCO Admin and RCO has no Audit trail</t>
        </is>
      </c>
      <c r="C1175" s="11" t="n">
        <v>5</v>
      </c>
      <c r="D1175" s="11" t="inlineStr">
        <is>
          <t>Click 'Sign out' at the bottom of the sidebar. Then sign in again as dcoadmin@cmp.local (password SeedPassw0rd!2026, code from the coordinator, 'Verify and continue').</t>
        </is>
      </c>
      <c r="E1175" s="11" t="inlineStr">
        <is>
          <t>The Dashboard opens with the heading 'Good day, Nikhil' and the role badge 'DCO Admin'.</t>
        </is>
      </c>
      <c r="F1175" s="16" t="n"/>
      <c r="G1175" s="16" t="n"/>
    </row>
    <row r="1176">
      <c r="A1176" s="10" t="inlineStr">
        <is>
          <t>OVS-06</t>
        </is>
      </c>
      <c r="B1176" s="11" t="inlineStr">
        <is>
          <t>Sidebar for DCO, DCO Admin and RCO has no Audit trail</t>
        </is>
      </c>
      <c r="C1176" s="11" t="n">
        <v>6</v>
      </c>
      <c r="D1176" s="11" t="inlineStr">
        <is>
          <t>Read the whole sidebar and repeat the check for absent links.</t>
        </is>
      </c>
      <c r="E1176" s="11" t="inlineStr">
        <is>
          <t>YOUR WORK - Dashboard, Collection sites, Data sources, My tasks, Consent links, Projects; CONSENT - Consents; DATA MOVEMENT - Collections, Exports, Imports; OVERSIGHT - Delegations. These are the DCO's pages in a different order, and the projects link reads 'Projects' (not 'My projects'). No 'Audit trail', 'Users', 'Rights requests', 'Breaches', 'Message templates', 'Approval documents', 'Notices', 'Purposes' or 'Processors'.</t>
        </is>
      </c>
      <c r="F1176" s="16" t="n"/>
      <c r="G1176" s="16" t="n"/>
    </row>
    <row r="1177">
      <c r="A1177" s="10" t="inlineStr">
        <is>
          <t>OVS-06</t>
        </is>
      </c>
      <c r="B1177" s="11" t="inlineStr">
        <is>
          <t>Sidebar for DCO, DCO Admin and RCO has no Audit trail</t>
        </is>
      </c>
      <c r="C1177" s="11" t="n">
        <v>7</v>
      </c>
      <c r="D1177" s="11" t="inlineStr">
        <is>
          <t>Click 'Sign out' at the bottom of the sidebar. Then sign in again as rco@cmp.local (password SeedPassw0rd!2026, code from the coordinator, 'Verify and continue').</t>
        </is>
      </c>
      <c r="E1177" s="11" t="inlineStr">
        <is>
          <t>The Dashboard opens with the heading 'Good day, Meera' and the role badge 'R&amp;D Collection Owner'.</t>
        </is>
      </c>
      <c r="F1177" s="16" t="n"/>
      <c r="G1177" s="16" t="n"/>
    </row>
    <row r="1178">
      <c r="A1178" s="10" t="inlineStr">
        <is>
          <t>OVS-06</t>
        </is>
      </c>
      <c r="B1178" s="11" t="inlineStr">
        <is>
          <t>Sidebar for DCO, DCO Admin and RCO has no Audit trail</t>
        </is>
      </c>
      <c r="C1178" s="11" t="n">
        <v>8</v>
      </c>
      <c r="D1178" s="11" t="inlineStr">
        <is>
          <t>Read the whole sidebar and repeat the check for absent links.</t>
        </is>
      </c>
      <c r="E1178" s="11" t="inlineStr">
        <is>
          <t>Exactly the same links, in the same order, as the DCO (including 'My projects'); no 'Audit trail' and none of the other absent links.</t>
        </is>
      </c>
      <c r="F1178" s="16" t="n"/>
      <c r="G1178" s="16" t="n"/>
    </row>
    <row r="1179">
      <c r="A1179" s="10" t="inlineStr">
        <is>
          <t>OVS-07</t>
        </is>
      </c>
      <c r="B1179" s="11" t="inlineStr">
        <is>
          <t>Sidebar for the R&amp;D User</t>
        </is>
      </c>
      <c r="C1179" s="11" t="n">
        <v>1</v>
      </c>
      <c r="D1179" s="11" t="inlineStr">
        <is>
          <t>Open http://localhost:3000. Type rnd@cmp.local in 'Email or username' and SeedPassw0rd!2026 in 'Password', click 'Sign in'. On the 'Verify it is you' page type the six-digit code the test coordinator relays into '6-digit code' and click 'Verify and continue'.</t>
        </is>
      </c>
      <c r="E1179" s="11" t="inlineStr">
        <is>
          <t>You land on the Dashboard with the heading 'Good day, Kavya'. The top right of the header shows the person's name with the role badge 'R&amp;D User'.</t>
        </is>
      </c>
      <c r="F1179" s="16" t="n"/>
      <c r="G1179" s="16" t="n"/>
    </row>
    <row r="1180">
      <c r="A1180" s="10" t="inlineStr">
        <is>
          <t>OVS-07</t>
        </is>
      </c>
      <c r="B1180" s="11" t="inlineStr">
        <is>
          <t>Sidebar for the R&amp;D User</t>
        </is>
      </c>
      <c r="C1180" s="11" t="n">
        <v>2</v>
      </c>
      <c r="D1180" s="11" t="inlineStr">
        <is>
          <t>Read the whole sidebar.</t>
        </is>
      </c>
      <c r="E1180" s="11" t="inlineStr">
        <is>
          <t>YOUR WORK - Dashboard, My projects, Approval documents, My tasks, Notices; REGISTRY - Processors; DATA MOVEMENT - Collections, Imports. 'My profile' is in the account menu and notifications open from the bell in the header.</t>
        </is>
      </c>
      <c r="F1180" s="16" t="n"/>
      <c r="G1180" s="16" t="n"/>
    </row>
    <row r="1181">
      <c r="A1181" s="10" t="inlineStr">
        <is>
          <t>OVS-07</t>
        </is>
      </c>
      <c r="B1181" s="11" t="inlineStr">
        <is>
          <t>Sidebar for the R&amp;D User</t>
        </is>
      </c>
      <c r="C1181" s="11" t="n">
        <v>3</v>
      </c>
      <c r="D1181" s="11" t="inlineStr">
        <is>
          <t>Check what is absent.</t>
        </is>
      </c>
      <c r="E1181" s="11" t="inlineStr">
        <is>
          <t>There is no CONSENT heading and no OVERSIGHT heading. There are no links to Purposes, Consents, Consent links, Collection sites, Data sources, Exports, Rights requests, Breaches, Audit trail, Users, Delegations or Message templates.</t>
        </is>
      </c>
      <c r="F1181" s="16" t="n"/>
      <c r="G1181" s="16" t="n"/>
    </row>
    <row r="1182">
      <c r="A1182" s="10" t="inlineStr">
        <is>
          <t>OVS-07</t>
        </is>
      </c>
      <c r="B1182" s="11" t="inlineStr">
        <is>
          <t>Sidebar for the R&amp;D User</t>
        </is>
      </c>
      <c r="C1182" s="11" t="n">
        <v>4</v>
      </c>
      <c r="D1182" s="11" t="inlineStr">
        <is>
          <t>Click 'Notices'.</t>
        </is>
      </c>
      <c r="E1182" s="11" t="inlineStr">
        <is>
          <t>A page headed 'Notices' opens (the R&amp;D User brings the notice). It has no 'Templates' tab and no 'New notice template' button: notice templates are the DPO's.</t>
        </is>
      </c>
      <c r="F1182" s="16" t="n"/>
      <c r="G1182" s="16" t="n"/>
    </row>
    <row r="1183">
      <c r="A1183" s="10" t="inlineStr">
        <is>
          <t>OVS-07</t>
        </is>
      </c>
      <c r="B1183" s="11" t="inlineStr">
        <is>
          <t>Sidebar for the R&amp;D User</t>
        </is>
      </c>
      <c r="C1183" s="11" t="n">
        <v>5</v>
      </c>
      <c r="D1183" s="11" t="inlineStr">
        <is>
          <t>Click each remaining sidebar link in turn.</t>
        </is>
      </c>
      <c r="E1183" s="11" t="inlineStr">
        <is>
          <t>Every link opens a page with its own heading; none shows 'We can't find that page' or 'Not part of your account'.</t>
        </is>
      </c>
      <c r="F1183" s="16" t="n"/>
      <c r="G1183" s="16" t="n"/>
    </row>
    <row r="1184">
      <c r="A1184" s="10" t="inlineStr">
        <is>
          <t>OVS-08</t>
        </is>
      </c>
      <c r="B1184" s="11" t="inlineStr">
        <is>
          <t>Following a link to another role's section shows 'Not part of your account'</t>
        </is>
      </c>
      <c r="C1184" s="11" t="n">
        <v>1</v>
      </c>
      <c r="D1184" s="11" t="inlineStr">
        <is>
          <t>Open http://localhost:3000. Type dco@cmp.local in 'Email or username' and SeedPassw0rd!2026 in 'Password', click 'Sign in'. On the 'Verify it is you' page type the six-digit code the test coordinator relays into '6-digit code' and click 'Verify and continue'.</t>
        </is>
      </c>
      <c r="E1184" s="11" t="inlineStr">
        <is>
          <t>You land on the Dashboard with the heading 'Good day, Arun'. The top right of the header shows the person's name with the role badge 'Data Collection Owner'.</t>
        </is>
      </c>
      <c r="F1184" s="16" t="n"/>
      <c r="G1184" s="16" t="n"/>
    </row>
    <row r="1185">
      <c r="A1185" s="10" t="inlineStr">
        <is>
          <t>OVS-08</t>
        </is>
      </c>
      <c r="B1185" s="11" t="inlineStr">
        <is>
          <t>Following a link to another role's section shows 'Not part of your account'</t>
        </is>
      </c>
      <c r="C1185" s="11" t="n">
        <v>2</v>
      </c>
      <c r="D1185" s="11" t="inlineStr">
        <is>
          <t>In the browser address bar type http://localhost:3000/audit and press Enter.</t>
        </is>
      </c>
      <c r="E1185" s="11" t="inlineStr">
        <is>
          <t>The sidebar and header are still shown, but the main area shows only an information box titled 'Not part of your account' with the text 'This section belongs to a different role, so there is nothing here for you. Nothing has gone wrong — the link you followed pointed at a staff console.' and a 'Back to your dashboard' button. No part of the other role's screen (no table, filters, buttons or data) is shown. There is no 'Export CSV' button, no filters and no audit entries.</t>
        </is>
      </c>
      <c r="F1185" s="16" t="n"/>
      <c r="G1185" s="16" t="n"/>
    </row>
    <row r="1186">
      <c r="A1186" s="10" t="inlineStr">
        <is>
          <t>OVS-08</t>
        </is>
      </c>
      <c r="B1186" s="11" t="inlineStr">
        <is>
          <t>Following a link to another role's section shows 'Not part of your account'</t>
        </is>
      </c>
      <c r="C1186" s="11" t="n">
        <v>3</v>
      </c>
      <c r="D1186" s="11" t="inlineStr">
        <is>
          <t>Type http://localhost:3000/users and press Enter, then http://localhost:3000/notices.</t>
        </is>
      </c>
      <c r="E1186" s="11" t="inlineStr">
        <is>
          <t>Both show the same 'Not part of your account' box instead of the account register or the notices list.</t>
        </is>
      </c>
      <c r="F1186" s="16" t="n"/>
      <c r="G1186" s="16" t="n"/>
    </row>
    <row r="1187">
      <c r="A1187" s="10" t="inlineStr">
        <is>
          <t>OVS-08</t>
        </is>
      </c>
      <c r="B1187" s="11" t="inlineStr">
        <is>
          <t>Following a link to another role's section shows 'Not part of your account'</t>
        </is>
      </c>
      <c r="C1187" s="11" t="n">
        <v>4</v>
      </c>
      <c r="D1187" s="11" t="inlineStr">
        <is>
          <t>Type http://localhost:3000/audit?event_group=consent (or paste the audit link a DPO copied from a record page) and press Enter.</t>
        </is>
      </c>
      <c r="E1187" s="11" t="inlineStr">
        <is>
          <t>The same 'Not part of your account' box; no pre-filtered entries or chips are shown.</t>
        </is>
      </c>
      <c r="F1187" s="16" t="n"/>
      <c r="G1187" s="16" t="n"/>
    </row>
    <row r="1188">
      <c r="A1188" s="10" t="inlineStr">
        <is>
          <t>OVS-08</t>
        </is>
      </c>
      <c r="B1188" s="11" t="inlineStr">
        <is>
          <t>Following a link to another role's section shows 'Not part of your account'</t>
        </is>
      </c>
      <c r="C1188" s="11" t="n">
        <v>5</v>
      </c>
      <c r="D1188" s="11" t="inlineStr">
        <is>
          <t>Click 'Back to your dashboard'.</t>
        </is>
      </c>
      <c r="E1188" s="11" t="inlineStr">
        <is>
          <t>Arun's Dashboard opens normally.</t>
        </is>
      </c>
      <c r="F1188" s="16" t="n"/>
      <c r="G1188" s="16" t="n"/>
    </row>
    <row r="1189">
      <c r="A1189" s="10" t="inlineStr">
        <is>
          <t>OVS-08</t>
        </is>
      </c>
      <c r="B1189" s="11" t="inlineStr">
        <is>
          <t>Following a link to another role's section shows 'Not part of your account'</t>
        </is>
      </c>
      <c r="C1189" s="11" t="n">
        <v>6</v>
      </c>
      <c r="D1189" s="11" t="inlineStr">
        <is>
          <t>Click 'Sign out' at the bottom of the sidebar. Then sign in again as rnd@cmp.local (password SeedPassw0rd!2026, code from the coordinator, 'Verify and continue').</t>
        </is>
      </c>
      <c r="E1189" s="11" t="inlineStr">
        <is>
          <t>The Dashboard opens with the heading 'Good day, Kavya' and the role badge 'R&amp;D User'.</t>
        </is>
      </c>
      <c r="F1189" s="16" t="n"/>
      <c r="G1189" s="16" t="n"/>
    </row>
    <row r="1190">
      <c r="A1190" s="10" t="inlineStr">
        <is>
          <t>OVS-08</t>
        </is>
      </c>
      <c r="B1190" s="11" t="inlineStr">
        <is>
          <t>Following a link to another role's section shows 'Not part of your account'</t>
        </is>
      </c>
      <c r="C1190" s="11" t="n">
        <v>7</v>
      </c>
      <c r="D1190" s="11" t="inlineStr">
        <is>
          <t>Type http://localhost:3000/consents, then http://localhost:3000/exports, then http://localhost:3000/audit.</t>
        </is>
      </c>
      <c r="E1190" s="11" t="inlineStr">
        <is>
          <t>Each shows the 'Not part of your account' box; no consent register, export list or audit trail is shown.</t>
        </is>
      </c>
      <c r="F1190" s="16" t="n"/>
      <c r="G1190" s="16" t="n"/>
    </row>
    <row r="1191">
      <c r="A1191" s="10" t="inlineStr">
        <is>
          <t>OVS-08</t>
        </is>
      </c>
      <c r="B1191" s="11" t="inlineStr">
        <is>
          <t>Following a link to another role's section shows 'Not part of your account'</t>
        </is>
      </c>
      <c r="C1191" s="11" t="n">
        <v>8</v>
      </c>
      <c r="D1191" s="11" t="inlineStr">
        <is>
          <t>Click 'Sign out' at the bottom of the sidebar. Then sign in again as admin@cmp.local (password SeedPassw0rd!2026, code from the coordinator, 'Verify and continue').</t>
        </is>
      </c>
      <c r="E1191" s="11" t="inlineStr">
        <is>
          <t>The Dashboard opens with the heading 'Good day, System' and the role badge 'Administrator'.</t>
        </is>
      </c>
      <c r="F1191" s="16" t="n"/>
      <c r="G1191" s="16" t="n"/>
    </row>
    <row r="1192">
      <c r="A1192" s="10" t="inlineStr">
        <is>
          <t>OVS-08</t>
        </is>
      </c>
      <c r="B1192" s="11" t="inlineStr">
        <is>
          <t>Following a link to another role's section shows 'Not part of your account'</t>
        </is>
      </c>
      <c r="C1192" s="11" t="n">
        <v>9</v>
      </c>
      <c r="D1192" s="11" t="inlineStr">
        <is>
          <t>Type http://localhost:3000/projects, then http://localhost:3000/consents.</t>
        </is>
      </c>
      <c r="E1192" s="11" t="inlineStr">
        <is>
          <t>Each shows the 'Not part of your account' box.</t>
        </is>
      </c>
      <c r="F1192" s="16" t="n"/>
      <c r="G1192" s="16" t="n"/>
    </row>
    <row r="1193">
      <c r="A1193" s="10" t="inlineStr">
        <is>
          <t>OVS-08</t>
        </is>
      </c>
      <c r="B1193" s="11" t="inlineStr">
        <is>
          <t>Following a link to another role's section shows 'Not part of your account'</t>
        </is>
      </c>
      <c r="C1193" s="11" t="n">
        <v>10</v>
      </c>
      <c r="D1193" s="11" t="inlineStr">
        <is>
          <t>Sign out, sign in as rco@cmp.local, and type http://localhost:3000/approvals. Then type http://localhost:3000/sites.</t>
        </is>
      </c>
      <c r="E1193" s="11" t="inlineStr">
        <is>
          <t>/approvals shows the 'Not part of your account' box. /sites (which IS in Meera's sidebar as 'Collection sites') opens normally - the guard only blocks sections the role does not have.</t>
        </is>
      </c>
      <c r="F1193" s="16" t="n"/>
      <c r="G1193" s="16" t="n"/>
    </row>
    <row r="1194">
      <c r="A1194" s="10" t="inlineStr">
        <is>
          <t>OVS-09</t>
        </is>
      </c>
      <c r="B1194" s="11" t="inlineStr">
        <is>
          <t>DPO notifications include withdrawals and lockouts and every link opens</t>
        </is>
      </c>
      <c r="C1194" s="11" t="n">
        <v>1</v>
      </c>
      <c r="D1194" s="11" t="inlineStr">
        <is>
          <t>Open http://localhost:3000. Type dpo@cmp.local in 'Email or username' and SeedPassw0rd!2026 in 'Password', click 'Sign in'. On the 'Verify it is you' page type the six-digit code the test coordinator relays into '6-digit code' and click 'Verify and continue'.</t>
        </is>
      </c>
      <c r="E1194" s="11" t="inlineStr">
        <is>
          <t>You land on the Dashboard with the heading 'Good day, Priya'. The top right of the header shows the person's name with the role badge 'DPO'.</t>
        </is>
      </c>
      <c r="F1194" s="16" t="n"/>
      <c r="G1194" s="16" t="n"/>
    </row>
    <row r="1195">
      <c r="A1195" s="10" t="inlineStr">
        <is>
          <t>OVS-09</t>
        </is>
      </c>
      <c r="B1195" s="11" t="inlineStr">
        <is>
          <t>DPO notifications include withdrawals and lockouts and every link opens</t>
        </is>
      </c>
      <c r="C1195" s="11" t="n">
        <v>2</v>
      </c>
      <c r="D1195" s="11" t="inlineStr">
        <is>
          <t>Click the bell icon at the top right of the header (its label is 'Notifications').</t>
        </is>
      </c>
      <c r="E1195" s="11" t="inlineStr">
        <is>
          <t>A page headed 'Notifications' opens with the text 'What has happened that concerns you, taken from the audit trail itself.' Entries are listed newest first; each shows an event name, how long ago, a one-line explanation, the record it concerns as a link, and 'by &lt;name&gt;'.</t>
        </is>
      </c>
      <c r="F1195" s="16" t="n"/>
      <c r="G1195" s="16" t="n"/>
    </row>
    <row r="1196">
      <c r="A1196" s="10" t="inlineStr">
        <is>
          <t>OVS-09</t>
        </is>
      </c>
      <c r="B1196" s="11" t="inlineStr">
        <is>
          <t>DPO notifications include withdrawals and lockouts and every link opens</t>
        </is>
      </c>
      <c r="C1196" s="11" t="n">
        <v>3</v>
      </c>
      <c r="D1196" s="11" t="inlineStr">
        <is>
          <t>Find an entry titled 'Consent withdrawn'.</t>
        </is>
      </c>
      <c r="E1196" s="11" t="inlineStr">
        <is>
          <t>Its explanation reads 'Consent was withdrawn. The earlier record still stands as evidence of what was agreed at the time.' Its record link reads 'Consent record: &lt;person's name&gt; — &lt;project&gt;' with the name readable.</t>
        </is>
      </c>
      <c r="F1196" s="16" t="n"/>
      <c r="G1196" s="16" t="n"/>
    </row>
    <row r="1197">
      <c r="A1197" s="10" t="inlineStr">
        <is>
          <t>OVS-09</t>
        </is>
      </c>
      <c r="B1197" s="11" t="inlineStr">
        <is>
          <t>DPO notifications include withdrawals and lockouts and every link opens</t>
        </is>
      </c>
      <c r="C1197" s="11" t="n">
        <v>4</v>
      </c>
      <c r="D1197" s="11" t="inlineStr">
        <is>
          <t>Find an entry titled 'Auth login locked out' (from the precondition).</t>
        </is>
      </c>
      <c r="E1197" s="11" t="inlineStr">
        <is>
          <t>Its explanation reads 'An account was locked after repeated failed sign-ins.' and its record link reads 'Account: &lt;name of the locked account&gt;'.</t>
        </is>
      </c>
      <c r="F1197" s="16" t="n"/>
      <c r="G1197" s="16" t="n"/>
    </row>
    <row r="1198">
      <c r="A1198" s="10" t="inlineStr">
        <is>
          <t>OVS-09</t>
        </is>
      </c>
      <c r="B1198" s="11" t="inlineStr">
        <is>
          <t>DPO notifications include withdrawals and lockouts and every link opens</t>
        </is>
      </c>
      <c r="C1198" s="11" t="n">
        <v>5</v>
      </c>
      <c r="D1198" s="11" t="inlineStr">
        <is>
          <t>Click the body of the 'Consent withdrawn' entry (not the link).</t>
        </is>
      </c>
      <c r="E1198" s="11" t="inlineStr">
        <is>
          <t>A dialog titled 'Consent withdrawn' opens showing 'What', 'When', 'Who', 'About', 'Event' (consent.withdrawn) and 'Record', the note 'This entry is append-only and part of a hash chain. ...', and the buttons 'Open consent record' and 'Close'.</t>
        </is>
      </c>
      <c r="F1198" s="16" t="n"/>
      <c r="G1198" s="16" t="n"/>
    </row>
    <row r="1199">
      <c r="A1199" s="10" t="inlineStr">
        <is>
          <t>OVS-09</t>
        </is>
      </c>
      <c r="B1199" s="11" t="inlineStr">
        <is>
          <t>DPO notifications include withdrawals and lockouts and every link opens</t>
        </is>
      </c>
      <c r="C1199" s="11" t="n">
        <v>6</v>
      </c>
      <c r="D1199" s="11" t="inlineStr">
        <is>
          <t>Click 'Open consent record'.</t>
        </is>
      </c>
      <c r="E1199" s="11" t="inlineStr">
        <is>
          <t>The consent record page opens, headed with the person's name and an 'All consents' back link - not 'Not part of your account' and not 'We can't find that page'.</t>
        </is>
      </c>
      <c r="F1199" s="16" t="n"/>
      <c r="G1199" s="16" t="n"/>
    </row>
    <row r="1200">
      <c r="A1200" s="10" t="inlineStr">
        <is>
          <t>OVS-09</t>
        </is>
      </c>
      <c r="B1200" s="11" t="inlineStr">
        <is>
          <t>DPO notifications include withdrawals and lockouts and every link opens</t>
        </is>
      </c>
      <c r="C1200" s="11" t="n">
        <v>7</v>
      </c>
      <c r="D1200" s="11" t="inlineStr">
        <is>
          <t>Go back to 'Notifications' and click the 'Account: ...' link on the lockout entry.</t>
        </is>
      </c>
      <c r="E1200" s="11" t="inlineStr">
        <is>
          <t>The 'Users' page opens.</t>
        </is>
      </c>
      <c r="F1200" s="16" t="n"/>
      <c r="G1200" s="16" t="n"/>
    </row>
    <row r="1201">
      <c r="A1201" s="10" t="inlineStr">
        <is>
          <t>OVS-09</t>
        </is>
      </c>
      <c r="B1201" s="11" t="inlineStr">
        <is>
          <t>DPO notifications include withdrawals and lockouts and every link opens</t>
        </is>
      </c>
      <c r="C1201" s="11" t="n">
        <v>8</v>
      </c>
      <c r="D1201" s="11" t="inlineStr">
        <is>
          <t>Go back and click the record link on one entry of each other kind shown (e.g. 'Project transitioned', 'Notice published', 'Import rejected', 'Export generated', rights ticket events, and breach ticket events such as 'Breach ticket returned').</t>
        </is>
      </c>
      <c r="E1201" s="11" t="inlineStr">
        <is>
          <t>Each link opens a page the DPO can use; none shows 'Not part of your account' or 'We can't find that page'.</t>
        </is>
      </c>
      <c r="F1201" s="16" t="n"/>
      <c r="G1201" s="16" t="n"/>
    </row>
    <row r="1202">
      <c r="A1202" s="10" t="inlineStr">
        <is>
          <t>OVS-10</t>
        </is>
      </c>
      <c r="B1202" s="11" t="inlineStr">
        <is>
          <t>Administrator notifications show lockouts but not consent withdrawals</t>
        </is>
      </c>
      <c r="C1202" s="11" t="n">
        <v>1</v>
      </c>
      <c r="D1202" s="11" t="inlineStr">
        <is>
          <t>Open http://localhost:3000. Type admin@cmp.local in 'Email or username' and SeedPassw0rd!2026 in 'Password', click 'Sign in'. On the 'Verify it is you' page type the six-digit code the test coordinator relays into '6-digit code' and click 'Verify and continue'.</t>
        </is>
      </c>
      <c r="E1202" s="11" t="inlineStr">
        <is>
          <t>You land on the Dashboard with the heading 'Good day, System'. The top right of the header shows the person's name with the role badge 'Administrator'.</t>
        </is>
      </c>
      <c r="F1202" s="16" t="n"/>
      <c r="G1202" s="16" t="n"/>
    </row>
    <row r="1203">
      <c r="A1203" s="10" t="inlineStr">
        <is>
          <t>OVS-10</t>
        </is>
      </c>
      <c r="B1203" s="11" t="inlineStr">
        <is>
          <t>Administrator notifications show lockouts but not consent withdrawals</t>
        </is>
      </c>
      <c r="C1203" s="11" t="n">
        <v>2</v>
      </c>
      <c r="D1203" s="11" t="inlineStr">
        <is>
          <t>Click the bell icon at the top right of the header.</t>
        </is>
      </c>
      <c r="E1203" s="11" t="inlineStr">
        <is>
          <t>The 'Notifications' page opens.</t>
        </is>
      </c>
      <c r="F1203" s="16" t="n"/>
      <c r="G1203" s="16" t="n"/>
    </row>
    <row r="1204">
      <c r="A1204" s="10" t="inlineStr">
        <is>
          <t>OVS-10</t>
        </is>
      </c>
      <c r="B1204" s="11" t="inlineStr">
        <is>
          <t>Administrator notifications show lockouts but not consent withdrawals</t>
        </is>
      </c>
      <c r="C1204" s="11" t="n">
        <v>3</v>
      </c>
      <c r="D1204" s="11" t="inlineStr">
        <is>
          <t>Find the 'Auth login locked out' entry for the account locked in the precondition.</t>
        </is>
      </c>
      <c r="E1204" s="11" t="inlineStr">
        <is>
          <t>It is listed with 'An account was locked after repeated failed sign-ins.' and the link 'Account: &lt;name&gt;'.</t>
        </is>
      </c>
      <c r="F1204" s="16" t="n"/>
      <c r="G1204" s="16" t="n"/>
    </row>
    <row r="1205">
      <c r="A1205" s="10" t="inlineStr">
        <is>
          <t>OVS-10</t>
        </is>
      </c>
      <c r="B1205" s="11" t="inlineStr">
        <is>
          <t>Administrator notifications show lockouts but not consent withdrawals</t>
        </is>
      </c>
      <c r="C1205" s="11" t="n">
        <v>4</v>
      </c>
      <c r="D1205" s="11" t="inlineStr">
        <is>
          <t>Scroll the whole list looking for 'Consent withdrawn'.</t>
        </is>
      </c>
      <c r="E1205" s="11" t="inlineStr">
        <is>
          <t>There is no 'Consent withdrawn' entry at all, even though the DPO sees one.</t>
        </is>
      </c>
      <c r="F1205" s="16" t="n"/>
      <c r="G1205" s="16" t="n"/>
    </row>
    <row r="1206">
      <c r="A1206" s="10" t="inlineStr">
        <is>
          <t>OVS-10</t>
        </is>
      </c>
      <c r="B1206" s="11" t="inlineStr">
        <is>
          <t>Administrator notifications show lockouts but not consent withdrawals</t>
        </is>
      </c>
      <c r="C1206" s="11" t="n">
        <v>5</v>
      </c>
      <c r="D1206" s="11" t="inlineStr">
        <is>
          <t>Scroll the list looking for project events.</t>
        </is>
      </c>
      <c r="E1206" s="11" t="inlineStr">
        <is>
          <t>There are no 'Project transitioned', 'Notice published', 'Import rejected' or 'Export generated' entries - the administrator cannot open projects. Only lockouts and events on tickets addressed to the administrator appear (or 'Nothing to report' if none).</t>
        </is>
      </c>
      <c r="F1206" s="16" t="n"/>
      <c r="G1206" s="16" t="n"/>
    </row>
    <row r="1207">
      <c r="A1207" s="10" t="inlineStr">
        <is>
          <t>OVS-10</t>
        </is>
      </c>
      <c r="B1207" s="11" t="inlineStr">
        <is>
          <t>Administrator notifications show lockouts but not consent withdrawals</t>
        </is>
      </c>
      <c r="C1207" s="11" t="n">
        <v>6</v>
      </c>
      <c r="D1207" s="11" t="inlineStr">
        <is>
          <t>Click the 'Account: &lt;name&gt;' link on the lockout entry.</t>
        </is>
      </c>
      <c r="E1207" s="11" t="inlineStr">
        <is>
          <t>The 'Users' page opens (a page the administrator can use).</t>
        </is>
      </c>
      <c r="F1207" s="16" t="n"/>
      <c r="G1207" s="16" t="n"/>
    </row>
    <row r="1208">
      <c r="A1208" s="10" t="inlineStr">
        <is>
          <t>OVS-10</t>
        </is>
      </c>
      <c r="B1208" s="11" t="inlineStr">
        <is>
          <t>Administrator notifications show lockouts but not consent withdrawals</t>
        </is>
      </c>
      <c r="C1208" s="11" t="n">
        <v>7</v>
      </c>
      <c r="D1208" s="11" t="inlineStr">
        <is>
          <t>Go back, click the body of the lockout entry, then 'Close'.</t>
        </is>
      </c>
      <c r="E1208" s="11" t="inlineStr">
        <is>
          <t>A dialog titled 'Auth login locked out' shows 'What', 'When', 'Who', 'Event' (auth.login_locked_out) and 'Record'; 'Close' dismisses it.</t>
        </is>
      </c>
      <c r="F1208" s="16" t="n"/>
      <c r="G1208" s="16" t="n"/>
    </row>
    <row r="1209">
      <c r="A1209" s="10" t="inlineStr">
        <is>
          <t>OVS-11</t>
        </is>
      </c>
      <c r="B1209" s="11" t="inlineStr">
        <is>
          <t>DCO and R&amp;D User notifications cover only projects they can see</t>
        </is>
      </c>
      <c r="C1209" s="11" t="n">
        <v>1</v>
      </c>
      <c r="D1209" s="11" t="inlineStr">
        <is>
          <t>Open http://localhost:3000. Type dco@cmp.local in 'Email or username' and SeedPassw0rd!2026 in 'Password', click 'Sign in'. On the 'Verify it is you' page type the six-digit code the test coordinator relays into '6-digit code' and click 'Verify and continue'.</t>
        </is>
      </c>
      <c r="E1209" s="11" t="inlineStr">
        <is>
          <t>You land on the Dashboard with the heading 'Good day, Arun'. The top right of the header shows the person's name with the role badge 'Data Collection Owner'.</t>
        </is>
      </c>
      <c r="F1209" s="16" t="n"/>
      <c r="G1209" s="16" t="n"/>
    </row>
    <row r="1210">
      <c r="A1210" s="10" t="inlineStr">
        <is>
          <t>OVS-11</t>
        </is>
      </c>
      <c r="B1210" s="11" t="inlineStr">
        <is>
          <t>DCO and R&amp;D User notifications cover only projects they can see</t>
        </is>
      </c>
      <c r="C1210" s="11" t="n">
        <v>2</v>
      </c>
      <c r="D1210" s="11" t="inlineStr">
        <is>
          <t>Click the bell icon in the header to open 'Notifications', and read the list.</t>
        </is>
      </c>
      <c r="E1210" s="11" t="inlineStr">
        <is>
          <t>Entries are only of these kinds: 'Project transitioned', 'Notice published', 'Import rejected', 'Export generated', plus events on rights or breach tickets addressed to Arun. Each names a project (or a notice, import or export on one).</t>
        </is>
      </c>
      <c r="F1210" s="16" t="n"/>
      <c r="G1210" s="16" t="n"/>
    </row>
    <row r="1211">
      <c r="A1211" s="10" t="inlineStr">
        <is>
          <t>OVS-11</t>
        </is>
      </c>
      <c r="B1211" s="11" t="inlineStr">
        <is>
          <t>DCO and R&amp;D User notifications cover only projects they can see</t>
        </is>
      </c>
      <c r="C1211" s="11" t="n">
        <v>3</v>
      </c>
      <c r="D1211" s="11" t="inlineStr">
        <is>
          <t>Look for 'Consent withdrawn' and 'Auth login locked out' entries.</t>
        </is>
      </c>
      <c r="E1211" s="11" t="inlineStr">
        <is>
          <t>Neither appears, although the DPO's feed shows both.</t>
        </is>
      </c>
      <c r="F1211" s="16" t="n"/>
      <c r="G1211" s="16" t="n"/>
    </row>
    <row r="1212">
      <c r="A1212" s="10" t="inlineStr">
        <is>
          <t>OVS-11</t>
        </is>
      </c>
      <c r="B1212" s="11" t="inlineStr">
        <is>
          <t>DCO and R&amp;D User notifications cover only projects they can see</t>
        </is>
      </c>
      <c r="C1212" s="11" t="n">
        <v>4</v>
      </c>
      <c r="D1212" s="11" t="inlineStr">
        <is>
          <t>Note the project named on two entries, then click 'My projects' in the sidebar.</t>
        </is>
      </c>
      <c r="E1212" s="11" t="inlineStr">
        <is>
          <t>Both projects are in Arun's projects list - no entry concerns a project he cannot see.</t>
        </is>
      </c>
      <c r="F1212" s="16" t="n"/>
      <c r="G1212" s="16" t="n"/>
    </row>
    <row r="1213">
      <c r="A1213" s="10" t="inlineStr">
        <is>
          <t>OVS-11</t>
        </is>
      </c>
      <c r="B1213" s="11" t="inlineStr">
        <is>
          <t>DCO and R&amp;D User notifications cover only projects they can see</t>
        </is>
      </c>
      <c r="C1213" s="11" t="n">
        <v>5</v>
      </c>
      <c r="D1213" s="11" t="inlineStr">
        <is>
          <t>Back on 'Notifications', click a 'Project: &lt;name&gt;' link, then an 'Export' link on an 'Export generated' entry (if present).</t>
        </is>
      </c>
      <c r="E1213" s="11" t="inlineStr">
        <is>
          <t>The project page and the 'Exports' page open normally.</t>
        </is>
      </c>
      <c r="F1213" s="16" t="n"/>
      <c r="G1213" s="16" t="n"/>
    </row>
    <row r="1214">
      <c r="A1214" s="10" t="inlineStr">
        <is>
          <t>OVS-11</t>
        </is>
      </c>
      <c r="B1214" s="11" t="inlineStr">
        <is>
          <t>DCO and R&amp;D User notifications cover only projects they can see</t>
        </is>
      </c>
      <c r="C1214" s="11" t="n">
        <v>6</v>
      </c>
      <c r="D1214" s="11" t="inlineStr">
        <is>
          <t>If a 'Notice published' entry is present, click its 'Notice: ...' link (or 'Open notice' in its dialog).</t>
        </is>
      </c>
      <c r="E1214" s="11" t="inlineStr">
        <is>
          <t>A page Arun can use opens. It must NOT show 'Not part of your account' (the rule is that no notification link leads to a page the reader cannot open). If it does, record a defect.</t>
        </is>
      </c>
      <c r="F1214" s="16" t="n"/>
      <c r="G1214" s="16" t="n"/>
    </row>
    <row r="1215">
      <c r="A1215" s="10" t="inlineStr">
        <is>
          <t>OVS-11</t>
        </is>
      </c>
      <c r="B1215" s="11" t="inlineStr">
        <is>
          <t>DCO and R&amp;D User notifications cover only projects they can see</t>
        </is>
      </c>
      <c r="C1215" s="11" t="n">
        <v>7</v>
      </c>
      <c r="D1215" s="11" t="inlineStr">
        <is>
          <t>Click 'Sign out' at the bottom of the sidebar. Then sign in again as rnd@cmp.local (password SeedPassw0rd!2026, code from the coordinator, 'Verify and continue').</t>
        </is>
      </c>
      <c r="E1215" s="11" t="inlineStr">
        <is>
          <t>The Dashboard opens with the heading 'Good day, Kavya' and the role badge 'R&amp;D User'.</t>
        </is>
      </c>
      <c r="F1215" s="16" t="n"/>
      <c r="G1215" s="16" t="n"/>
    </row>
    <row r="1216">
      <c r="A1216" s="10" t="inlineStr">
        <is>
          <t>OVS-11</t>
        </is>
      </c>
      <c r="B1216" s="11" t="inlineStr">
        <is>
          <t>DCO and R&amp;D User notifications cover only projects they can see</t>
        </is>
      </c>
      <c r="C1216" s="11" t="n">
        <v>8</v>
      </c>
      <c r="D1216" s="11" t="inlineStr">
        <is>
          <t>Click the bell icon in the header and read the 'Notifications' list.</t>
        </is>
      </c>
      <c r="E1216" s="11" t="inlineStr">
        <is>
          <t>Only events on projects Kavya created (and her tickets); no 'Consent withdrawn' and no 'Auth login locked out'.</t>
        </is>
      </c>
      <c r="F1216" s="16" t="n"/>
      <c r="G1216" s="16" t="n"/>
    </row>
    <row r="1217">
      <c r="A1217" s="10" t="inlineStr">
        <is>
          <t>OVS-11</t>
        </is>
      </c>
      <c r="B1217" s="11" t="inlineStr">
        <is>
          <t>DCO and R&amp;D User notifications cover only projects they can see</t>
        </is>
      </c>
      <c r="C1217" s="11" t="n">
        <v>9</v>
      </c>
      <c r="D1217" s="11" t="inlineStr">
        <is>
          <t>Click the record link on each entry shown, including any 'Export generated' entry's 'Export' link.</t>
        </is>
      </c>
      <c r="E1217" s="11" t="inlineStr">
        <is>
          <t>Each opens a page Kavya can use. None may show 'Not part of your account' (R&amp;D Users have no Exports section, so an export link that lands there is a defect).</t>
        </is>
      </c>
      <c r="F1217" s="16" t="n"/>
      <c r="G1217" s="16" t="n"/>
    </row>
    <row r="1218">
      <c r="A1218" s="10" t="inlineStr">
        <is>
          <t>OVS-12</t>
        </is>
      </c>
      <c r="B1218" s="11" t="inlineStr">
        <is>
          <t>Filter the audit trail by area, event, actor role, record type and period</t>
        </is>
      </c>
      <c r="C1218" s="11" t="n">
        <v>1</v>
      </c>
      <c r="D1218" s="11" t="inlineStr">
        <is>
          <t>Open http://localhost:3000. Type dpo@cmp.local in 'Email or username' and SeedPassw0rd!2026 in 'Password', click 'Sign in'. On the 'Verify it is you' page type the six-digit code the test coordinator relays into '6-digit code' and click 'Verify and continue'.</t>
        </is>
      </c>
      <c r="E1218" s="11" t="inlineStr">
        <is>
          <t>You land on the Dashboard with the heading 'Good day, Priya'. The top right of the header shows the person's name with the role badge 'DPO'.</t>
        </is>
      </c>
      <c r="F1218" s="16" t="n"/>
      <c r="G1218" s="16" t="n"/>
    </row>
    <row r="1219">
      <c r="A1219" s="10" t="inlineStr">
        <is>
          <t>OVS-12</t>
        </is>
      </c>
      <c r="B1219" s="11" t="inlineStr">
        <is>
          <t>Filter the audit trail by area, event, actor role, record type and period</t>
        </is>
      </c>
      <c r="C1219" s="11" t="n">
        <v>2</v>
      </c>
      <c r="D1219" s="11" t="inlineStr">
        <is>
          <t>Click 'Audit trail' under OVERSIGHT in the sidebar.</t>
        </is>
      </c>
      <c r="E1219" s="11" t="inlineStr">
        <is>
          <t>The page headed 'Audit trail' opens with the text 'Append-only and hash-chained. Nothing here can be edited or deleted by anyone, including the Privacy Office. Ask it a question: about a person, a record, an area, a period.' Buttons 'Export CSV' and 'Verify chain' are at the top right. The filter panel has 'Search', 'About', 'Name, email or mobile', 'Area', 'Event', 'Record type', 'Actor role', 'From' and 'To'. The table has the columns 'When', 'Event', 'Actor', 'About', 'Record'. There is no edit or delete control anywhere.</t>
        </is>
      </c>
      <c r="F1219" s="16" t="n"/>
      <c r="G1219" s="16" t="n"/>
    </row>
    <row r="1220">
      <c r="A1220" s="10" t="inlineStr">
        <is>
          <t>OVS-12</t>
        </is>
      </c>
      <c r="B1220" s="11" t="inlineStr">
        <is>
          <t>Filter the audit trail by area, event, actor role, record type and period</t>
        </is>
      </c>
      <c r="C1220" s="11" t="n">
        <v>3</v>
      </c>
      <c r="D1220" s="11" t="inlineStr">
        <is>
          <t>Open 'Area' and read the list, then choose 'Sign-in and access'.</t>
        </is>
      </c>
      <c r="E1220" s="11" t="inlineStr">
        <is>
          <t>The list names every area, A to Z, each once, among them 'Accounts', 'Breach notices', 'Breach tickets', 'Incidents and breaches', 'Messages', 'Notice templates', 'Notices', 'Rights requests' and 'Sign-in and access'. After choosing, a 'Filtered by' strip appears with the chip 'Area Sign-in and access'. Every row's Event starts with 'Auth' (e.g. 'Auth login succeeded'). The address bar now contains event_group=auth.</t>
        </is>
      </c>
      <c r="F1220" s="16" t="n"/>
      <c r="G1220" s="16" t="n"/>
    </row>
    <row r="1221">
      <c r="A1221" s="10" t="inlineStr">
        <is>
          <t>OVS-12</t>
        </is>
      </c>
      <c r="B1221" s="11" t="inlineStr">
        <is>
          <t>Filter the audit trail by area, event, actor role, record type and period</t>
        </is>
      </c>
      <c r="C1221" s="11" t="n">
        <v>4</v>
      </c>
      <c r="D1221" s="11" t="inlineStr">
        <is>
          <t>Open 'Event'.</t>
        </is>
      </c>
      <c r="E1221" s="11" t="inlineStr">
        <is>
          <t>The first option reads 'Every event in this area' and the list holds only sign-in and access events (e.g. 'Access denied', 'Login failed', 'Login locked out').</t>
        </is>
      </c>
      <c r="F1221" s="16" t="n"/>
      <c r="G1221" s="16" t="n"/>
    </row>
    <row r="1222">
      <c r="A1222" s="10" t="inlineStr">
        <is>
          <t>OVS-12</t>
        </is>
      </c>
      <c r="B1222" s="11" t="inlineStr">
        <is>
          <t>Filter the audit trail by area, event, actor role, record type and period</t>
        </is>
      </c>
      <c r="C1222" s="11" t="n">
        <v>5</v>
      </c>
      <c r="D1222" s="11" t="inlineStr">
        <is>
          <t>Choose 'Access denied'.</t>
        </is>
      </c>
      <c r="E1222" s="11" t="inlineStr">
        <is>
          <t>The chip changes to 'Event Access denied' (the Area chip is replaced). Every row is 'Auth access denied' with the line 'A request was refused by the permission matrix.'</t>
        </is>
      </c>
      <c r="F1222" s="16" t="n"/>
      <c r="G1222" s="16" t="n"/>
    </row>
    <row r="1223">
      <c r="A1223" s="10" t="inlineStr">
        <is>
          <t>OVS-12</t>
        </is>
      </c>
      <c r="B1223" s="11" t="inlineStr">
        <is>
          <t>Filter the audit trail by area, event, actor role, record type and period</t>
        </is>
      </c>
      <c r="C1223" s="11" t="n">
        <v>6</v>
      </c>
      <c r="D1223" s="11" t="inlineStr">
        <is>
          <t>Click the small x on the 'Event' chip. Then in 'Actor role' choose 'Admin'.</t>
        </is>
      </c>
      <c r="E1223" s="11" t="inlineStr">
        <is>
          <t>The Event filter is removed. A chip 'Actor role Admin' appears and every row's Actor carries the badge 'Administrator'.</t>
        </is>
      </c>
      <c r="F1223" s="16" t="n"/>
      <c r="G1223" s="16" t="n"/>
    </row>
    <row r="1224">
      <c r="A1224" s="10" t="inlineStr">
        <is>
          <t>OVS-12</t>
        </is>
      </c>
      <c r="B1224" s="11" t="inlineStr">
        <is>
          <t>Filter the audit trail by area, event, actor role, record type and period</t>
        </is>
      </c>
      <c r="C1224" s="11" t="n">
        <v>7</v>
      </c>
      <c r="D1224" s="11" t="inlineStr">
        <is>
          <t>In 'Record type' choose 'Project'.</t>
        </is>
      </c>
      <c r="E1224" s="11" t="inlineStr">
        <is>
          <t>A second chip 'Record type Project' appears next to 'Actor role Admin', and a 'Clear all' button appears. Every row's Record reads 'Project: &lt;name&gt;' (or 'Nothing matches these filters' if the administrator never touched a project).</t>
        </is>
      </c>
      <c r="F1224" s="16" t="n"/>
      <c r="G1224" s="16" t="n"/>
    </row>
    <row r="1225">
      <c r="A1225" s="10" t="inlineStr">
        <is>
          <t>OVS-12</t>
        </is>
      </c>
      <c r="B1225" s="11" t="inlineStr">
        <is>
          <t>Filter the audit trail by area, event, actor role, record type and period</t>
        </is>
      </c>
      <c r="C1225" s="11" t="n">
        <v>8</v>
      </c>
      <c r="D1225" s="11" t="inlineStr">
        <is>
          <t>Click 'Clear all'. Then set 'From' and 'To' to today's date.</t>
        </is>
      </c>
      <c r="E1225" s="11" t="inlineStr">
        <is>
          <t>All earlier chips disappear. Chips 'From &lt;date&gt;' and 'To &lt;date&gt;' appear and every row's 'When' falls on today.</t>
        </is>
      </c>
      <c r="F1225" s="16" t="n"/>
      <c r="G1225" s="16" t="n"/>
    </row>
    <row r="1226">
      <c r="A1226" s="10" t="inlineStr">
        <is>
          <t>OVS-12</t>
        </is>
      </c>
      <c r="B1226" s="11" t="inlineStr">
        <is>
          <t>Filter the audit trail by area, event, actor role, record type and period</t>
        </is>
      </c>
      <c r="C1226" s="11" t="n">
        <v>9</v>
      </c>
      <c r="D1226" s="11" t="inlineStr">
        <is>
          <t>Copy the address from the address bar, open a new tab, paste it and press Enter.</t>
        </is>
      </c>
      <c r="E1226" s="11" t="inlineStr">
        <is>
          <t>The new tab shows the same filters, the same chips and the same rows - the question can be bookmarked or shared.</t>
        </is>
      </c>
      <c r="F1226" s="16" t="n"/>
      <c r="G1226" s="16" t="n"/>
    </row>
    <row r="1227">
      <c r="A1227" s="10" t="inlineStr">
        <is>
          <t>OVS-12</t>
        </is>
      </c>
      <c r="B1227" s="11" t="inlineStr">
        <is>
          <t>Filter the audit trail by area, event, actor role, record type and period</t>
        </is>
      </c>
      <c r="C1227" s="11" t="n">
        <v>10</v>
      </c>
      <c r="D1227" s="11" t="inlineStr">
        <is>
          <t>Remove the 'From' chip only, using its x.</t>
        </is>
      </c>
      <c r="E1227" s="11" t="inlineStr">
        <is>
          <t>Only the From filter is removed; the 'To' chip stays. Under the table, 'Showing &lt;n&gt; of &lt;total&gt;' and 'Previous' / 'Next' buttons page through results.</t>
        </is>
      </c>
      <c r="F1227" s="16" t="n"/>
      <c r="G1227" s="16" t="n"/>
    </row>
    <row r="1228">
      <c r="A1228" s="10" t="inlineStr">
        <is>
          <t>OVS-13</t>
        </is>
      </c>
      <c r="B1228" s="11" t="inlineStr">
        <is>
          <t>About picker finds a person by part of a name or a whole email</t>
        </is>
      </c>
      <c r="C1228" s="11" t="n">
        <v>1</v>
      </c>
      <c r="D1228" s="11" t="inlineStr">
        <is>
          <t>Open http://localhost:3000. Type dpo@cmp.local in 'Email or username' and SeedPassw0rd!2026 in 'Password', click 'Sign in'. On the 'Verify it is you' page type the six-digit code the test coordinator relays into '6-digit code' and click 'Verify and continue'.</t>
        </is>
      </c>
      <c r="E1228" s="11" t="inlineStr">
        <is>
          <t>You land on the Dashboard with the heading 'Good day, Priya'. The top right of the header shows the person's name with the role badge 'DPO'.</t>
        </is>
      </c>
      <c r="F1228" s="16" t="n"/>
      <c r="G1228" s="16" t="n"/>
    </row>
    <row r="1229">
      <c r="A1229" s="10" t="inlineStr">
        <is>
          <t>OVS-13</t>
        </is>
      </c>
      <c r="B1229" s="11" t="inlineStr">
        <is>
          <t>About picker finds a person by part of a name or a whole email</t>
        </is>
      </c>
      <c r="C1229" s="11" t="n">
        <v>2</v>
      </c>
      <c r="D1229" s="11" t="inlineStr">
        <is>
          <t>Click 'Audit trail'. Open the 'About' dropdown.</t>
        </is>
      </c>
      <c r="E1229" s="11" t="inlineStr">
        <is>
          <t>It offers 'Data principal', 'Member of staff', 'Consent record', 'Processor', 'Data source', 'Project', 'Notice', 'Collection site', 'Rights request'. 'Data principal' is selected and the box beside it is labelled 'Name, email or mobile' with the grey hint 'The whole address or number'.</t>
        </is>
      </c>
      <c r="F1229" s="16" t="n"/>
      <c r="G1229" s="16" t="n"/>
    </row>
    <row r="1230">
      <c r="A1230" s="10" t="inlineStr">
        <is>
          <t>OVS-13</t>
        </is>
      </c>
      <c r="B1230" s="11" t="inlineStr">
        <is>
          <t>About picker finds a person by part of a name or a whole email</t>
        </is>
      </c>
      <c r="C1230" s="11" t="n">
        <v>3</v>
      </c>
      <c r="D1230" s="11" t="inlineStr">
        <is>
          <t>With 'Data principal' selected, type Anj (three letters) in 'Name, email or mobile'.</t>
        </is>
      </c>
      <c r="E1230" s="11" t="inlineStr">
        <is>
          <t>A list opens under the box ('Looking…' briefly) and offers 'Anjali Verma' with 'subject@cmp.local' beneath it, both readable. Other people whose names contain those letters may also be offered.</t>
        </is>
      </c>
      <c r="F1230" s="16" t="n"/>
      <c r="G1230" s="16" t="n"/>
    </row>
    <row r="1231">
      <c r="A1231" s="10" t="inlineStr">
        <is>
          <t>OVS-13</t>
        </is>
      </c>
      <c r="B1231" s="11" t="inlineStr">
        <is>
          <t>About picker finds a person by part of a name or a whole email</t>
        </is>
      </c>
      <c r="C1231" s="11" t="n">
        <v>4</v>
      </c>
      <c r="D1231" s="11" t="inlineStr">
        <is>
          <t>Click 'Anjali Verma'.</t>
        </is>
      </c>
      <c r="E1231" s="11" t="inlineStr">
        <is>
          <t>The box clears. A chip 'Data principal Anjali Verma' appears under 'Filtered by', every row's 'About' column reads 'Anjali Verma', and the summary numbers change to her events only.</t>
        </is>
      </c>
      <c r="F1231" s="16" t="n"/>
      <c r="G1231" s="16" t="n"/>
    </row>
    <row r="1232">
      <c r="A1232" s="10" t="inlineStr">
        <is>
          <t>OVS-13</t>
        </is>
      </c>
      <c r="B1232" s="11" t="inlineStr">
        <is>
          <t>About picker finds a person by part of a name or a whole email</t>
        </is>
      </c>
      <c r="C1232" s="11" t="n">
        <v>5</v>
      </c>
      <c r="D1232" s="11" t="inlineStr">
        <is>
          <t>Remove the chip. Type the middle of her surname, Verm, and pick 'Anjali Verma' again.</t>
        </is>
      </c>
      <c r="E1232" s="11" t="inlineStr">
        <is>
          <t>She is offered and the same chip returns - part of a name anywhere in it works.</t>
        </is>
      </c>
      <c r="F1232" s="16" t="n"/>
      <c r="G1232" s="16" t="n"/>
    </row>
    <row r="1233">
      <c r="A1233" s="10" t="inlineStr">
        <is>
          <t>OVS-13</t>
        </is>
      </c>
      <c r="B1233" s="11" t="inlineStr">
        <is>
          <t>About picker finds a person by part of a name or a whole email</t>
        </is>
      </c>
      <c r="C1233" s="11" t="n">
        <v>6</v>
      </c>
      <c r="D1233" s="11" t="inlineStr">
        <is>
          <t>Remove the chip. Type her whole email subject@cmp.local.</t>
        </is>
      </c>
      <c r="E1233" s="11" t="inlineStr">
        <is>
          <t>'Anjali Verma' is offered; picking her gives the same chip.</t>
        </is>
      </c>
      <c r="F1233" s="16" t="n"/>
      <c r="G1233" s="16" t="n"/>
    </row>
    <row r="1234">
      <c r="A1234" s="10" t="inlineStr">
        <is>
          <t>OVS-13</t>
        </is>
      </c>
      <c r="B1234" s="11" t="inlineStr">
        <is>
          <t>About picker finds a person by part of a name or a whole email</t>
        </is>
      </c>
      <c r="C1234" s="11" t="n">
        <v>7</v>
      </c>
      <c r="D1234" s="11" t="inlineStr">
        <is>
          <t>Change 'About' to 'Member of staff' and type Priya, then pick 'Priya Menon'.</t>
        </is>
      </c>
      <c r="E1234" s="11" t="inlineStr">
        <is>
          <t>'Priya Menon' is offered with the hint 'dpo'. After picking, the Data principal chip is replaced by 'Actor Priya Menon' (the two are not stacked) and every row's Actor reads 'Priya Menon' with the 'DPO' badge.</t>
        </is>
      </c>
      <c r="F1234" s="16" t="n"/>
      <c r="G1234" s="16" t="n"/>
    </row>
    <row r="1235">
      <c r="A1235" s="10" t="inlineStr">
        <is>
          <t>OVS-13</t>
        </is>
      </c>
      <c r="B1235" s="11" t="inlineStr">
        <is>
          <t>About picker finds a person by part of a name or a whole email</t>
        </is>
      </c>
      <c r="C1235" s="11" t="n">
        <v>8</v>
      </c>
      <c r="D1235" s="11" t="inlineStr">
        <is>
          <t>Still on 'Member of staff', type the whole address dco@cmp.local and pick the answer.</t>
        </is>
      </c>
      <c r="E1235" s="11" t="inlineStr">
        <is>
          <t>'Arun Shetty' (hint 'dco') is offered; the chip becomes 'Actor Arun Shetty'.</t>
        </is>
      </c>
      <c r="F1235" s="16" t="n"/>
      <c r="G1235" s="16" t="n"/>
    </row>
    <row r="1236">
      <c r="A1236" s="10" t="inlineStr">
        <is>
          <t>OVS-13</t>
        </is>
      </c>
      <c r="B1236" s="11" t="inlineStr">
        <is>
          <t>About picker finds a person by part of a name or a whole email</t>
        </is>
      </c>
      <c r="C1236" s="11" t="n">
        <v>9</v>
      </c>
      <c r="D1236" s="11" t="inlineStr">
        <is>
          <t>Change 'About' to 'Project'.</t>
        </is>
      </c>
      <c r="E1236" s="11" t="inlineStr">
        <is>
          <t>The box label changes to 'Name' with the hint 'Type a few letters'. Typing part of a known project name offers matching projects with their status beneath; picking one gives a chip 'Project &lt;name&gt;'.</t>
        </is>
      </c>
      <c r="F1236" s="16" t="n"/>
      <c r="G1236" s="16" t="n"/>
    </row>
    <row r="1237">
      <c r="A1237" s="10" t="inlineStr">
        <is>
          <t>OVS-14</t>
        </is>
      </c>
      <c r="B1237" s="11" t="inlineStr">
        <is>
          <t>About picker does not match two letters or part of an email</t>
        </is>
      </c>
      <c r="C1237" s="11" t="n">
        <v>1</v>
      </c>
      <c r="D1237" s="11" t="inlineStr">
        <is>
          <t>Open http://localhost:3000. Type dpo@cmp.local in 'Email or username' and SeedPassw0rd!2026 in 'Password', click 'Sign in'. On the 'Verify it is you' page type the six-digit code the test coordinator relays into '6-digit code' and click 'Verify and continue'.</t>
        </is>
      </c>
      <c r="E1237" s="11" t="inlineStr">
        <is>
          <t>You land on the Dashboard with the heading 'Good day, Priya'. The top right of the header shows the person's name with the role badge 'DPO'.</t>
        </is>
      </c>
      <c r="F1237" s="16" t="n"/>
      <c r="G1237" s="16" t="n"/>
    </row>
    <row r="1238">
      <c r="A1238" s="10" t="inlineStr">
        <is>
          <t>OVS-14</t>
        </is>
      </c>
      <c r="B1238" s="11" t="inlineStr">
        <is>
          <t>About picker does not match two letters or part of an email</t>
        </is>
      </c>
      <c r="C1238" s="11" t="n">
        <v>2</v>
      </c>
      <c r="D1238" s="11" t="inlineStr">
        <is>
          <t>Click 'Audit trail'. With 'About' set to 'Data principal', type An (two letters) in 'Name, email or mobile'.</t>
        </is>
      </c>
      <c r="E1238" s="11" t="inlineStr">
        <is>
          <t>The list under the box says 'Nothing by that name.' No one is offered and no filter or chip is applied. (Two letters are too few; a name needs three or more. Note: the screen does not currently say 'type more letters' - record the wording you see.)</t>
        </is>
      </c>
      <c r="F1238" s="16" t="n"/>
      <c r="G1238" s="16" t="n"/>
    </row>
    <row r="1239">
      <c r="A1239" s="10" t="inlineStr">
        <is>
          <t>OVS-14</t>
        </is>
      </c>
      <c r="B1239" s="11" t="inlineStr">
        <is>
          <t>About picker does not match two letters or part of an email</t>
        </is>
      </c>
      <c r="C1239" s="11" t="n">
        <v>3</v>
      </c>
      <c r="D1239" s="11" t="inlineStr">
        <is>
          <t>Add one letter so the box reads Anj.</t>
        </is>
      </c>
      <c r="E1239" s="11" t="inlineStr">
        <is>
          <t>'Anjali Verma' is now offered - the control case works.</t>
        </is>
      </c>
      <c r="F1239" s="16" t="n"/>
      <c r="G1239" s="16" t="n"/>
    </row>
    <row r="1240">
      <c r="A1240" s="10" t="inlineStr">
        <is>
          <t>OVS-14</t>
        </is>
      </c>
      <c r="B1240" s="11" t="inlineStr">
        <is>
          <t>About picker does not match two letters or part of an email</t>
        </is>
      </c>
      <c r="C1240" s="11" t="n">
        <v>4</v>
      </c>
      <c r="D1240" s="11" t="inlineStr">
        <is>
          <t>Clear the box and type part of her email: subject@cmp</t>
        </is>
      </c>
      <c r="E1240" s="11" t="inlineStr">
        <is>
          <t>'Nothing by that name.' - an email or mobile must be typed whole.</t>
        </is>
      </c>
      <c r="F1240" s="16" t="n"/>
      <c r="G1240" s="16" t="n"/>
    </row>
    <row r="1241">
      <c r="A1241" s="10" t="inlineStr">
        <is>
          <t>OVS-14</t>
        </is>
      </c>
      <c r="B1241" s="11" t="inlineStr">
        <is>
          <t>About picker does not match two letters or part of an email</t>
        </is>
      </c>
      <c r="C1241" s="11" t="n">
        <v>5</v>
      </c>
      <c r="D1241" s="11" t="inlineStr">
        <is>
          <t>Change 'About' to 'Member of staff' and type Pr.</t>
        </is>
      </c>
      <c r="E1241" s="11" t="inlineStr">
        <is>
          <t>'Nothing by that name.'</t>
        </is>
      </c>
      <c r="F1241" s="16" t="n"/>
      <c r="G1241" s="16" t="n"/>
    </row>
    <row r="1242">
      <c r="A1242" s="10" t="inlineStr">
        <is>
          <t>OVS-14</t>
        </is>
      </c>
      <c r="B1242" s="11" t="inlineStr">
        <is>
          <t>About picker does not match two letters or part of an email</t>
        </is>
      </c>
      <c r="C1242" s="11" t="n">
        <v>6</v>
      </c>
      <c r="D1242" s="11" t="inlineStr">
        <is>
          <t>Clear the About box. Set 'From' to 21 September 2026, type Anjali in 'Search' and click 'Search'.</t>
        </is>
      </c>
      <c r="E1242" s="11" t="inlineStr">
        <is>
          <t>No entry is found by her name through 'Search' ('Nothing matches these filters' / 'Widen the question: remove a filter, or extend the dates.'), because Search reads event names and recorded details, which carry no names. Use About to find a person.</t>
        </is>
      </c>
      <c r="F1242" s="16" t="n"/>
      <c r="G1242" s="16" t="n"/>
    </row>
    <row r="1243">
      <c r="A1243" s="10" t="inlineStr">
        <is>
          <t>OVS-15</t>
        </is>
      </c>
      <c r="B1243" s="11" t="inlineStr">
        <is>
          <t>Summary strip, opening an entry and verifying the chain</t>
        </is>
      </c>
      <c r="C1243" s="11" t="n">
        <v>1</v>
      </c>
      <c r="D1243" s="11" t="inlineStr">
        <is>
          <t>Open http://localhost:3000. Type dpo@cmp.local in 'Email or username' and SeedPassw0rd!2026 in 'Password', click 'Sign in'. On the 'Verify it is you' page type the six-digit code the test coordinator relays into '6-digit code' and click 'Verify and continue'.</t>
        </is>
      </c>
      <c r="E1243" s="11" t="inlineStr">
        <is>
          <t>You land on the Dashboard with the heading 'Good day, Priya'. The top right of the header shows the person's name with the role badge 'DPO'.</t>
        </is>
      </c>
      <c r="F1243" s="16" t="n"/>
      <c r="G1243" s="16" t="n"/>
    </row>
    <row r="1244">
      <c r="A1244" s="10" t="inlineStr">
        <is>
          <t>OVS-15</t>
        </is>
      </c>
      <c r="B1244" s="11" t="inlineStr">
        <is>
          <t>Summary strip, opening an entry and verifying the chain</t>
        </is>
      </c>
      <c r="C1244" s="11" t="n">
        <v>2</v>
      </c>
      <c r="D1244" s="11" t="inlineStr">
        <is>
          <t>Click 'Audit trail' and look at the summary card above the table (no filters set).</t>
        </is>
      </c>
      <c r="E1244" s="11" t="inlineStr">
        <is>
          <t>It shows 'Entries' (a number), 'Span' ('&lt;date&gt; to &lt;date&gt;'), 'Most common event' ('&lt;Area&gt;: &lt;Event&gt; (&lt;count&gt;)') and 'Areas touched' (a number), and four panels: 'By area', 'Top events', 'By actor role' and 'Last 30 days · &lt;n&gt; entries', each with bars and numbers.</t>
        </is>
      </c>
      <c r="F1244" s="16" t="n"/>
      <c r="G1244" s="16" t="n"/>
    </row>
    <row r="1245">
      <c r="A1245" s="10" t="inlineStr">
        <is>
          <t>OVS-15</t>
        </is>
      </c>
      <c r="B1245" s="11" t="inlineStr">
        <is>
          <t>Summary strip, opening an entry and verifying the chain</t>
        </is>
      </c>
      <c r="C1245" s="11" t="n">
        <v>3</v>
      </c>
      <c r="D1245" s="11" t="inlineStr">
        <is>
          <t>Compare 'Entries' with the line under the table.</t>
        </is>
      </c>
      <c r="E1245" s="11" t="inlineStr">
        <is>
          <t>'Showing 50 of &lt;total&gt;' - the total equals 'Entries'.</t>
        </is>
      </c>
      <c r="F1245" s="16" t="n"/>
      <c r="G1245" s="16" t="n"/>
    </row>
    <row r="1246">
      <c r="A1246" s="10" t="inlineStr">
        <is>
          <t>OVS-15</t>
        </is>
      </c>
      <c r="B1246" s="11" t="inlineStr">
        <is>
          <t>Summary strip, opening an entry and verifying the chain</t>
        </is>
      </c>
      <c r="C1246" s="11" t="n">
        <v>4</v>
      </c>
      <c r="D1246" s="11" t="inlineStr">
        <is>
          <t>In 'Area' choose 'Consent'.</t>
        </is>
      </c>
      <c r="E1246" s="11" t="inlineStr">
        <is>
          <t>The summary recalculates: 'Areas touched' is 1, 'By area' lists only 'Consent', and 'Entries' again equals the '&lt;total&gt;' under the table.</t>
        </is>
      </c>
      <c r="F1246" s="16" t="n"/>
      <c r="G1246" s="16" t="n"/>
    </row>
    <row r="1247">
      <c r="A1247" s="10" t="inlineStr">
        <is>
          <t>OVS-15</t>
        </is>
      </c>
      <c r="B1247" s="11" t="inlineStr">
        <is>
          <t>Summary strip, opening an entry and verifying the chain</t>
        </is>
      </c>
      <c r="C1247" s="11" t="n">
        <v>5</v>
      </c>
      <c r="D1247" s="11" t="inlineStr">
        <is>
          <t>Click any row in the table.</t>
        </is>
      </c>
      <c r="E1247" s="11" t="inlineStr">
        <is>
          <t>A dialog opens titled with the event name (e.g. 'Consent given') and shows 'What', 'When', 'Who' (a name with role badge, or 'the system — no signed-in user'), 'About' (when a person is concerned), 'Event' (a code such as consent.given) and 'Record' (a long id); a 'Recorded details' list; the note 'This entry is append-only and part of a hash chain. Nobody — including the Privacy Office — can edit or delete it; the database refuses the statement.' There is no Edit or Delete button.</t>
        </is>
      </c>
      <c r="F1247" s="16" t="n"/>
      <c r="G1247" s="16" t="n"/>
    </row>
    <row r="1248">
      <c r="A1248" s="10" t="inlineStr">
        <is>
          <t>OVS-15</t>
        </is>
      </c>
      <c r="B1248" s="11" t="inlineStr">
        <is>
          <t>Summary strip, opening an entry and verifying the chain</t>
        </is>
      </c>
      <c r="C1248" s="11" t="n">
        <v>6</v>
      </c>
      <c r="D1248" s="11" t="inlineStr">
        <is>
          <t>Click 'Show raw JSON', then 'Show as a list'.</t>
        </is>
      </c>
      <c r="E1248" s="11" t="inlineStr">
        <is>
          <t>The details switch to raw JSON text and back to the labelled list.</t>
        </is>
      </c>
      <c r="F1248" s="16" t="n"/>
      <c r="G1248" s="16" t="n"/>
    </row>
    <row r="1249">
      <c r="A1249" s="10" t="inlineStr">
        <is>
          <t>OVS-15</t>
        </is>
      </c>
      <c r="B1249" s="11" t="inlineStr">
        <is>
          <t>Summary strip, opening an entry and verifying the chain</t>
        </is>
      </c>
      <c r="C1249" s="11" t="n">
        <v>7</v>
      </c>
      <c r="D1249" s="11" t="inlineStr">
        <is>
          <t>Click 'Open consent record' in the dialog.</t>
        </is>
      </c>
      <c r="E1249" s="11" t="inlineStr">
        <is>
          <t>The consent record page opens. Use Back to return to the filtered audit trail.</t>
        </is>
      </c>
      <c r="F1249" s="16" t="n"/>
      <c r="G1249" s="16" t="n"/>
    </row>
    <row r="1250">
      <c r="A1250" s="10" t="inlineStr">
        <is>
          <t>OVS-15</t>
        </is>
      </c>
      <c r="B1250" s="11" t="inlineStr">
        <is>
          <t>Summary strip, opening an entry and verifying the chain</t>
        </is>
      </c>
      <c r="C1250" s="11" t="n">
        <v>8</v>
      </c>
      <c r="D1250" s="11" t="inlineStr">
        <is>
          <t>Click 'Verify chain' at the top right.</t>
        </is>
      </c>
      <c r="E1250" s="11" t="inlineStr">
        <is>
          <t>A green box titled 'Chain intact' appears reading 'Chain intact across &lt;n&gt; rows.' (A red 'Chain broken' box is a defect to report immediately.)</t>
        </is>
      </c>
      <c r="F1250" s="16" t="n"/>
      <c r="G1250" s="16" t="n"/>
    </row>
    <row r="1251">
      <c r="A1251" s="10" t="inlineStr">
        <is>
          <t>OVS-16</t>
        </is>
      </c>
      <c r="B1251" s="11" t="inlineStr">
        <is>
          <t>Export CSV downloads the filtered rows and the export is itself recorded</t>
        </is>
      </c>
      <c r="C1251" s="11" t="n">
        <v>1</v>
      </c>
      <c r="D1251" s="11" t="inlineStr">
        <is>
          <t>Open http://localhost:3000. Type dpo@cmp.local in 'Email or username' and SeedPassw0rd!2026 in 'Password', click 'Sign in'. On the 'Verify it is you' page type the six-digit code the test coordinator relays into '6-digit code' and click 'Verify and continue'.</t>
        </is>
      </c>
      <c r="E1251" s="11" t="inlineStr">
        <is>
          <t>You land on the Dashboard with the heading 'Good day, Priya'. The top right of the header shows the person's name with the role badge 'DPO'.</t>
        </is>
      </c>
      <c r="F1251" s="16" t="n"/>
      <c r="G1251" s="16" t="n"/>
    </row>
    <row r="1252">
      <c r="A1252" s="10" t="inlineStr">
        <is>
          <t>OVS-16</t>
        </is>
      </c>
      <c r="B1252" s="11" t="inlineStr">
        <is>
          <t>Export CSV downloads the filtered rows and the export is itself recorded</t>
        </is>
      </c>
      <c r="C1252" s="11" t="n">
        <v>2</v>
      </c>
      <c r="D1252" s="11" t="inlineStr">
        <is>
          <t>Click 'Audit trail', choose 'Consent' in 'Area' and note the 'Entries' number in the summary.</t>
        </is>
      </c>
      <c r="E1252" s="11" t="inlineStr">
        <is>
          <t>Chip 'Area Consent'; the rows are consent events only.</t>
        </is>
      </c>
      <c r="F1252" s="16" t="n"/>
      <c r="G1252" s="16" t="n"/>
    </row>
    <row r="1253">
      <c r="A1253" s="10" t="inlineStr">
        <is>
          <t>OVS-16</t>
        </is>
      </c>
      <c r="B1253" s="11" t="inlineStr">
        <is>
          <t>Export CSV downloads the filtered rows and the export is itself recorded</t>
        </is>
      </c>
      <c r="C1253" s="11" t="n">
        <v>3</v>
      </c>
      <c r="D1253" s="11" t="inlineStr">
        <is>
          <t>Click 'Export CSV'.</t>
        </is>
      </c>
      <c r="E1253" s="11" t="inlineStr">
        <is>
          <t>A message 'Audit trail exported' appears with '&lt;audit-trail-YYYYMMDD-HHMM.csv&gt; - the download is itself recorded in the trail.' A file with that name is saved to the browser's downloads.</t>
        </is>
      </c>
      <c r="F1253" s="16" t="n"/>
      <c r="G1253" s="16" t="n"/>
    </row>
    <row r="1254">
      <c r="A1254" s="10" t="inlineStr">
        <is>
          <t>OVS-16</t>
        </is>
      </c>
      <c r="B1254" s="11" t="inlineStr">
        <is>
          <t>Export CSV downloads the filtered rows and the export is itself recorded</t>
        </is>
      </c>
      <c r="C1254" s="11" t="n">
        <v>4</v>
      </c>
      <c r="D1254" s="11" t="inlineStr">
        <is>
          <t>Open the file.</t>
        </is>
      </c>
      <c r="E1254" s="11" t="inlineStr">
        <is>
          <t>The first row holds the column names occurred_at, event_type, actor_name, actor_role, subject_name, entity_type, entity_id, entity_label, detail, log_uuid. Rows are newest first, every event_type starts 'consent.', and the number of data rows equals the 'Entries' number (up to 10,000).</t>
        </is>
      </c>
      <c r="F1254" s="16" t="n"/>
      <c r="G1254" s="16" t="n"/>
    </row>
    <row r="1255">
      <c r="A1255" s="10" t="inlineStr">
        <is>
          <t>OVS-16</t>
        </is>
      </c>
      <c r="B1255" s="11" t="inlineStr">
        <is>
          <t>Export CSV downloads the filtered rows and the export is itself recorded</t>
        </is>
      </c>
      <c r="C1255" s="11" t="n">
        <v>5</v>
      </c>
      <c r="D1255" s="11" t="inlineStr">
        <is>
          <t>Search the file for '@', for a mobile number and for '127.0.0.1'.</t>
        </is>
      </c>
      <c r="E1255" s="11" t="inlineStr">
        <is>
          <t>No email address, mobile number or IP address appears anywhere in the file.</t>
        </is>
      </c>
      <c r="F1255" s="16" t="n"/>
      <c r="G1255" s="16" t="n"/>
    </row>
    <row r="1256">
      <c r="A1256" s="10" t="inlineStr">
        <is>
          <t>OVS-16</t>
        </is>
      </c>
      <c r="B1256" s="11" t="inlineStr">
        <is>
          <t>Export CSV downloads the filtered rows and the export is itself recorded</t>
        </is>
      </c>
      <c r="C1256" s="11" t="n">
        <v>6</v>
      </c>
      <c r="D1256" s="11" t="inlineStr">
        <is>
          <t>Look at the actor_name and subject_name columns.</t>
        </is>
      </c>
      <c r="E1256" s="11" t="inlineStr">
        <is>
          <t>Names are readable (e.g. 'Anjali Verma') or blank; no cell starts with 'SE::'. If scrambled 'SE::...' text appears, record a defect quoting one cell.</t>
        </is>
      </c>
      <c r="F1256" s="16" t="n"/>
      <c r="G1256" s="16" t="n"/>
    </row>
    <row r="1257">
      <c r="A1257" s="10" t="inlineStr">
        <is>
          <t>OVS-16</t>
        </is>
      </c>
      <c r="B1257" s="11" t="inlineStr">
        <is>
          <t>Export CSV downloads the filtered rows and the export is itself recorded</t>
        </is>
      </c>
      <c r="C1257" s="11" t="n">
        <v>7</v>
      </c>
      <c r="D1257" s="11" t="inlineStr">
        <is>
          <t>Back in the console click 'Clear all' (or remove the chip), then choose Area 'Audit trail' and Event 'Exported'.</t>
        </is>
      </c>
      <c r="E1257" s="11" t="inlineStr">
        <is>
          <t>The newest row is 'Audit exported' by 'Priya Menon' with the 'DPO' badge, timed at the moment of the download.</t>
        </is>
      </c>
      <c r="F1257" s="16" t="n"/>
      <c r="G1257" s="16" t="n"/>
    </row>
    <row r="1258">
      <c r="A1258" s="10" t="inlineStr">
        <is>
          <t>OVS-16</t>
        </is>
      </c>
      <c r="B1258" s="11" t="inlineStr">
        <is>
          <t>Export CSV downloads the filtered rows and the export is itself recorded</t>
        </is>
      </c>
      <c r="C1258" s="11" t="n">
        <v>8</v>
      </c>
      <c r="D1258" s="11" t="inlineStr">
        <is>
          <t>Click that row.</t>
        </is>
      </c>
      <c r="E1258" s="11" t="inlineStr">
        <is>
          <t>The dialog 'Audit exported' shows 'Who' Priya Menon and, under 'Recorded details', 'Rows' equal to the file's data rows and 'Filters' showing the filter used (event_group consent). 'What' shows 'audit_log#0' with the words 'no longer exists' - the export is recorded against the trail itself, which has no page of its own (note this wording as an observation, not a failure).</t>
        </is>
      </c>
      <c r="F1258" s="16" t="n"/>
      <c r="G1258" s="16" t="n"/>
    </row>
    <row r="1259">
      <c r="A1259" s="10" t="inlineStr">
        <is>
          <t>OVS-17</t>
        </is>
      </c>
      <c r="B1259" s="11" t="inlineStr">
        <is>
          <t>'Audit trail' button on a record page opens the trail pre-filtered; absent for other roles</t>
        </is>
      </c>
      <c r="C1259" s="11" t="n">
        <v>1</v>
      </c>
      <c r="D1259" s="11" t="inlineStr">
        <is>
          <t>Open http://localhost:3000. Type dpo@cmp.local in 'Email or username' and SeedPassw0rd!2026 in 'Password', click 'Sign in'. On the 'Verify it is you' page type the six-digit code the test coordinator relays into '6-digit code' and click 'Verify and continue'.</t>
        </is>
      </c>
      <c r="E1259" s="11" t="inlineStr">
        <is>
          <t>You land on the Dashboard with the heading 'Good day, Priya'. The top right of the header shows the person's name with the role badge 'DPO'.</t>
        </is>
      </c>
      <c r="F1259" s="16" t="n"/>
      <c r="G1259" s="16" t="n"/>
    </row>
    <row r="1260">
      <c r="A1260" s="10" t="inlineStr">
        <is>
          <t>OVS-17</t>
        </is>
      </c>
      <c r="B1260" s="11" t="inlineStr">
        <is>
          <t>'Audit trail' button on a record page opens the trail pre-filtered; absent for other roles</t>
        </is>
      </c>
      <c r="C1260" s="11" t="n">
        <v>2</v>
      </c>
      <c r="D1260" s="11" t="inlineStr">
        <is>
          <t>Click 'Consents' and click a person's name in the 'Data subject' column (e.g. Anjali Verma).</t>
        </is>
      </c>
      <c r="E1260" s="11" t="inlineStr">
        <is>
          <t>The consent record opens, headed with the person's readable name, '&lt;project&gt; · &lt;site&gt;' underneath, a status badge and an 'Audit trail' button at the top right.</t>
        </is>
      </c>
      <c r="F1260" s="16" t="n"/>
      <c r="G1260" s="16" t="n"/>
    </row>
    <row r="1261">
      <c r="A1261" s="10" t="inlineStr">
        <is>
          <t>OVS-17</t>
        </is>
      </c>
      <c r="B1261" s="11" t="inlineStr">
        <is>
          <t>'Audit trail' button on a record page opens the trail pre-filtered; absent for other roles</t>
        </is>
      </c>
      <c r="C1261" s="11" t="n">
        <v>3</v>
      </c>
      <c r="D1261" s="11" t="inlineStr">
        <is>
          <t>Click 'Audit trail'. Copy the address bar for OVS-08.</t>
        </is>
      </c>
      <c r="E1261" s="11" t="inlineStr">
        <is>
          <t>The Audit trail page opens with the chip 'Consent record &lt;name&gt; — &lt;project&gt;'. The rows are only events on that record (e.g. 'Consent given'); each Record cell reads 'Consent record: &lt;name&gt; — &lt;project&gt;'; the summary counts only them.</t>
        </is>
      </c>
      <c r="F1261" s="16" t="n"/>
      <c r="G1261" s="16" t="n"/>
    </row>
    <row r="1262">
      <c r="A1262" s="10" t="inlineStr">
        <is>
          <t>OVS-17</t>
        </is>
      </c>
      <c r="B1262" s="11" t="inlineStr">
        <is>
          <t>'Audit trail' button on a record page opens the trail pre-filtered; absent for other roles</t>
        </is>
      </c>
      <c r="C1262" s="11" t="n">
        <v>4</v>
      </c>
      <c r="D1262" s="11" t="inlineStr">
        <is>
          <t>Click 'Projects', open any project and click its 'Audit trail' button (next to the status badge).</t>
        </is>
      </c>
      <c r="E1262" s="11" t="inlineStr">
        <is>
          <t>The trail opens with the chip 'Project &lt;project name&gt;' and events such as 'Project created' or 'Project transitioned'.</t>
        </is>
      </c>
      <c r="F1262" s="16" t="n"/>
      <c r="G1262" s="16" t="n"/>
    </row>
    <row r="1263">
      <c r="A1263" s="10" t="inlineStr">
        <is>
          <t>OVS-17</t>
        </is>
      </c>
      <c r="B1263" s="11" t="inlineStr">
        <is>
          <t>'Audit trail' button on a record page opens the trail pre-filtered; absent for other roles</t>
        </is>
      </c>
      <c r="C1263" s="11" t="n">
        <v>5</v>
      </c>
      <c r="D1263" s="11" t="inlineStr">
        <is>
          <t>Click 'Notices', open a notice and click 'Audit trail'.</t>
        </is>
      </c>
      <c r="E1263" s="11" t="inlineStr">
        <is>
          <t>The trail opens with the chip 'Notice &lt;code&gt; v&lt;version&gt;'.</t>
        </is>
      </c>
      <c r="F1263" s="16" t="n"/>
      <c r="G1263" s="16" t="n"/>
    </row>
    <row r="1264">
      <c r="A1264" s="10" t="inlineStr">
        <is>
          <t>OVS-17</t>
        </is>
      </c>
      <c r="B1264" s="11" t="inlineStr">
        <is>
          <t>'Audit trail' button on a record page opens the trail pre-filtered; absent for other roles</t>
        </is>
      </c>
      <c r="C1264" s="11" t="n">
        <v>6</v>
      </c>
      <c r="D1264" s="11" t="inlineStr">
        <is>
          <t>Click 'Rights requests', open a request by its 'Reference' and click 'Audit trail'.</t>
        </is>
      </c>
      <c r="E1264" s="11" t="inlineStr">
        <is>
          <t>The trail opens with the chip 'Rights request &lt;reference&gt;'.</t>
        </is>
      </c>
      <c r="F1264" s="16" t="n"/>
      <c r="G1264" s="16" t="n"/>
    </row>
    <row r="1265">
      <c r="A1265" s="10" t="inlineStr">
        <is>
          <t>OVS-17</t>
        </is>
      </c>
      <c r="B1265" s="11" t="inlineStr">
        <is>
          <t>'Audit trail' button on a record page opens the trail pre-filtered; absent for other roles</t>
        </is>
      </c>
      <c r="C1265" s="11" t="n">
        <v>7</v>
      </c>
      <c r="D1265" s="11" t="inlineStr">
        <is>
          <t>Click 'Sign out' at the bottom of the sidebar. Then sign in again as dco@cmp.local (password SeedPassw0rd!2026, code from the coordinator, 'Verify and continue').</t>
        </is>
      </c>
      <c r="E1265" s="11" t="inlineStr">
        <is>
          <t>The Dashboard opens with the heading 'Good day, Arun' and the role badge 'Data Collection Owner'.</t>
        </is>
      </c>
      <c r="F1265" s="16" t="n"/>
      <c r="G1265" s="16" t="n"/>
    </row>
    <row r="1266">
      <c r="A1266" s="10" t="inlineStr">
        <is>
          <t>OVS-17</t>
        </is>
      </c>
      <c r="B1266" s="11" t="inlineStr">
        <is>
          <t>'Audit trail' button on a record page opens the trail pre-filtered; absent for other roles</t>
        </is>
      </c>
      <c r="C1266" s="11" t="n">
        <v>8</v>
      </c>
      <c r="D1266" s="11" t="inlineStr">
        <is>
          <t>Click 'Consents', open a record, then open a project from 'My projects'.</t>
        </is>
      </c>
      <c r="E1266" s="11" t="inlineStr">
        <is>
          <t>Both pages open, but neither shows an 'Audit trail' button (a DCO has no audit section).</t>
        </is>
      </c>
      <c r="F1266" s="16" t="n"/>
      <c r="G1266" s="16" t="n"/>
    </row>
    <row r="1267">
      <c r="A1267" s="10" t="inlineStr">
        <is>
          <t>OVS-17</t>
        </is>
      </c>
      <c r="B1267" s="11" t="inlineStr">
        <is>
          <t>'Audit trail' button on a record page opens the trail pre-filtered; absent for other roles</t>
        </is>
      </c>
      <c r="C1267" s="11" t="n">
        <v>9</v>
      </c>
      <c r="D1267" s="11" t="inlineStr">
        <is>
          <t>Sign out, sign in as rnd@cmp.local and open one of Kavya's projects.</t>
        </is>
      </c>
      <c r="E1267" s="11" t="inlineStr">
        <is>
          <t>The project page has no 'Audit trail' button.</t>
        </is>
      </c>
      <c r="F1267" s="16" t="n"/>
      <c r="G1267" s="16" t="n"/>
    </row>
    <row r="1268">
      <c r="A1268" s="10" t="inlineStr">
        <is>
          <t>OVS-18</t>
        </is>
      </c>
      <c r="B1268" s="11" t="inlineStr">
        <is>
          <t>The audit trail carries no personal words - reasons flagged, addresses hashed</t>
        </is>
      </c>
      <c r="C1268" s="11" t="n">
        <v>1</v>
      </c>
      <c r="D1268" s="11" t="inlineStr">
        <is>
          <t>Open http://localhost:3000. Type dpo@cmp.local in 'Email or username' and SeedPassw0rd!2026 in 'Password', click 'Sign in'. On the 'Verify it is you' page type the six-digit code the test coordinator relays into '6-digit code' and click 'Verify and continue'.</t>
        </is>
      </c>
      <c r="E1268" s="11" t="inlineStr">
        <is>
          <t>You land on the Dashboard with the heading 'Good day, Priya'. The top right of the header shows the person's name with the role badge 'DPO'.</t>
        </is>
      </c>
      <c r="F1268" s="16" t="n"/>
      <c r="G1268" s="16" t="n"/>
    </row>
    <row r="1269">
      <c r="A1269" s="10" t="inlineStr">
        <is>
          <t>OVS-18</t>
        </is>
      </c>
      <c r="B1269" s="11" t="inlineStr">
        <is>
          <t>The audit trail carries no personal words - reasons flagged, addresses hashed</t>
        </is>
      </c>
      <c r="C1269" s="11" t="n">
        <v>2</v>
      </c>
      <c r="D1269" s="11" t="inlineStr">
        <is>
          <t>Click 'Audit trail' and set 'From' to 21 September 2026. Look at the table columns.</t>
        </is>
      </c>
      <c r="E1269" s="11" t="inlineStr">
        <is>
          <t>The columns are 'When', 'Event', 'Actor', 'About', 'Record' - there is no IP address column.</t>
        </is>
      </c>
      <c r="F1269" s="16" t="n"/>
      <c r="G1269" s="16" t="n"/>
    </row>
    <row r="1270">
      <c r="A1270" s="10" t="inlineStr">
        <is>
          <t>OVS-18</t>
        </is>
      </c>
      <c r="B1270" s="11" t="inlineStr">
        <is>
          <t>The audit trail carries no personal words - reasons flagged, addresses hashed</t>
        </is>
      </c>
      <c r="C1270" s="11" t="n">
        <v>3</v>
      </c>
      <c r="D1270" s="11" t="inlineStr">
        <is>
          <t>Choose Area 'Projects', Event 'Transitioned', and click the newest row.</t>
        </is>
      </c>
      <c r="E1270" s="11" t="inlineStr">
        <is>
          <t>'Recorded details' lists 'From', 'To', 'Reason given' (a 'yes' or 'no' badge) and 'Published notice'. The words of any reason are not shown anywhere in the dialog.</t>
        </is>
      </c>
      <c r="F1270" s="16" t="n"/>
      <c r="G1270" s="16" t="n"/>
    </row>
    <row r="1271">
      <c r="A1271" s="10" t="inlineStr">
        <is>
          <t>OVS-18</t>
        </is>
      </c>
      <c r="B1271" s="11" t="inlineStr">
        <is>
          <t>The audit trail carries no personal words - reasons flagged, addresses hashed</t>
        </is>
      </c>
      <c r="C1271" s="11" t="n">
        <v>4</v>
      </c>
      <c r="D1271" s="11" t="inlineStr">
        <is>
          <t>Click 'Show raw JSON' and read it.</t>
        </is>
      </c>
      <c r="E1271" s="11" t="inlineStr">
        <is>
          <t>It shows "reason_given": true or false - no free-text reason. If an "ip" line is present its value is a long string of letters and digits (a keyed hash), never an address like 127.0.0.1 or 192.168.x.x. Close the dialog.</t>
        </is>
      </c>
      <c r="F1271" s="16" t="n"/>
      <c r="G1271" s="16" t="n"/>
    </row>
    <row r="1272">
      <c r="A1272" s="10" t="inlineStr">
        <is>
          <t>OVS-18</t>
        </is>
      </c>
      <c r="B1272" s="11" t="inlineStr">
        <is>
          <t>The audit trail carries no personal words - reasons flagged, addresses hashed</t>
        </is>
      </c>
      <c r="C1272" s="11" t="n">
        <v>5</v>
      </c>
      <c r="D1272" s="11" t="inlineStr">
        <is>
          <t>Change to Area 'Accounts', Event 'Invited', and open the newest row; click 'Show raw JSON'.</t>
        </is>
      </c>
      <c r="E1272" s="11" t="inlineStr">
        <is>
          <t>No email address appears in the details; the person is identified only through 'Who' / 'About' and the record link.</t>
        </is>
      </c>
      <c r="F1272" s="16" t="n"/>
      <c r="G1272" s="16" t="n"/>
    </row>
    <row r="1273">
      <c r="A1273" s="10" t="inlineStr">
        <is>
          <t>OVS-18</t>
        </is>
      </c>
      <c r="B1273" s="11" t="inlineStr">
        <is>
          <t>The audit trail carries no personal words - reasons flagged, addresses hashed</t>
        </is>
      </c>
      <c r="C1273" s="11" t="n">
        <v>6</v>
      </c>
      <c r="D1273" s="11" t="inlineStr">
        <is>
          <t>Clear the Area and Event filters (keep From). Type 127.0.0.1 in 'Search' and click 'Search'.</t>
        </is>
      </c>
      <c r="E1273" s="11" t="inlineStr">
        <is>
          <t>'Nothing matches these filters'.</t>
        </is>
      </c>
      <c r="F1273" s="16" t="n"/>
      <c r="G1273" s="16" t="n"/>
    </row>
    <row r="1274">
      <c r="A1274" s="10" t="inlineStr">
        <is>
          <t>OVS-18</t>
        </is>
      </c>
      <c r="B1274" s="11" t="inlineStr">
        <is>
          <t>The audit trail carries no personal words - reasons flagged, addresses hashed</t>
        </is>
      </c>
      <c r="C1274" s="11" t="n">
        <v>7</v>
      </c>
      <c r="D1274" s="11" t="inlineStr">
        <is>
          <t>Search for subject@cmp.local, then for @cmp.local.</t>
        </is>
      </c>
      <c r="E1274" s="11" t="inlineStr">
        <is>
          <t>'Nothing matches these filters' both times - no contact is written into the trail.</t>
        </is>
      </c>
      <c r="F1274" s="16" t="n"/>
      <c r="G1274" s="16" t="n"/>
    </row>
    <row r="1275">
      <c r="A1275" s="10" t="inlineStr">
        <is>
          <t>OVS-18</t>
        </is>
      </c>
      <c r="B1275" s="11" t="inlineStr">
        <is>
          <t>The audit trail carries no personal words - reasons flagged, addresses hashed</t>
        </is>
      </c>
      <c r="C1275" s="11" t="n">
        <v>8</v>
      </c>
      <c r="D1275" s="11" t="inlineStr">
        <is>
          <t>If entries exist, choose Area 'Delegation', Event 'Granted', open the newest row and click 'Open cover arrangement'.</t>
        </is>
      </c>
      <c r="E1275" s="11" t="inlineStr">
        <is>
          <t>The details show 'Reason given' yes/no and no reason text. The button opens the 'Delegations' page. If it shows 'We can't find that page', record a defect.</t>
        </is>
      </c>
      <c r="F1275" s="16" t="n"/>
      <c r="G1275" s="16" t="n"/>
    </row>
    <row r="1276">
      <c r="A1276" s="10" t="inlineStr">
        <is>
          <t>OVS-19</t>
        </is>
      </c>
      <c r="B1276" s="11" t="inlineStr">
        <is>
          <t>Personal data is never shown as scrambled 'SE::' text on staff screens</t>
        </is>
      </c>
      <c r="C1276" s="11" t="n">
        <v>1</v>
      </c>
      <c r="D1276" s="11" t="inlineStr">
        <is>
          <t>Open http://localhost:3000. Type dpo@cmp.local in 'Email or username' and SeedPassw0rd!2026 in 'Password', click 'Sign in'. On the 'Verify it is you' page type the six-digit code the test coordinator relays into '6-digit code' and click 'Verify and continue'.</t>
        </is>
      </c>
      <c r="E1276" s="11" t="inlineStr">
        <is>
          <t>You land on the Dashboard with the heading 'Good day, Priya'. The top right of the header shows the person's name with the role badge 'DPO'.</t>
        </is>
      </c>
      <c r="F1276" s="16" t="n"/>
      <c r="G1276" s="16" t="n"/>
    </row>
    <row r="1277">
      <c r="A1277" s="10" t="inlineStr">
        <is>
          <t>OVS-19</t>
        </is>
      </c>
      <c r="B1277" s="11" t="inlineStr">
        <is>
          <t>Personal data is never shown as scrambled 'SE::' text on staff screens</t>
        </is>
      </c>
      <c r="C1277" s="11" t="n">
        <v>2</v>
      </c>
      <c r="D1277" s="11" t="inlineStr">
        <is>
          <t>Click 'Users' and read the 'Name' column (wait for the table to finish loading).</t>
        </is>
      </c>
      <c r="E1277" s="11" t="inlineStr">
        <is>
          <t>Every name is readable (e.g. 'Priya Menon', 'Anjali Verma'); no text starting 'SE::' appears anywhere on the page.</t>
        </is>
      </c>
      <c r="F1277" s="16" t="n"/>
      <c r="G1277" s="16" t="n"/>
    </row>
    <row r="1278">
      <c r="A1278" s="10" t="inlineStr">
        <is>
          <t>OVS-19</t>
        </is>
      </c>
      <c r="B1278" s="11" t="inlineStr">
        <is>
          <t>Personal data is never shown as scrambled 'SE::' text on staff screens</t>
        </is>
      </c>
      <c r="C1278" s="11" t="n">
        <v>3</v>
      </c>
      <c r="D1278" s="11" t="inlineStr">
        <is>
          <t>Click 'Consents' and read the 'Data subject' column, including the email shown under each name.</t>
        </is>
      </c>
      <c r="E1278" s="11" t="inlineStr">
        <is>
          <t>Names and emails are readable; no 'SE::' text.</t>
        </is>
      </c>
      <c r="F1278" s="16" t="n"/>
      <c r="G1278" s="16" t="n"/>
    </row>
    <row r="1279">
      <c r="A1279" s="10" t="inlineStr">
        <is>
          <t>OVS-19</t>
        </is>
      </c>
      <c r="B1279" s="11" t="inlineStr">
        <is>
          <t>Personal data is never shown as scrambled 'SE::' text on staff screens</t>
        </is>
      </c>
      <c r="C1279" s="11" t="n">
        <v>4</v>
      </c>
      <c r="D1279" s="11" t="inlineStr">
        <is>
          <t>Click 'Rights requests' and read the 'Who' column; open one request.</t>
        </is>
      </c>
      <c r="E1279" s="11" t="inlineStr">
        <is>
          <t>Names and the request's details are readable; no 'SE::' text.</t>
        </is>
      </c>
      <c r="F1279" s="16" t="n"/>
      <c r="G1279" s="16" t="n"/>
    </row>
    <row r="1280">
      <c r="A1280" s="10" t="inlineStr">
        <is>
          <t>OVS-19</t>
        </is>
      </c>
      <c r="B1280" s="11" t="inlineStr">
        <is>
          <t>Personal data is never shown as scrambled 'SE::' text on staff screens</t>
        </is>
      </c>
      <c r="C1280" s="11" t="n">
        <v>5</v>
      </c>
      <c r="D1280" s="11" t="inlineStr">
        <is>
          <t>Click 'Audit trail'; read the 'Actor', 'About' and 'Record' columns; type Anj in the About box and read the offered names; open one entry.</t>
        </is>
      </c>
      <c r="E1280" s="11" t="inlineStr">
        <is>
          <t>All names, emails and record labels are readable in the table, the About list and the dialog; no 'SE::' text.</t>
        </is>
      </c>
      <c r="F1280" s="16" t="n"/>
      <c r="G1280" s="16" t="n"/>
    </row>
    <row r="1281">
      <c r="A1281" s="10" t="inlineStr">
        <is>
          <t>OVS-19</t>
        </is>
      </c>
      <c r="B1281" s="11" t="inlineStr">
        <is>
          <t>Personal data is never shown as scrambled 'SE::' text on staff screens</t>
        </is>
      </c>
      <c r="C1281" s="11" t="n">
        <v>6</v>
      </c>
      <c r="D1281" s="11" t="inlineStr">
        <is>
          <t>Click 'Dashboard' and read the queue rows and 'Recent activity'.</t>
        </is>
      </c>
      <c r="E1281" s="11" t="inlineStr">
        <is>
          <t>People's names are readable; no 'SE::' text.</t>
        </is>
      </c>
      <c r="F1281" s="16" t="n"/>
      <c r="G1281" s="16" t="n"/>
    </row>
    <row r="1282">
      <c r="A1282" s="10" t="inlineStr">
        <is>
          <t>OVS-19</t>
        </is>
      </c>
      <c r="B1282" s="11" t="inlineStr">
        <is>
          <t>Personal data is never shown as scrambled 'SE::' text on staff screens</t>
        </is>
      </c>
      <c r="C1282" s="11" t="n">
        <v>7</v>
      </c>
      <c r="D1282" s="11" t="inlineStr">
        <is>
          <t>Click 'Sign out' at the bottom of the sidebar. Then sign in again as admin@cmp.local (password SeedPassw0rd!2026, code from the coordinator, 'Verify and continue').</t>
        </is>
      </c>
      <c r="E1282" s="11" t="inlineStr">
        <is>
          <t>The Dashboard opens with the heading 'Good day, System' and the role badge 'Administrator'.</t>
        </is>
      </c>
      <c r="F1282" s="16" t="n"/>
      <c r="G1282" s="16" t="n"/>
    </row>
    <row r="1283">
      <c r="A1283" s="10" t="inlineStr">
        <is>
          <t>OVS-19</t>
        </is>
      </c>
      <c r="B1283" s="11" t="inlineStr">
        <is>
          <t>Personal data is never shown as scrambled 'SE::' text on staff screens</t>
        </is>
      </c>
      <c r="C1283" s="11" t="n">
        <v>8</v>
      </c>
      <c r="D1283" s="11" t="inlineStr">
        <is>
          <t>Click 'Users', click 'Edit' on any row, read 'Full name', 'Email' and 'Mobile', then close the dialog without saving.</t>
        </is>
      </c>
      <c r="E1283" s="11" t="inlineStr">
        <is>
          <t>The 'Edit account' form is filled with the readable name and a readable email and/or mobile; no field contains 'SE::'.</t>
        </is>
      </c>
      <c r="F1283" s="16" t="n"/>
      <c r="G1283" s="16" t="n"/>
    </row>
    <row r="1284">
      <c r="A1284" s="10" t="inlineStr">
        <is>
          <t>OVS-19</t>
        </is>
      </c>
      <c r="B1284" s="11" t="inlineStr">
        <is>
          <t>Personal data is never shown as scrambled 'SE::' text on staff screens</t>
        </is>
      </c>
      <c r="C1284" s="11" t="n">
        <v>9</v>
      </c>
      <c r="D1284" s="11" t="inlineStr">
        <is>
          <t>Sign out, sign in as dco@cmp.local, click 'Consents' and open one record.</t>
        </is>
      </c>
      <c r="E1284" s="11" t="inlineStr">
        <is>
          <t>The register and the record's heading show the person's readable name; no 'SE::' text.</t>
        </is>
      </c>
      <c r="F1284" s="16" t="n"/>
      <c r="G1284" s="16" t="n"/>
    </row>
    <row r="1285">
      <c r="A1285" s="10" t="inlineStr">
        <is>
          <t>OVS-20</t>
        </is>
      </c>
      <c r="B1285" s="11" t="inlineStr">
        <is>
          <t>Data principal's portal notifications show only her own events and open her own pages</t>
        </is>
      </c>
      <c r="C1285" s="11" t="n">
        <v>1</v>
      </c>
      <c r="D1285" s="11" t="inlineStr">
        <is>
          <t>Open http://localhost:3001/sign-in. Under 'Sign in with' choose 'Email', type subject@cmp.local in 'Email address' and click 'Send me a code'.</t>
        </is>
      </c>
      <c r="E1285" s="11" t="inlineStr">
        <is>
          <t>A 'Check your messages' notice appears and a 'Six-digit code' box is shown.</t>
        </is>
      </c>
      <c r="F1285" s="16" t="n"/>
      <c r="G1285" s="16" t="n"/>
    </row>
    <row r="1286">
      <c r="A1286" s="10" t="inlineStr">
        <is>
          <t>OVS-20</t>
        </is>
      </c>
      <c r="B1286" s="11" t="inlineStr">
        <is>
          <t>Data principal's portal notifications show only her own events and open her own pages</t>
        </is>
      </c>
      <c r="C1286" s="11" t="n">
        <v>2</v>
      </c>
      <c r="D1286" s="11" t="inlineStr">
        <is>
          <t>Type the code the test coordinator relays and click 'Verify'.</t>
        </is>
      </c>
      <c r="E1286" s="11" t="inlineStr">
        <is>
          <t>The 'My consents' page opens. The sidebar shows YOUR DATA - 'My consents', 'My requests', 'My nominations' and 'Updates', and nothing else; 'My profile' is in the account menu under her name at the top right.</t>
        </is>
      </c>
      <c r="F1286" s="16" t="n"/>
      <c r="G1286" s="16" t="n"/>
    </row>
    <row r="1287">
      <c r="A1287" s="10" t="inlineStr">
        <is>
          <t>OVS-20</t>
        </is>
      </c>
      <c r="B1287" s="11" t="inlineStr">
        <is>
          <t>Data principal's portal notifications show only her own events and open her own pages</t>
        </is>
      </c>
      <c r="C1287" s="11" t="n">
        <v>3</v>
      </c>
      <c r="D1287" s="11" t="inlineStr">
        <is>
          <t>Click 'Updates'.</t>
        </is>
      </c>
      <c r="E1287" s="11" t="inlineStr">
        <is>
          <t>The page 'Updates' opens with 'What has happened that concerns you, taken from the audit trail itself.' Entries are about Anjali only, e.g. 'Consent given', 'Consent withdrawn', 'Notice served', 'Subject registered', 'Rights request received'. If there are none it says 'Nothing to report'.</t>
        </is>
      </c>
      <c r="F1287" s="16" t="n"/>
      <c r="G1287" s="16" t="n"/>
    </row>
    <row r="1288">
      <c r="A1288" s="10" t="inlineStr">
        <is>
          <t>OVS-20</t>
        </is>
      </c>
      <c r="B1288" s="11" t="inlineStr">
        <is>
          <t>Data principal's portal notifications show only her own events and open her own pages</t>
        </is>
      </c>
      <c r="C1288" s="11" t="n">
        <v>4</v>
      </c>
      <c r="D1288" s="11" t="inlineStr">
        <is>
          <t>Check the list for events that are not hers to see.</t>
        </is>
      </c>
      <c r="E1288" s="11" t="inlineStr">
        <is>
          <t>No sign-in events ('Auth ...'), no 'Project transitioned', no office working on her request (e.g. 'Rights ticket issued', 'Rights holders derived') and no events about other people.</t>
        </is>
      </c>
      <c r="F1288" s="16" t="n"/>
      <c r="G1288" s="16" t="n"/>
    </row>
    <row r="1289">
      <c r="A1289" s="10" t="inlineStr">
        <is>
          <t>OVS-20</t>
        </is>
      </c>
      <c r="B1289" s="11" t="inlineStr">
        <is>
          <t>Data principal's portal notifications show only her own events and open her own pages</t>
        </is>
      </c>
      <c r="C1289" s="11" t="n">
        <v>5</v>
      </c>
      <c r="D1289" s="11" t="inlineStr">
        <is>
          <t>Click the body of a 'Consent given' entry.</t>
        </is>
      </c>
      <c r="E1289" s="11" t="inlineStr">
        <is>
          <t>A dialog shows 'What' ('Consent record: Anjali Verma — &lt;project&gt;'), 'When', 'Who', 'Event' (consent.given) and 'Record', with an 'Open consent record' button. All names are readable; no 'SE::' text.</t>
        </is>
      </c>
      <c r="F1289" s="16" t="n"/>
      <c r="G1289" s="16" t="n"/>
    </row>
    <row r="1290">
      <c r="A1290" s="10" t="inlineStr">
        <is>
          <t>OVS-20</t>
        </is>
      </c>
      <c r="B1290" s="11" t="inlineStr">
        <is>
          <t>Data principal's portal notifications show only her own events and open her own pages</t>
        </is>
      </c>
      <c r="C1290" s="11" t="n">
        <v>6</v>
      </c>
      <c r="D1290" s="11" t="inlineStr">
        <is>
          <t>Click 'Open consent record'.</t>
        </is>
      </c>
      <c r="E1290" s="11" t="inlineStr">
        <is>
          <t>The 'My consents' page on the portal opens - not a staff page and not 'Not part of your account'.</t>
        </is>
      </c>
      <c r="F1290" s="16" t="n"/>
      <c r="G1290" s="16" t="n"/>
    </row>
    <row r="1291">
      <c r="A1291" s="10" t="inlineStr">
        <is>
          <t>OVS-20</t>
        </is>
      </c>
      <c r="B1291" s="11" t="inlineStr">
        <is>
          <t>Data principal's portal notifications show only her own events and open her own pages</t>
        </is>
      </c>
      <c r="C1291" s="11" t="n">
        <v>7</v>
      </c>
      <c r="D1291" s="11" t="inlineStr">
        <is>
          <t>Back on 'Updates', click the record link on a rights request entry (if present) and on a 'Subject registered' entry ('Account: Anjali Verma' / 'Open account').</t>
        </is>
      </c>
      <c r="E1291" s="11" t="inlineStr">
        <is>
          <t>The request link opens 'My requests'. The account link opens her own account page ('My profile'). If either shows 'We can't find that page', record a defect.</t>
        </is>
      </c>
      <c r="F1291" s="16" t="n"/>
      <c r="G1291" s="16" t="n"/>
    </row>
    <row r="1292">
      <c r="A1292" s="10" t="inlineStr">
        <is>
          <t>OVS-20</t>
        </is>
      </c>
      <c r="B1292" s="11" t="inlineStr">
        <is>
          <t>Data principal's portal notifications show only her own events and open her own pages</t>
        </is>
      </c>
      <c r="C1292" s="11" t="n">
        <v>8</v>
      </c>
      <c r="D1292" s="11" t="inlineStr">
        <is>
          <t>Type http://localhost:3001/users in the address bar, then http://localhost:3001/audit.</t>
        </is>
      </c>
      <c r="E1292" s="11" t="inlineStr">
        <is>
          <t>Both show the portal's 404 page, headed 'We can't find that page', with the buttons 'Go to My consents' and 'Your rights' - no staff screen exists on the portal.</t>
        </is>
      </c>
      <c r="F1292" s="16" t="n"/>
      <c r="G1292" s="16" t="n"/>
    </row>
    <row r="1293">
      <c r="A1293" s="10" t="inlineStr">
        <is>
          <t>OVS-21</t>
        </is>
      </c>
      <c r="B1293" s="11" t="inlineStr">
        <is>
          <t>Find your way: the command palette, breadcrumb, account menu, foldable sidebar and folding cards</t>
        </is>
      </c>
      <c r="C1293" s="11" t="n">
        <v>1</v>
      </c>
      <c r="D1293" s="11" t="inlineStr">
        <is>
          <t>Open http://localhost:3000. Type dpo@cmp.local in 'Email or username' and SeedPassw0rd!2026 in 'Password', click 'Sign in'. On the 'Verify it is you' page type the six-digit code the test coordinator relays into '6-digit code' and click 'Verify and continue'.</t>
        </is>
      </c>
      <c r="E1293" s="11" t="inlineStr">
        <is>
          <t>You land on the Dashboard with the heading 'Good day, Priya'. The top right of the header shows the person's name with the role badge 'DPO'.</t>
        </is>
      </c>
      <c r="F1293" s="16" t="n"/>
      <c r="G1293" s="16" t="n"/>
    </row>
    <row r="1294">
      <c r="A1294" s="10" t="inlineStr">
        <is>
          <t>OVS-21</t>
        </is>
      </c>
      <c r="B1294" s="11" t="inlineStr">
        <is>
          <t>Find your way: the command palette, breadcrumb, account menu, foldable sidebar and folding cards</t>
        </is>
      </c>
      <c r="C1294" s="11" t="n">
        <v>2</v>
      </c>
      <c r="D1294" s="11" t="inlineStr">
        <is>
          <t>Click 'Projects' in the sidebar and look to the right of the logo in the header.</t>
        </is>
      </c>
      <c r="E1294" s="11" t="inlineStr">
        <is>
          <t>A breadcrumb reads 'Governance › Projects'. In the header are a box 'Jump to page…' showing ⌘K (on a Mac) or Ctrl K, a help (?) button, a bell, and Priya's name with the 'DPO' badge and her initials.</t>
        </is>
      </c>
      <c r="F1294" s="16" t="n"/>
      <c r="G1294" s="16" t="n"/>
    </row>
    <row r="1295">
      <c r="A1295" s="10" t="inlineStr">
        <is>
          <t>OVS-21</t>
        </is>
      </c>
      <c r="B1295" s="11" t="inlineStr">
        <is>
          <t>Find your way: the command palette, breadcrumb, account menu, foldable sidebar and folding cards</t>
        </is>
      </c>
      <c r="C1295" s="11" t="n">
        <v>3</v>
      </c>
      <c r="D1295" s="11" t="inlineStr">
        <is>
          <t>Press Ctrl+K (⌘K on a Mac), or click 'Jump to page…'. Type 'aud'.</t>
        </is>
      </c>
      <c r="E1295" s="11" t="inlineStr">
        <is>
          <t>A search box opens over the page ('Search pages and actions…'). Typing narrows the list to 'Audit trail' under the heading 'Oversight'. The footer reads '↑ ↓ to move', '↵ to open', 'Esc to close'.</t>
        </is>
      </c>
      <c r="F1295" s="16" t="n"/>
      <c r="G1295" s="16" t="n"/>
    </row>
    <row r="1296">
      <c r="A1296" s="10" t="inlineStr">
        <is>
          <t>OVS-21</t>
        </is>
      </c>
      <c r="B1296" s="11" t="inlineStr">
        <is>
          <t>Find your way: the command palette, breadcrumb, account menu, foldable sidebar and folding cards</t>
        </is>
      </c>
      <c r="C1296" s="11" t="n">
        <v>4</v>
      </c>
      <c r="D1296" s="11" t="inlineStr">
        <is>
          <t>Press Enter.</t>
        </is>
      </c>
      <c r="E1296" s="11" t="inlineStr">
        <is>
          <t>The 'Audit trail' page opens and the box closes. The breadcrumb reads 'Oversight › Audit trail'.</t>
        </is>
      </c>
      <c r="F1296" s="16" t="n"/>
      <c r="G1296" s="16" t="n"/>
    </row>
    <row r="1297">
      <c r="A1297" s="10" t="inlineStr">
        <is>
          <t>OVS-21</t>
        </is>
      </c>
      <c r="B1297" s="11" t="inlineStr">
        <is>
          <t>Find your way: the command palette, breadcrumb, account menu, foldable sidebar and folding cards</t>
        </is>
      </c>
      <c r="C1297" s="11" t="n">
        <v>5</v>
      </c>
      <c r="D1297" s="11" t="inlineStr">
        <is>
          <t>Open the box again (Ctrl+K / ⌘K) without typing.</t>
        </is>
      </c>
      <c r="E1297" s="11" t="inlineStr">
        <is>
          <t>A 'Recent' group lists the pages just visited (for example 'Projects'), but not the page you are on. An 'Actions' group offers 'Open the help manual', 'Switch to dark theme' and 'Sign out'. Type 'zzz': it says 'Nothing matches “zzz”'. Press Esc to close it.</t>
        </is>
      </c>
      <c r="F1297" s="16" t="n"/>
      <c r="G1297" s="16" t="n"/>
    </row>
    <row r="1298">
      <c r="A1298" s="10" t="inlineStr">
        <is>
          <t>OVS-21</t>
        </is>
      </c>
      <c r="B1298" s="11" t="inlineStr">
        <is>
          <t>Find your way: the command palette, breadcrumb, account menu, foldable sidebar and folding cards</t>
        </is>
      </c>
      <c r="C1298" s="11" t="n">
        <v>6</v>
      </c>
      <c r="D1298" s="11" t="inlineStr">
        <is>
          <t>Click Priya's name at the top right of the header.</t>
        </is>
      </c>
      <c r="E1298" s="11" t="inlineStr">
        <is>
          <t>An account menu opens showing 'Priya Menon' and 'DPO', then 'My profile', 'Help manual', 'Switch to dark theme' and 'Sign out'. Press Esc: it closes and nothing else changes.</t>
        </is>
      </c>
      <c r="F1298" s="16" t="n"/>
      <c r="G1298" s="16" t="n"/>
    </row>
    <row r="1299">
      <c r="A1299" s="10" t="inlineStr">
        <is>
          <t>OVS-21</t>
        </is>
      </c>
      <c r="B1299" s="11" t="inlineStr">
        <is>
          <t>Find your way: the command palette, breadcrumb, account menu, foldable sidebar and folding cards</t>
        </is>
      </c>
      <c r="C1299" s="11" t="n">
        <v>7</v>
      </c>
      <c r="D1299" s="11" t="inlineStr">
        <is>
          <t>In the sidebar click the heading 'GOVERNANCE', then click it again.</t>
        </is>
      </c>
      <c r="E1299" s="11" t="inlineStr">
        <is>
          <t>The first click folds away 'Approval documents' and 'Purposes'; the second brings them back. The group holding the page you are on cannot be folded away.</t>
        </is>
      </c>
      <c r="F1299" s="16" t="n"/>
      <c r="G1299" s="16" t="n"/>
    </row>
    <row r="1300">
      <c r="A1300" s="10" t="inlineStr">
        <is>
          <t>OVS-21</t>
        </is>
      </c>
      <c r="B1300" s="11" t="inlineStr">
        <is>
          <t>Find your way: the command palette, breadcrumb, account menu, foldable sidebar and folding cards</t>
        </is>
      </c>
      <c r="C1300" s="11" t="n">
        <v>8</v>
      </c>
      <c r="D1300" s="11" t="inlineStr">
        <is>
          <t>Click 'Collapse sidebar' at the bottom of the sidebar, then reload the page.</t>
        </is>
      </c>
      <c r="E1300" s="11" t="inlineStr">
        <is>
          <t>The sidebar becomes a narrow strip of icons (hovering an icon shows its name) and stays that way after the reload. Click 'Expand sidebar' to restore it.</t>
        </is>
      </c>
      <c r="F1300" s="16" t="n"/>
      <c r="G1300" s="16" t="n"/>
    </row>
    <row r="1301">
      <c r="A1301" s="10" t="inlineStr">
        <is>
          <t>OVS-21</t>
        </is>
      </c>
      <c r="B1301" s="11" t="inlineStr">
        <is>
          <t>Find your way: the command palette, breadcrumb, account menu, foldable sidebar and folding cards</t>
        </is>
      </c>
      <c r="C1301" s="11" t="n">
        <v>9</v>
      </c>
      <c r="D1301" s="11" t="inlineStr">
        <is>
          <t>Open 'Rights requests', open any request, look at the top of the page, then click the card 'Clock and path'.</t>
        </is>
      </c>
      <c r="E1301" s="11" t="inlineStr">
        <is>
          <t>The page opens on a summary: 'Due' with the date and days left, 'Current step', 'With' and 'Next'. 'Clock and path' starts folded to its heading; clicking it opens the checkpoints and the path, and clicking again folds it. On a project page the sections are tabs - 'Overview', 'Setup', 'Consent', 'Collections &amp; exchanges' and 'Activity' (which holds 'History', with its number of entries on the tab).</t>
        </is>
      </c>
      <c r="F1301" s="16" t="n"/>
      <c r="G1301" s="16" t="n"/>
    </row>
    <row r="1302">
      <c r="A1302" s="10" t="inlineStr">
        <is>
          <t>OVS-22</t>
        </is>
      </c>
      <c r="B1302" s="11" t="inlineStr">
        <is>
          <t>The help manual opens from the sign-in page, the header and the command palette, and follows your role</t>
        </is>
      </c>
      <c r="C1302" s="11" t="n">
        <v>1</v>
      </c>
      <c r="D1302" s="11" t="inlineStr">
        <is>
          <t>Open http://localhost:3000/sign-in and click 'Read the help manual' under the form ('New here, or stuck?').</t>
        </is>
      </c>
      <c r="E1302" s="11" t="inlineStr">
        <is>
          <t>The page 'COMPASS CMP Manual' opens without signing in, with a search box, an 'Every role' choice, '26 sections', a numbered 'Table of contents' and a 'Sign in' button at the top right.</t>
        </is>
      </c>
      <c r="F1302" s="16" t="n"/>
      <c r="G1302" s="16" t="n"/>
    </row>
    <row r="1303">
      <c r="A1303" s="10" t="inlineStr">
        <is>
          <t>OVS-22</t>
        </is>
      </c>
      <c r="B1303" s="11" t="inlineStr">
        <is>
          <t>The help manual opens from the sign-in page, the header and the command palette, and follows your role</t>
        </is>
      </c>
      <c r="C1303" s="11" t="n">
        <v>2</v>
      </c>
      <c r="D1303" s="11" t="inlineStr">
        <is>
          <t>In the table of contents click '16 Rights requests'.</t>
        </is>
      </c>
      <c r="E1303" s="11" t="inlineStr">
        <is>
          <t>The page scrolls to section 16 'Rights requests', whose badges read 'DPO' and 'Administrator'. Its numbered steps show the screen's own words in grey label boxes, for example 'Confirm classification'.</t>
        </is>
      </c>
      <c r="F1303" s="16" t="n"/>
      <c r="G1303" s="16" t="n"/>
    </row>
    <row r="1304">
      <c r="A1304" s="10" t="inlineStr">
        <is>
          <t>OVS-22</t>
        </is>
      </c>
      <c r="B1304" s="11" t="inlineStr">
        <is>
          <t>The help manual opens from the sign-in page, the header and the command palette, and follows your role</t>
        </is>
      </c>
      <c r="C1304" s="11" t="n">
        <v>3</v>
      </c>
      <c r="D1304" s="11" t="inlineStr">
        <is>
          <t>Type 'export' in 'Search the manual'.</t>
        </is>
      </c>
      <c r="E1304" s="11" t="inlineStr">
        <is>
          <t>Only sections that mention exports remain, and the line under the box reads '8 of 26 sections mentioning “export”' (Exports, Purposes, Processors, the audit trail and others). Clicking the × clears it.</t>
        </is>
      </c>
      <c r="F1304" s="16" t="n"/>
      <c r="G1304" s="16" t="n"/>
    </row>
    <row r="1305">
      <c r="A1305" s="10" t="inlineStr">
        <is>
          <t>OVS-22</t>
        </is>
      </c>
      <c r="B1305" s="11" t="inlineStr">
        <is>
          <t>The help manual opens from the sign-in page, the header and the command palette, and follows your role</t>
        </is>
      </c>
      <c r="C1305" s="11" t="n">
        <v>4</v>
      </c>
      <c r="D1305" s="11" t="inlineStr">
        <is>
          <t>Scroll to the end of the manual.</t>
        </is>
      </c>
      <c r="E1305" s="11" t="inlineStr">
        <is>
          <t>A panel 'Have any questions? Contact us' shows the Privacy Office's email address and response time, and says to ask your administrator about sign-in or role problems.</t>
        </is>
      </c>
      <c r="F1305" s="16" t="n"/>
      <c r="G1305" s="16" t="n"/>
    </row>
    <row r="1306">
      <c r="A1306" s="10" t="inlineStr">
        <is>
          <t>OVS-22</t>
        </is>
      </c>
      <c r="B1306" s="11" t="inlineStr">
        <is>
          <t>The help manual opens from the sign-in page, the header and the command palette, and follows your role</t>
        </is>
      </c>
      <c r="C1306" s="11" t="n">
        <v>5</v>
      </c>
      <c r="D1306" s="11" t="inlineStr">
        <is>
          <t>Sign in to the console as dco@cmp.local (SeedPassw0rd!2026 and the relayed code). Click the help (?) button in the header.</t>
        </is>
      </c>
      <c r="E1306" s="11" t="inlineStr">
        <is>
          <t>The manual opens already set to 'For the DCO', reading '15 of 26 sections for the DCO'. Section numbers keep their places (for example 8, 12, 13, 14). The top-right button now reads 'Back to where you were'.</t>
        </is>
      </c>
      <c r="F1306" s="16" t="n"/>
      <c r="G1306" s="16" t="n"/>
    </row>
    <row r="1307">
      <c r="A1307" s="10" t="inlineStr">
        <is>
          <t>OVS-22</t>
        </is>
      </c>
      <c r="B1307" s="11" t="inlineStr">
        <is>
          <t>The help manual opens from the sign-in page, the header and the command palette, and follows your role</t>
        </is>
      </c>
      <c r="C1307" s="11" t="n">
        <v>6</v>
      </c>
      <c r="D1307" s="11" t="inlineStr">
        <is>
          <t>Choose 'Every role' in the role box. Then click 'Back to where you were', press Ctrl+K (⌘K) and choose 'Open the help manual'.</t>
        </is>
      </c>
      <c r="E1307" s="11" t="inlineStr">
        <is>
          <t>'Every role' shows all 26 sections, among them '17 Incidents and personal data breaches', '18 If you were given a login for a ticket' and '19 My tasks'. The role box also offers 'For the Temporary ticket holder'. The command palette opens the manual again.</t>
        </is>
      </c>
      <c r="F1307" s="16" t="n"/>
      <c r="G1307" s="16" t="n"/>
    </row>
    <row r="1308">
      <c r="A1308" s="10" t="inlineStr">
        <is>
          <t>OVS-22</t>
        </is>
      </c>
      <c r="B1308" s="11" t="inlineStr">
        <is>
          <t>The help manual opens from the sign-in page, the header and the command palette, and follows your role</t>
        </is>
      </c>
      <c r="C1308" s="11" t="n">
        <v>7</v>
      </c>
      <c r="D1308" s="11" t="inlineStr">
        <is>
          <t>Open http://localhost:3001/sign-in and click 'Help manual' next to 'Your rights and how to exercise them'.</t>
        </is>
      </c>
      <c r="E1308" s="11" t="inlineStr">
        <is>
          <t>The page 'Consent Portal Manual' opens without signing in, with 17 sections written for data principals (creating an account, giving consent through a link, withdrawing, requests, nominations, breach notices and ticket links) and no role choice.</t>
        </is>
      </c>
      <c r="F1308" s="16" t="n"/>
      <c r="G1308" s="16" t="n"/>
    </row>
    <row r="1309">
      <c r="A1309" s="10" t="inlineStr">
        <is>
          <t>OVS-22</t>
        </is>
      </c>
      <c r="B1309" s="11" t="inlineStr">
        <is>
          <t>The help manual opens from the sign-in page, the header and the command palette, and follows your role</t>
        </is>
      </c>
      <c r="C1309" s="11" t="n">
        <v>8</v>
      </c>
      <c r="D1309" s="11" t="inlineStr">
        <is>
          <t>Narrow the browser window to phone width (or use a phone) and look at the portal manual.</t>
        </is>
      </c>
      <c r="E1309" s="11" t="inlineStr">
        <is>
          <t>The table of contents folds into a 'Table of contents · 17' bar above the sections; opening it lists them. Nothing is cut off at the side.</t>
        </is>
      </c>
      <c r="F1309" s="16" t="n"/>
      <c r="G1309" s="16" t="n"/>
    </row>
  </sheetData>
  <autoFilter ref="A1:G1309"/>
  <conditionalFormatting sqref="F2:F1309">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F2:F1309" showDropDown="0" showInputMessage="0" showErrorMessage="0" allowBlank="1" errorTitle="Not a status" error="Choose one of: Pass, Fail, Blocked, Not run"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1"/>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6" customWidth="1" min="3" max="3"/>
    <col width="36" customWidth="1" min="4" max="4"/>
    <col width="10" customWidth="1" min="5" max="5"/>
    <col width="50" customWidth="1" min="6" max="6"/>
    <col width="34" customWidth="1" min="7" max="7"/>
    <col width="34" customWidth="1" min="8" max="8"/>
    <col width="18" customWidth="1" min="9" max="9"/>
    <col width="14" customWidth="1" min="10" max="10"/>
    <col width="12" customWidth="1" min="11" max="11"/>
    <col width="10" customWidth="1" min="12" max="12"/>
    <col width="34" customWidth="1" min="13" max="13"/>
  </cols>
  <sheetData>
    <row r="1">
      <c r="A1" s="9" t="inlineStr">
        <is>
          <t>Defect ID</t>
        </is>
      </c>
      <c r="B1" s="9" t="inlineStr">
        <is>
          <t>Test case</t>
        </is>
      </c>
      <c r="C1" s="9" t="inlineStr">
        <is>
          <t>Step</t>
        </is>
      </c>
      <c r="D1" s="9" t="inlineStr">
        <is>
          <t>Title</t>
        </is>
      </c>
      <c r="E1" s="9" t="inlineStr">
        <is>
          <t>Severity</t>
        </is>
      </c>
      <c r="F1" s="9" t="inlineStr">
        <is>
          <t>Steps to reproduce</t>
        </is>
      </c>
      <c r="G1" s="9" t="inlineStr">
        <is>
          <t>Expected</t>
        </is>
      </c>
      <c r="H1" s="9" t="inlineStr">
        <is>
          <t>Actual</t>
        </is>
      </c>
      <c r="I1" s="9" t="inlineStr">
        <is>
          <t>Screenshot</t>
        </is>
      </c>
      <c r="J1" s="9" t="inlineStr">
        <is>
          <t>Raised by</t>
        </is>
      </c>
      <c r="K1" s="9" t="inlineStr">
        <is>
          <t>Date raised</t>
        </is>
      </c>
      <c r="L1" s="9" t="inlineStr">
        <is>
          <t>Status</t>
        </is>
      </c>
      <c r="M1" s="9" t="inlineStr">
        <is>
          <t>Resolution / notes</t>
        </is>
      </c>
    </row>
    <row r="2">
      <c r="A2" s="16" t="inlineStr">
        <is>
          <t>DEF-000 (example)</t>
        </is>
      </c>
      <c r="B2" s="16" t="inlineStr">
        <is>
          <t>REG-05</t>
        </is>
      </c>
      <c r="C2" s="16" t="n">
        <v>4</v>
      </c>
      <c r="D2" s="16" t="inlineStr">
        <is>
          <t>Processor edit toast has the wrong wording</t>
        </is>
      </c>
      <c r="E2" s="16" t="inlineStr">
        <is>
          <t>Low</t>
        </is>
      </c>
      <c r="F2" s="16" t="inlineStr">
        <is>
          <t>1. Sign in as dpo@cmp.local. 2. Processors &gt; Edit on UAT Lab 07. 3. Change Country to IN. 4. Save changes.</t>
        </is>
      </c>
      <c r="G2" s="16" t="inlineStr">
        <is>
          <t>Toast "Processor updated"</t>
        </is>
      </c>
      <c r="H2" s="16" t="inlineStr">
        <is>
          <t>Toast "Saved"</t>
        </is>
      </c>
      <c r="I2" s="16" t="inlineStr">
        <is>
          <t>DEF-000.png</t>
        </is>
      </c>
      <c r="J2" s="16" t="inlineStr">
        <is>
          <t>Tester 07</t>
        </is>
      </c>
      <c r="K2" s="16" t="inlineStr">
        <is>
          <t>25-Sep-2026</t>
        </is>
      </c>
      <c r="L2" s="16" t="inlineStr">
        <is>
          <t>Open</t>
        </is>
      </c>
      <c r="M2" s="16" t="inlineStr">
        <is>
          <t>Example row - delete or overwrite</t>
        </is>
      </c>
    </row>
    <row r="3">
      <c r="A3" s="16" t="n"/>
      <c r="B3" s="16" t="n"/>
      <c r="C3" s="16" t="n"/>
      <c r="D3" s="16" t="n"/>
      <c r="E3" s="16" t="n"/>
      <c r="F3" s="16" t="n"/>
      <c r="G3" s="16" t="n"/>
      <c r="H3" s="16" t="n"/>
      <c r="I3" s="16" t="n"/>
      <c r="J3" s="16" t="n"/>
      <c r="K3" s="16" t="n"/>
      <c r="L3" s="16" t="n"/>
      <c r="M3" s="16" t="n"/>
    </row>
    <row r="4">
      <c r="A4" s="16" t="n"/>
      <c r="B4" s="16" t="n"/>
      <c r="C4" s="16" t="n"/>
      <c r="D4" s="16" t="n"/>
      <c r="E4" s="16" t="n"/>
      <c r="F4" s="16" t="n"/>
      <c r="G4" s="16" t="n"/>
      <c r="H4" s="16" t="n"/>
      <c r="I4" s="16" t="n"/>
      <c r="J4" s="16" t="n"/>
      <c r="K4" s="16" t="n"/>
      <c r="L4" s="16" t="n"/>
      <c r="M4" s="16"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row r="55">
      <c r="A55" s="16" t="n"/>
      <c r="B55" s="16" t="n"/>
      <c r="C55" s="16" t="n"/>
      <c r="D55" s="16" t="n"/>
      <c r="E55" s="16" t="n"/>
      <c r="F55" s="16" t="n"/>
      <c r="G55" s="16" t="n"/>
      <c r="H55" s="16" t="n"/>
      <c r="I55" s="16" t="n"/>
      <c r="J55" s="16" t="n"/>
      <c r="K55" s="16" t="n"/>
      <c r="L55" s="16" t="n"/>
      <c r="M55" s="16" t="n"/>
    </row>
    <row r="56">
      <c r="A56" s="16" t="n"/>
      <c r="B56" s="16" t="n"/>
      <c r="C56" s="16" t="n"/>
      <c r="D56" s="16" t="n"/>
      <c r="E56" s="16" t="n"/>
      <c r="F56" s="16" t="n"/>
      <c r="G56" s="16" t="n"/>
      <c r="H56" s="16" t="n"/>
      <c r="I56" s="16" t="n"/>
      <c r="J56" s="16" t="n"/>
      <c r="K56" s="16" t="n"/>
      <c r="L56" s="16" t="n"/>
      <c r="M56" s="16" t="n"/>
    </row>
    <row r="57">
      <c r="A57" s="16" t="n"/>
      <c r="B57" s="16" t="n"/>
      <c r="C57" s="16" t="n"/>
      <c r="D57" s="16" t="n"/>
      <c r="E57" s="16" t="n"/>
      <c r="F57" s="16" t="n"/>
      <c r="G57" s="16" t="n"/>
      <c r="H57" s="16" t="n"/>
      <c r="I57" s="16" t="n"/>
      <c r="J57" s="16" t="n"/>
      <c r="K57" s="16" t="n"/>
      <c r="L57" s="16" t="n"/>
      <c r="M57" s="16" t="n"/>
    </row>
    <row r="58">
      <c r="A58" s="16" t="n"/>
      <c r="B58" s="16" t="n"/>
      <c r="C58" s="16" t="n"/>
      <c r="D58" s="16" t="n"/>
      <c r="E58" s="16" t="n"/>
      <c r="F58" s="16" t="n"/>
      <c r="G58" s="16" t="n"/>
      <c r="H58" s="16" t="n"/>
      <c r="I58" s="16" t="n"/>
      <c r="J58" s="16" t="n"/>
      <c r="K58" s="16" t="n"/>
      <c r="L58" s="16" t="n"/>
      <c r="M58" s="16" t="n"/>
    </row>
    <row r="59">
      <c r="A59" s="16" t="n"/>
      <c r="B59" s="16" t="n"/>
      <c r="C59" s="16" t="n"/>
      <c r="D59" s="16" t="n"/>
      <c r="E59" s="16" t="n"/>
      <c r="F59" s="16" t="n"/>
      <c r="G59" s="16" t="n"/>
      <c r="H59" s="16" t="n"/>
      <c r="I59" s="16" t="n"/>
      <c r="J59" s="16" t="n"/>
      <c r="K59" s="16" t="n"/>
      <c r="L59" s="16" t="n"/>
      <c r="M59" s="16" t="n"/>
    </row>
    <row r="60">
      <c r="A60" s="16" t="n"/>
      <c r="B60" s="16" t="n"/>
      <c r="C60" s="16" t="n"/>
      <c r="D60" s="16" t="n"/>
      <c r="E60" s="16" t="n"/>
      <c r="F60" s="16" t="n"/>
      <c r="G60" s="16" t="n"/>
      <c r="H60" s="16" t="n"/>
      <c r="I60" s="16" t="n"/>
      <c r="J60" s="16" t="n"/>
      <c r="K60" s="16" t="n"/>
      <c r="L60" s="16" t="n"/>
      <c r="M60" s="16" t="n"/>
    </row>
    <row r="61">
      <c r="A61" s="16" t="n"/>
      <c r="B61" s="16" t="n"/>
      <c r="C61" s="16" t="n"/>
      <c r="D61" s="16" t="n"/>
      <c r="E61" s="16" t="n"/>
      <c r="F61" s="16" t="n"/>
      <c r="G61" s="16" t="n"/>
      <c r="H61" s="16" t="n"/>
      <c r="I61" s="16" t="n"/>
      <c r="J61" s="16" t="n"/>
      <c r="K61" s="16" t="n"/>
      <c r="L61" s="16" t="n"/>
      <c r="M61" s="16" t="n"/>
    </row>
    <row r="62">
      <c r="A62" s="16" t="n"/>
      <c r="B62" s="16" t="n"/>
      <c r="C62" s="16" t="n"/>
      <c r="D62" s="16" t="n"/>
      <c r="E62" s="16" t="n"/>
      <c r="F62" s="16" t="n"/>
      <c r="G62" s="16" t="n"/>
      <c r="H62" s="16" t="n"/>
      <c r="I62" s="16" t="n"/>
      <c r="J62" s="16" t="n"/>
      <c r="K62" s="16" t="n"/>
      <c r="L62" s="16" t="n"/>
      <c r="M62" s="16" t="n"/>
    </row>
    <row r="63">
      <c r="A63" s="16" t="n"/>
      <c r="B63" s="16" t="n"/>
      <c r="C63" s="16" t="n"/>
      <c r="D63" s="16" t="n"/>
      <c r="E63" s="16" t="n"/>
      <c r="F63" s="16" t="n"/>
      <c r="G63" s="16" t="n"/>
      <c r="H63" s="16" t="n"/>
      <c r="I63" s="16" t="n"/>
      <c r="J63" s="16" t="n"/>
      <c r="K63" s="16" t="n"/>
      <c r="L63" s="16" t="n"/>
      <c r="M63" s="16" t="n"/>
    </row>
    <row r="64">
      <c r="A64" s="16" t="n"/>
      <c r="B64" s="16" t="n"/>
      <c r="C64" s="16" t="n"/>
      <c r="D64" s="16" t="n"/>
      <c r="E64" s="16" t="n"/>
      <c r="F64" s="16" t="n"/>
      <c r="G64" s="16" t="n"/>
      <c r="H64" s="16" t="n"/>
      <c r="I64" s="16" t="n"/>
      <c r="J64" s="16" t="n"/>
      <c r="K64" s="16" t="n"/>
      <c r="L64" s="16" t="n"/>
      <c r="M64" s="16" t="n"/>
    </row>
    <row r="65">
      <c r="A65" s="16" t="n"/>
      <c r="B65" s="16" t="n"/>
      <c r="C65" s="16" t="n"/>
      <c r="D65" s="16" t="n"/>
      <c r="E65" s="16" t="n"/>
      <c r="F65" s="16" t="n"/>
      <c r="G65" s="16" t="n"/>
      <c r="H65" s="16" t="n"/>
      <c r="I65" s="16" t="n"/>
      <c r="J65" s="16" t="n"/>
      <c r="K65" s="16" t="n"/>
      <c r="L65" s="16" t="n"/>
      <c r="M65" s="16" t="n"/>
    </row>
    <row r="66">
      <c r="A66" s="16" t="n"/>
      <c r="B66" s="16" t="n"/>
      <c r="C66" s="16" t="n"/>
      <c r="D66" s="16" t="n"/>
      <c r="E66" s="16" t="n"/>
      <c r="F66" s="16" t="n"/>
      <c r="G66" s="16" t="n"/>
      <c r="H66" s="16" t="n"/>
      <c r="I66" s="16" t="n"/>
      <c r="J66" s="16" t="n"/>
      <c r="K66" s="16" t="n"/>
      <c r="L66" s="16" t="n"/>
      <c r="M66" s="16" t="n"/>
    </row>
    <row r="67">
      <c r="A67" s="16" t="n"/>
      <c r="B67" s="16" t="n"/>
      <c r="C67" s="16" t="n"/>
      <c r="D67" s="16" t="n"/>
      <c r="E67" s="16" t="n"/>
      <c r="F67" s="16" t="n"/>
      <c r="G67" s="16" t="n"/>
      <c r="H67" s="16" t="n"/>
      <c r="I67" s="16" t="n"/>
      <c r="J67" s="16" t="n"/>
      <c r="K67" s="16" t="n"/>
      <c r="L67" s="16" t="n"/>
      <c r="M67" s="16" t="n"/>
    </row>
    <row r="68">
      <c r="A68" s="16" t="n"/>
      <c r="B68" s="16" t="n"/>
      <c r="C68" s="16" t="n"/>
      <c r="D68" s="16" t="n"/>
      <c r="E68" s="16" t="n"/>
      <c r="F68" s="16" t="n"/>
      <c r="G68" s="16" t="n"/>
      <c r="H68" s="16" t="n"/>
      <c r="I68" s="16" t="n"/>
      <c r="J68" s="16" t="n"/>
      <c r="K68" s="16" t="n"/>
      <c r="L68" s="16" t="n"/>
      <c r="M68" s="16" t="n"/>
    </row>
    <row r="69">
      <c r="A69" s="16" t="n"/>
      <c r="B69" s="16" t="n"/>
      <c r="C69" s="16" t="n"/>
      <c r="D69" s="16" t="n"/>
      <c r="E69" s="16" t="n"/>
      <c r="F69" s="16" t="n"/>
      <c r="G69" s="16" t="n"/>
      <c r="H69" s="16" t="n"/>
      <c r="I69" s="16" t="n"/>
      <c r="J69" s="16" t="n"/>
      <c r="K69" s="16" t="n"/>
      <c r="L69" s="16" t="n"/>
      <c r="M69" s="16" t="n"/>
    </row>
    <row r="70">
      <c r="A70" s="16" t="n"/>
      <c r="B70" s="16" t="n"/>
      <c r="C70" s="16" t="n"/>
      <c r="D70" s="16" t="n"/>
      <c r="E70" s="16" t="n"/>
      <c r="F70" s="16" t="n"/>
      <c r="G70" s="16" t="n"/>
      <c r="H70" s="16" t="n"/>
      <c r="I70" s="16" t="n"/>
      <c r="J70" s="16" t="n"/>
      <c r="K70" s="16" t="n"/>
      <c r="L70" s="16" t="n"/>
      <c r="M70" s="16" t="n"/>
    </row>
    <row r="71">
      <c r="A71" s="16" t="n"/>
      <c r="B71" s="16" t="n"/>
      <c r="C71" s="16" t="n"/>
      <c r="D71" s="16" t="n"/>
      <c r="E71" s="16" t="n"/>
      <c r="F71" s="16" t="n"/>
      <c r="G71" s="16" t="n"/>
      <c r="H71" s="16" t="n"/>
      <c r="I71" s="16" t="n"/>
      <c r="J71" s="16" t="n"/>
      <c r="K71" s="16" t="n"/>
      <c r="L71" s="16" t="n"/>
      <c r="M71" s="16" t="n"/>
    </row>
    <row r="72">
      <c r="A72" s="16" t="n"/>
      <c r="B72" s="16" t="n"/>
      <c r="C72" s="16" t="n"/>
      <c r="D72" s="16" t="n"/>
      <c r="E72" s="16" t="n"/>
      <c r="F72" s="16" t="n"/>
      <c r="G72" s="16" t="n"/>
      <c r="H72" s="16" t="n"/>
      <c r="I72" s="16" t="n"/>
      <c r="J72" s="16" t="n"/>
      <c r="K72" s="16" t="n"/>
      <c r="L72" s="16" t="n"/>
      <c r="M72" s="16" t="n"/>
    </row>
    <row r="73">
      <c r="A73" s="16" t="n"/>
      <c r="B73" s="16" t="n"/>
      <c r="C73" s="16" t="n"/>
      <c r="D73" s="16" t="n"/>
      <c r="E73" s="16" t="n"/>
      <c r="F73" s="16" t="n"/>
      <c r="G73" s="16" t="n"/>
      <c r="H73" s="16" t="n"/>
      <c r="I73" s="16" t="n"/>
      <c r="J73" s="16" t="n"/>
      <c r="K73" s="16" t="n"/>
      <c r="L73" s="16" t="n"/>
      <c r="M73" s="16" t="n"/>
    </row>
    <row r="74">
      <c r="A74" s="16" t="n"/>
      <c r="B74" s="16" t="n"/>
      <c r="C74" s="16" t="n"/>
      <c r="D74" s="16" t="n"/>
      <c r="E74" s="16" t="n"/>
      <c r="F74" s="16" t="n"/>
      <c r="G74" s="16" t="n"/>
      <c r="H74" s="16" t="n"/>
      <c r="I74" s="16" t="n"/>
      <c r="J74" s="16" t="n"/>
      <c r="K74" s="16" t="n"/>
      <c r="L74" s="16" t="n"/>
      <c r="M74" s="16" t="n"/>
    </row>
    <row r="75">
      <c r="A75" s="16" t="n"/>
      <c r="B75" s="16" t="n"/>
      <c r="C75" s="16" t="n"/>
      <c r="D75" s="16" t="n"/>
      <c r="E75" s="16" t="n"/>
      <c r="F75" s="16" t="n"/>
      <c r="G75" s="16" t="n"/>
      <c r="H75" s="16" t="n"/>
      <c r="I75" s="16" t="n"/>
      <c r="J75" s="16" t="n"/>
      <c r="K75" s="16" t="n"/>
      <c r="L75" s="16" t="n"/>
      <c r="M75" s="16" t="n"/>
    </row>
    <row r="76">
      <c r="A76" s="16" t="n"/>
      <c r="B76" s="16" t="n"/>
      <c r="C76" s="16" t="n"/>
      <c r="D76" s="16" t="n"/>
      <c r="E76" s="16" t="n"/>
      <c r="F76" s="16" t="n"/>
      <c r="G76" s="16" t="n"/>
      <c r="H76" s="16" t="n"/>
      <c r="I76" s="16" t="n"/>
      <c r="J76" s="16" t="n"/>
      <c r="K76" s="16" t="n"/>
      <c r="L76" s="16" t="n"/>
      <c r="M76" s="16" t="n"/>
    </row>
    <row r="77">
      <c r="A77" s="16" t="n"/>
      <c r="B77" s="16" t="n"/>
      <c r="C77" s="16" t="n"/>
      <c r="D77" s="16" t="n"/>
      <c r="E77" s="16" t="n"/>
      <c r="F77" s="16" t="n"/>
      <c r="G77" s="16" t="n"/>
      <c r="H77" s="16" t="n"/>
      <c r="I77" s="16" t="n"/>
      <c r="J77" s="16" t="n"/>
      <c r="K77" s="16" t="n"/>
      <c r="L77" s="16" t="n"/>
      <c r="M77" s="16" t="n"/>
    </row>
    <row r="78">
      <c r="A78" s="16" t="n"/>
      <c r="B78" s="16" t="n"/>
      <c r="C78" s="16" t="n"/>
      <c r="D78" s="16" t="n"/>
      <c r="E78" s="16" t="n"/>
      <c r="F78" s="16" t="n"/>
      <c r="G78" s="16" t="n"/>
      <c r="H78" s="16" t="n"/>
      <c r="I78" s="16" t="n"/>
      <c r="J78" s="16" t="n"/>
      <c r="K78" s="16" t="n"/>
      <c r="L78" s="16" t="n"/>
      <c r="M78" s="16" t="n"/>
    </row>
    <row r="79">
      <c r="A79" s="16" t="n"/>
      <c r="B79" s="16" t="n"/>
      <c r="C79" s="16" t="n"/>
      <c r="D79" s="16" t="n"/>
      <c r="E79" s="16" t="n"/>
      <c r="F79" s="16" t="n"/>
      <c r="G79" s="16" t="n"/>
      <c r="H79" s="16" t="n"/>
      <c r="I79" s="16" t="n"/>
      <c r="J79" s="16" t="n"/>
      <c r="K79" s="16" t="n"/>
      <c r="L79" s="16" t="n"/>
      <c r="M79" s="16" t="n"/>
    </row>
    <row r="80">
      <c r="A80" s="16" t="n"/>
      <c r="B80" s="16" t="n"/>
      <c r="C80" s="16" t="n"/>
      <c r="D80" s="16" t="n"/>
      <c r="E80" s="16" t="n"/>
      <c r="F80" s="16" t="n"/>
      <c r="G80" s="16" t="n"/>
      <c r="H80" s="16" t="n"/>
      <c r="I80" s="16" t="n"/>
      <c r="J80" s="16" t="n"/>
      <c r="K80" s="16" t="n"/>
      <c r="L80" s="16" t="n"/>
      <c r="M80" s="16" t="n"/>
    </row>
    <row r="81">
      <c r="A81" s="16" t="n"/>
      <c r="B81" s="16" t="n"/>
      <c r="C81" s="16" t="n"/>
      <c r="D81" s="16" t="n"/>
      <c r="E81" s="16" t="n"/>
      <c r="F81" s="16" t="n"/>
      <c r="G81" s="16" t="n"/>
      <c r="H81" s="16" t="n"/>
      <c r="I81" s="16" t="n"/>
      <c r="J81" s="16" t="n"/>
      <c r="K81" s="16" t="n"/>
      <c r="L81" s="16" t="n"/>
      <c r="M81" s="16" t="n"/>
    </row>
    <row r="82">
      <c r="A82" s="16" t="n"/>
      <c r="B82" s="16" t="n"/>
      <c r="C82" s="16" t="n"/>
      <c r="D82" s="16" t="n"/>
      <c r="E82" s="16" t="n"/>
      <c r="F82" s="16" t="n"/>
      <c r="G82" s="16" t="n"/>
      <c r="H82" s="16" t="n"/>
      <c r="I82" s="16" t="n"/>
      <c r="J82" s="16" t="n"/>
      <c r="K82" s="16" t="n"/>
      <c r="L82" s="16" t="n"/>
      <c r="M82" s="16" t="n"/>
    </row>
    <row r="83">
      <c r="A83" s="16" t="n"/>
      <c r="B83" s="16" t="n"/>
      <c r="C83" s="16" t="n"/>
      <c r="D83" s="16" t="n"/>
      <c r="E83" s="16" t="n"/>
      <c r="F83" s="16" t="n"/>
      <c r="G83" s="16" t="n"/>
      <c r="H83" s="16" t="n"/>
      <c r="I83" s="16" t="n"/>
      <c r="J83" s="16" t="n"/>
      <c r="K83" s="16" t="n"/>
      <c r="L83" s="16" t="n"/>
      <c r="M83" s="16" t="n"/>
    </row>
    <row r="84">
      <c r="A84" s="16" t="n"/>
      <c r="B84" s="16" t="n"/>
      <c r="C84" s="16" t="n"/>
      <c r="D84" s="16" t="n"/>
      <c r="E84" s="16" t="n"/>
      <c r="F84" s="16" t="n"/>
      <c r="G84" s="16" t="n"/>
      <c r="H84" s="16" t="n"/>
      <c r="I84" s="16" t="n"/>
      <c r="J84" s="16" t="n"/>
      <c r="K84" s="16" t="n"/>
      <c r="L84" s="16" t="n"/>
      <c r="M84" s="16" t="n"/>
    </row>
    <row r="85">
      <c r="A85" s="16" t="n"/>
      <c r="B85" s="16" t="n"/>
      <c r="C85" s="16" t="n"/>
      <c r="D85" s="16" t="n"/>
      <c r="E85" s="16" t="n"/>
      <c r="F85" s="16" t="n"/>
      <c r="G85" s="16" t="n"/>
      <c r="H85" s="16" t="n"/>
      <c r="I85" s="16" t="n"/>
      <c r="J85" s="16" t="n"/>
      <c r="K85" s="16" t="n"/>
      <c r="L85" s="16" t="n"/>
      <c r="M85" s="16" t="n"/>
    </row>
    <row r="86">
      <c r="A86" s="16" t="n"/>
      <c r="B86" s="16" t="n"/>
      <c r="C86" s="16" t="n"/>
      <c r="D86" s="16" t="n"/>
      <c r="E86" s="16" t="n"/>
      <c r="F86" s="16" t="n"/>
      <c r="G86" s="16" t="n"/>
      <c r="H86" s="16" t="n"/>
      <c r="I86" s="16" t="n"/>
      <c r="J86" s="16" t="n"/>
      <c r="K86" s="16" t="n"/>
      <c r="L86" s="16" t="n"/>
      <c r="M86" s="16" t="n"/>
    </row>
    <row r="87">
      <c r="A87" s="16" t="n"/>
      <c r="B87" s="16" t="n"/>
      <c r="C87" s="16" t="n"/>
      <c r="D87" s="16" t="n"/>
      <c r="E87" s="16" t="n"/>
      <c r="F87" s="16" t="n"/>
      <c r="G87" s="16" t="n"/>
      <c r="H87" s="16" t="n"/>
      <c r="I87" s="16" t="n"/>
      <c r="J87" s="16" t="n"/>
      <c r="K87" s="16" t="n"/>
      <c r="L87" s="16" t="n"/>
      <c r="M87" s="16" t="n"/>
    </row>
    <row r="88">
      <c r="A88" s="16" t="n"/>
      <c r="B88" s="16" t="n"/>
      <c r="C88" s="16" t="n"/>
      <c r="D88" s="16" t="n"/>
      <c r="E88" s="16" t="n"/>
      <c r="F88" s="16" t="n"/>
      <c r="G88" s="16" t="n"/>
      <c r="H88" s="16" t="n"/>
      <c r="I88" s="16" t="n"/>
      <c r="J88" s="16" t="n"/>
      <c r="K88" s="16" t="n"/>
      <c r="L88" s="16" t="n"/>
      <c r="M88" s="16" t="n"/>
    </row>
    <row r="89">
      <c r="A89" s="16" t="n"/>
      <c r="B89" s="16" t="n"/>
      <c r="C89" s="16" t="n"/>
      <c r="D89" s="16" t="n"/>
      <c r="E89" s="16" t="n"/>
      <c r="F89" s="16" t="n"/>
      <c r="G89" s="16" t="n"/>
      <c r="H89" s="16" t="n"/>
      <c r="I89" s="16" t="n"/>
      <c r="J89" s="16" t="n"/>
      <c r="K89" s="16" t="n"/>
      <c r="L89" s="16" t="n"/>
      <c r="M89" s="16" t="n"/>
    </row>
    <row r="90">
      <c r="A90" s="16" t="n"/>
      <c r="B90" s="16" t="n"/>
      <c r="C90" s="16" t="n"/>
      <c r="D90" s="16" t="n"/>
      <c r="E90" s="16" t="n"/>
      <c r="F90" s="16" t="n"/>
      <c r="G90" s="16" t="n"/>
      <c r="H90" s="16" t="n"/>
      <c r="I90" s="16" t="n"/>
      <c r="J90" s="16" t="n"/>
      <c r="K90" s="16" t="n"/>
      <c r="L90" s="16" t="n"/>
      <c r="M90" s="16" t="n"/>
    </row>
    <row r="91">
      <c r="A91" s="16" t="n"/>
      <c r="B91" s="16" t="n"/>
      <c r="C91" s="16" t="n"/>
      <c r="D91" s="16" t="n"/>
      <c r="E91" s="16" t="n"/>
      <c r="F91" s="16" t="n"/>
      <c r="G91" s="16" t="n"/>
      <c r="H91" s="16" t="n"/>
      <c r="I91" s="16" t="n"/>
      <c r="J91" s="16" t="n"/>
      <c r="K91" s="16" t="n"/>
      <c r="L91" s="16" t="n"/>
      <c r="M91" s="16" t="n"/>
    </row>
    <row r="92">
      <c r="A92" s="16" t="n"/>
      <c r="B92" s="16" t="n"/>
      <c r="C92" s="16" t="n"/>
      <c r="D92" s="16" t="n"/>
      <c r="E92" s="16" t="n"/>
      <c r="F92" s="16" t="n"/>
      <c r="G92" s="16" t="n"/>
      <c r="H92" s="16" t="n"/>
      <c r="I92" s="16" t="n"/>
      <c r="J92" s="16" t="n"/>
      <c r="K92" s="16" t="n"/>
      <c r="L92" s="16" t="n"/>
      <c r="M92" s="16" t="n"/>
    </row>
    <row r="93">
      <c r="A93" s="16" t="n"/>
      <c r="B93" s="16" t="n"/>
      <c r="C93" s="16" t="n"/>
      <c r="D93" s="16" t="n"/>
      <c r="E93" s="16" t="n"/>
      <c r="F93" s="16" t="n"/>
      <c r="G93" s="16" t="n"/>
      <c r="H93" s="16" t="n"/>
      <c r="I93" s="16" t="n"/>
      <c r="J93" s="16" t="n"/>
      <c r="K93" s="16" t="n"/>
      <c r="L93" s="16" t="n"/>
      <c r="M93" s="16" t="n"/>
    </row>
    <row r="94">
      <c r="A94" s="16" t="n"/>
      <c r="B94" s="16" t="n"/>
      <c r="C94" s="16" t="n"/>
      <c r="D94" s="16" t="n"/>
      <c r="E94" s="16" t="n"/>
      <c r="F94" s="16" t="n"/>
      <c r="G94" s="16" t="n"/>
      <c r="H94" s="16" t="n"/>
      <c r="I94" s="16" t="n"/>
      <c r="J94" s="16" t="n"/>
      <c r="K94" s="16" t="n"/>
      <c r="L94" s="16" t="n"/>
      <c r="M94" s="16" t="n"/>
    </row>
    <row r="95">
      <c r="A95" s="16" t="n"/>
      <c r="B95" s="16" t="n"/>
      <c r="C95" s="16" t="n"/>
      <c r="D95" s="16" t="n"/>
      <c r="E95" s="16" t="n"/>
      <c r="F95" s="16" t="n"/>
      <c r="G95" s="16" t="n"/>
      <c r="H95" s="16" t="n"/>
      <c r="I95" s="16" t="n"/>
      <c r="J95" s="16" t="n"/>
      <c r="K95" s="16" t="n"/>
      <c r="L95" s="16" t="n"/>
      <c r="M95" s="16" t="n"/>
    </row>
    <row r="96">
      <c r="A96" s="16" t="n"/>
      <c r="B96" s="16" t="n"/>
      <c r="C96" s="16" t="n"/>
      <c r="D96" s="16" t="n"/>
      <c r="E96" s="16" t="n"/>
      <c r="F96" s="16" t="n"/>
      <c r="G96" s="16" t="n"/>
      <c r="H96" s="16" t="n"/>
      <c r="I96" s="16" t="n"/>
      <c r="J96" s="16" t="n"/>
      <c r="K96" s="16" t="n"/>
      <c r="L96" s="16" t="n"/>
      <c r="M96" s="16" t="n"/>
    </row>
    <row r="97">
      <c r="A97" s="16" t="n"/>
      <c r="B97" s="16" t="n"/>
      <c r="C97" s="16" t="n"/>
      <c r="D97" s="16" t="n"/>
      <c r="E97" s="16" t="n"/>
      <c r="F97" s="16" t="n"/>
      <c r="G97" s="16" t="n"/>
      <c r="H97" s="16" t="n"/>
      <c r="I97" s="16" t="n"/>
      <c r="J97" s="16" t="n"/>
      <c r="K97" s="16" t="n"/>
      <c r="L97" s="16" t="n"/>
      <c r="M97" s="16" t="n"/>
    </row>
    <row r="98">
      <c r="A98" s="16" t="n"/>
      <c r="B98" s="16" t="n"/>
      <c r="C98" s="16" t="n"/>
      <c r="D98" s="16" t="n"/>
      <c r="E98" s="16" t="n"/>
      <c r="F98" s="16" t="n"/>
      <c r="G98" s="16" t="n"/>
      <c r="H98" s="16" t="n"/>
      <c r="I98" s="16" t="n"/>
      <c r="J98" s="16" t="n"/>
      <c r="K98" s="16" t="n"/>
      <c r="L98" s="16" t="n"/>
      <c r="M98" s="16" t="n"/>
    </row>
    <row r="99">
      <c r="A99" s="16" t="n"/>
      <c r="B99" s="16" t="n"/>
      <c r="C99" s="16" t="n"/>
      <c r="D99" s="16" t="n"/>
      <c r="E99" s="16" t="n"/>
      <c r="F99" s="16" t="n"/>
      <c r="G99" s="16" t="n"/>
      <c r="H99" s="16" t="n"/>
      <c r="I99" s="16" t="n"/>
      <c r="J99" s="16" t="n"/>
      <c r="K99" s="16" t="n"/>
      <c r="L99" s="16" t="n"/>
      <c r="M99" s="16" t="n"/>
    </row>
    <row r="100">
      <c r="A100" s="16" t="n"/>
      <c r="B100" s="16" t="n"/>
      <c r="C100" s="16" t="n"/>
      <c r="D100" s="16" t="n"/>
      <c r="E100" s="16" t="n"/>
      <c r="F100" s="16" t="n"/>
      <c r="G100" s="16" t="n"/>
      <c r="H100" s="16" t="n"/>
      <c r="I100" s="16" t="n"/>
      <c r="J100" s="16" t="n"/>
      <c r="K100" s="16" t="n"/>
      <c r="L100" s="16" t="n"/>
      <c r="M100" s="16" t="n"/>
    </row>
    <row r="101">
      <c r="A101" s="16" t="n"/>
      <c r="B101" s="16" t="n"/>
      <c r="C101" s="16" t="n"/>
      <c r="D101" s="16" t="n"/>
      <c r="E101" s="16" t="n"/>
      <c r="F101" s="16" t="n"/>
      <c r="G101" s="16" t="n"/>
      <c r="H101" s="16" t="n"/>
      <c r="I101" s="16" t="n"/>
      <c r="J101" s="16" t="n"/>
      <c r="K101" s="16" t="n"/>
      <c r="L101" s="16" t="n"/>
      <c r="M101" s="16" t="n"/>
    </row>
    <row r="102">
      <c r="A102" s="16" t="n"/>
      <c r="B102" s="16" t="n"/>
      <c r="C102" s="16" t="n"/>
      <c r="D102" s="16" t="n"/>
      <c r="E102" s="16" t="n"/>
      <c r="F102" s="16" t="n"/>
      <c r="G102" s="16" t="n"/>
      <c r="H102" s="16" t="n"/>
      <c r="I102" s="16" t="n"/>
      <c r="J102" s="16" t="n"/>
      <c r="K102" s="16" t="n"/>
      <c r="L102" s="16" t="n"/>
      <c r="M102" s="16" t="n"/>
    </row>
    <row r="103">
      <c r="A103" s="16" t="n"/>
      <c r="B103" s="16" t="n"/>
      <c r="C103" s="16" t="n"/>
      <c r="D103" s="16" t="n"/>
      <c r="E103" s="16" t="n"/>
      <c r="F103" s="16" t="n"/>
      <c r="G103" s="16" t="n"/>
      <c r="H103" s="16" t="n"/>
      <c r="I103" s="16" t="n"/>
      <c r="J103" s="16" t="n"/>
      <c r="K103" s="16" t="n"/>
      <c r="L103" s="16" t="n"/>
      <c r="M103" s="16" t="n"/>
    </row>
    <row r="104">
      <c r="A104" s="16" t="n"/>
      <c r="B104" s="16" t="n"/>
      <c r="C104" s="16" t="n"/>
      <c r="D104" s="16" t="n"/>
      <c r="E104" s="16" t="n"/>
      <c r="F104" s="16" t="n"/>
      <c r="G104" s="16" t="n"/>
      <c r="H104" s="16" t="n"/>
      <c r="I104" s="16" t="n"/>
      <c r="J104" s="16" t="n"/>
      <c r="K104" s="16" t="n"/>
      <c r="L104" s="16" t="n"/>
      <c r="M104" s="16" t="n"/>
    </row>
    <row r="105">
      <c r="A105" s="16" t="n"/>
      <c r="B105" s="16" t="n"/>
      <c r="C105" s="16" t="n"/>
      <c r="D105" s="16" t="n"/>
      <c r="E105" s="16" t="n"/>
      <c r="F105" s="16" t="n"/>
      <c r="G105" s="16" t="n"/>
      <c r="H105" s="16" t="n"/>
      <c r="I105" s="16" t="n"/>
      <c r="J105" s="16" t="n"/>
      <c r="K105" s="16" t="n"/>
      <c r="L105" s="16" t="n"/>
      <c r="M105" s="16" t="n"/>
    </row>
    <row r="106">
      <c r="A106" s="16" t="n"/>
      <c r="B106" s="16" t="n"/>
      <c r="C106" s="16" t="n"/>
      <c r="D106" s="16" t="n"/>
      <c r="E106" s="16" t="n"/>
      <c r="F106" s="16" t="n"/>
      <c r="G106" s="16" t="n"/>
      <c r="H106" s="16" t="n"/>
      <c r="I106" s="16" t="n"/>
      <c r="J106" s="16" t="n"/>
      <c r="K106" s="16" t="n"/>
      <c r="L106" s="16" t="n"/>
      <c r="M106" s="16" t="n"/>
    </row>
    <row r="107">
      <c r="A107" s="16" t="n"/>
      <c r="B107" s="16" t="n"/>
      <c r="C107" s="16" t="n"/>
      <c r="D107" s="16" t="n"/>
      <c r="E107" s="16" t="n"/>
      <c r="F107" s="16" t="n"/>
      <c r="G107" s="16" t="n"/>
      <c r="H107" s="16" t="n"/>
      <c r="I107" s="16" t="n"/>
      <c r="J107" s="16" t="n"/>
      <c r="K107" s="16" t="n"/>
      <c r="L107" s="16" t="n"/>
      <c r="M107" s="16" t="n"/>
    </row>
    <row r="108">
      <c r="A108" s="16" t="n"/>
      <c r="B108" s="16" t="n"/>
      <c r="C108" s="16" t="n"/>
      <c r="D108" s="16" t="n"/>
      <c r="E108" s="16" t="n"/>
      <c r="F108" s="16" t="n"/>
      <c r="G108" s="16" t="n"/>
      <c r="H108" s="16" t="n"/>
      <c r="I108" s="16" t="n"/>
      <c r="J108" s="16" t="n"/>
      <c r="K108" s="16" t="n"/>
      <c r="L108" s="16" t="n"/>
      <c r="M108" s="16" t="n"/>
    </row>
    <row r="109">
      <c r="A109" s="16" t="n"/>
      <c r="B109" s="16" t="n"/>
      <c r="C109" s="16" t="n"/>
      <c r="D109" s="16" t="n"/>
      <c r="E109" s="16" t="n"/>
      <c r="F109" s="16" t="n"/>
      <c r="G109" s="16" t="n"/>
      <c r="H109" s="16" t="n"/>
      <c r="I109" s="16" t="n"/>
      <c r="J109" s="16" t="n"/>
      <c r="K109" s="16" t="n"/>
      <c r="L109" s="16" t="n"/>
      <c r="M109" s="16" t="n"/>
    </row>
    <row r="110">
      <c r="A110" s="16" t="n"/>
      <c r="B110" s="16" t="n"/>
      <c r="C110" s="16" t="n"/>
      <c r="D110" s="16" t="n"/>
      <c r="E110" s="16" t="n"/>
      <c r="F110" s="16" t="n"/>
      <c r="G110" s="16" t="n"/>
      <c r="H110" s="16" t="n"/>
      <c r="I110" s="16" t="n"/>
      <c r="J110" s="16" t="n"/>
      <c r="K110" s="16" t="n"/>
      <c r="L110" s="16" t="n"/>
      <c r="M110" s="16" t="n"/>
    </row>
    <row r="111">
      <c r="A111" s="16" t="n"/>
      <c r="B111" s="16" t="n"/>
      <c r="C111" s="16" t="n"/>
      <c r="D111" s="16" t="n"/>
      <c r="E111" s="16" t="n"/>
      <c r="F111" s="16" t="n"/>
      <c r="G111" s="16" t="n"/>
      <c r="H111" s="16" t="n"/>
      <c r="I111" s="16" t="n"/>
      <c r="J111" s="16" t="n"/>
      <c r="K111" s="16" t="n"/>
      <c r="L111" s="16" t="n"/>
      <c r="M111" s="16" t="n"/>
    </row>
    <row r="112">
      <c r="A112" s="16" t="n"/>
      <c r="B112" s="16" t="n"/>
      <c r="C112" s="16" t="n"/>
      <c r="D112" s="16" t="n"/>
      <c r="E112" s="16" t="n"/>
      <c r="F112" s="16" t="n"/>
      <c r="G112" s="16" t="n"/>
      <c r="H112" s="16" t="n"/>
      <c r="I112" s="16" t="n"/>
      <c r="J112" s="16" t="n"/>
      <c r="K112" s="16" t="n"/>
      <c r="L112" s="16" t="n"/>
      <c r="M112" s="16" t="n"/>
    </row>
    <row r="113">
      <c r="A113" s="16" t="n"/>
      <c r="B113" s="16" t="n"/>
      <c r="C113" s="16" t="n"/>
      <c r="D113" s="16" t="n"/>
      <c r="E113" s="16" t="n"/>
      <c r="F113" s="16" t="n"/>
      <c r="G113" s="16" t="n"/>
      <c r="H113" s="16" t="n"/>
      <c r="I113" s="16" t="n"/>
      <c r="J113" s="16" t="n"/>
      <c r="K113" s="16" t="n"/>
      <c r="L113" s="16" t="n"/>
      <c r="M113" s="16" t="n"/>
    </row>
    <row r="114">
      <c r="A114" s="16" t="n"/>
      <c r="B114" s="16" t="n"/>
      <c r="C114" s="16" t="n"/>
      <c r="D114" s="16" t="n"/>
      <c r="E114" s="16" t="n"/>
      <c r="F114" s="16" t="n"/>
      <c r="G114" s="16" t="n"/>
      <c r="H114" s="16" t="n"/>
      <c r="I114" s="16" t="n"/>
      <c r="J114" s="16" t="n"/>
      <c r="K114" s="16" t="n"/>
      <c r="L114" s="16" t="n"/>
      <c r="M114" s="16" t="n"/>
    </row>
    <row r="115">
      <c r="A115" s="16" t="n"/>
      <c r="B115" s="16" t="n"/>
      <c r="C115" s="16" t="n"/>
      <c r="D115" s="16" t="n"/>
      <c r="E115" s="16" t="n"/>
      <c r="F115" s="16" t="n"/>
      <c r="G115" s="16" t="n"/>
      <c r="H115" s="16" t="n"/>
      <c r="I115" s="16" t="n"/>
      <c r="J115" s="16" t="n"/>
      <c r="K115" s="16" t="n"/>
      <c r="L115" s="16" t="n"/>
      <c r="M115" s="16" t="n"/>
    </row>
    <row r="116">
      <c r="A116" s="16" t="n"/>
      <c r="B116" s="16" t="n"/>
      <c r="C116" s="16" t="n"/>
      <c r="D116" s="16" t="n"/>
      <c r="E116" s="16" t="n"/>
      <c r="F116" s="16" t="n"/>
      <c r="G116" s="16" t="n"/>
      <c r="H116" s="16" t="n"/>
      <c r="I116" s="16" t="n"/>
      <c r="J116" s="16" t="n"/>
      <c r="K116" s="16" t="n"/>
      <c r="L116" s="16" t="n"/>
      <c r="M116" s="16" t="n"/>
    </row>
    <row r="117">
      <c r="A117" s="16" t="n"/>
      <c r="B117" s="16" t="n"/>
      <c r="C117" s="16" t="n"/>
      <c r="D117" s="16" t="n"/>
      <c r="E117" s="16" t="n"/>
      <c r="F117" s="16" t="n"/>
      <c r="G117" s="16" t="n"/>
      <c r="H117" s="16" t="n"/>
      <c r="I117" s="16" t="n"/>
      <c r="J117" s="16" t="n"/>
      <c r="K117" s="16" t="n"/>
      <c r="L117" s="16" t="n"/>
      <c r="M117" s="16" t="n"/>
    </row>
    <row r="118">
      <c r="A118" s="16" t="n"/>
      <c r="B118" s="16" t="n"/>
      <c r="C118" s="16" t="n"/>
      <c r="D118" s="16" t="n"/>
      <c r="E118" s="16" t="n"/>
      <c r="F118" s="16" t="n"/>
      <c r="G118" s="16" t="n"/>
      <c r="H118" s="16" t="n"/>
      <c r="I118" s="16" t="n"/>
      <c r="J118" s="16" t="n"/>
      <c r="K118" s="16" t="n"/>
      <c r="L118" s="16" t="n"/>
      <c r="M118" s="16" t="n"/>
    </row>
    <row r="119">
      <c r="A119" s="16" t="n"/>
      <c r="B119" s="16" t="n"/>
      <c r="C119" s="16" t="n"/>
      <c r="D119" s="16" t="n"/>
      <c r="E119" s="16" t="n"/>
      <c r="F119" s="16" t="n"/>
      <c r="G119" s="16" t="n"/>
      <c r="H119" s="16" t="n"/>
      <c r="I119" s="16" t="n"/>
      <c r="J119" s="16" t="n"/>
      <c r="K119" s="16" t="n"/>
      <c r="L119" s="16" t="n"/>
      <c r="M119" s="16" t="n"/>
    </row>
    <row r="120">
      <c r="A120" s="16" t="n"/>
      <c r="B120" s="16" t="n"/>
      <c r="C120" s="16" t="n"/>
      <c r="D120" s="16" t="n"/>
      <c r="E120" s="16" t="n"/>
      <c r="F120" s="16" t="n"/>
      <c r="G120" s="16" t="n"/>
      <c r="H120" s="16" t="n"/>
      <c r="I120" s="16" t="n"/>
      <c r="J120" s="16" t="n"/>
      <c r="K120" s="16" t="n"/>
      <c r="L120" s="16" t="n"/>
      <c r="M120" s="16" t="n"/>
    </row>
    <row r="121">
      <c r="A121" s="16" t="n"/>
      <c r="B121" s="16" t="n"/>
      <c r="C121" s="16" t="n"/>
      <c r="D121" s="16" t="n"/>
      <c r="E121" s="16" t="n"/>
      <c r="F121" s="16" t="n"/>
      <c r="G121" s="16" t="n"/>
      <c r="H121" s="16" t="n"/>
      <c r="I121" s="16" t="n"/>
      <c r="J121" s="16" t="n"/>
      <c r="K121" s="16" t="n"/>
      <c r="L121" s="16" t="n"/>
      <c r="M121" s="16" t="n"/>
    </row>
    <row r="122">
      <c r="A122" s="16" t="n"/>
      <c r="B122" s="16" t="n"/>
      <c r="C122" s="16" t="n"/>
      <c r="D122" s="16" t="n"/>
      <c r="E122" s="16" t="n"/>
      <c r="F122" s="16" t="n"/>
      <c r="G122" s="16" t="n"/>
      <c r="H122" s="16" t="n"/>
      <c r="I122" s="16" t="n"/>
      <c r="J122" s="16" t="n"/>
      <c r="K122" s="16" t="n"/>
      <c r="L122" s="16" t="n"/>
      <c r="M122" s="16" t="n"/>
    </row>
    <row r="123">
      <c r="A123" s="16" t="n"/>
      <c r="B123" s="16" t="n"/>
      <c r="C123" s="16" t="n"/>
      <c r="D123" s="16" t="n"/>
      <c r="E123" s="16" t="n"/>
      <c r="F123" s="16" t="n"/>
      <c r="G123" s="16" t="n"/>
      <c r="H123" s="16" t="n"/>
      <c r="I123" s="16" t="n"/>
      <c r="J123" s="16" t="n"/>
      <c r="K123" s="16" t="n"/>
      <c r="L123" s="16" t="n"/>
      <c r="M123" s="16" t="n"/>
    </row>
    <row r="124">
      <c r="A124" s="16" t="n"/>
      <c r="B124" s="16" t="n"/>
      <c r="C124" s="16" t="n"/>
      <c r="D124" s="16" t="n"/>
      <c r="E124" s="16" t="n"/>
      <c r="F124" s="16" t="n"/>
      <c r="G124" s="16" t="n"/>
      <c r="H124" s="16" t="n"/>
      <c r="I124" s="16" t="n"/>
      <c r="J124" s="16" t="n"/>
      <c r="K124" s="16" t="n"/>
      <c r="L124" s="16" t="n"/>
      <c r="M124" s="16" t="n"/>
    </row>
    <row r="125">
      <c r="A125" s="16" t="n"/>
      <c r="B125" s="16" t="n"/>
      <c r="C125" s="16" t="n"/>
      <c r="D125" s="16" t="n"/>
      <c r="E125" s="16" t="n"/>
      <c r="F125" s="16" t="n"/>
      <c r="G125" s="16" t="n"/>
      <c r="H125" s="16" t="n"/>
      <c r="I125" s="16" t="n"/>
      <c r="J125" s="16" t="n"/>
      <c r="K125" s="16" t="n"/>
      <c r="L125" s="16" t="n"/>
      <c r="M125" s="16" t="n"/>
    </row>
    <row r="126">
      <c r="A126" s="16" t="n"/>
      <c r="B126" s="16" t="n"/>
      <c r="C126" s="16" t="n"/>
      <c r="D126" s="16" t="n"/>
      <c r="E126" s="16" t="n"/>
      <c r="F126" s="16" t="n"/>
      <c r="G126" s="16" t="n"/>
      <c r="H126" s="16" t="n"/>
      <c r="I126" s="16" t="n"/>
      <c r="J126" s="16" t="n"/>
      <c r="K126" s="16" t="n"/>
      <c r="L126" s="16" t="n"/>
      <c r="M126" s="16" t="n"/>
    </row>
    <row r="127">
      <c r="A127" s="16" t="n"/>
      <c r="B127" s="16" t="n"/>
      <c r="C127" s="16" t="n"/>
      <c r="D127" s="16" t="n"/>
      <c r="E127" s="16" t="n"/>
      <c r="F127" s="16" t="n"/>
      <c r="G127" s="16" t="n"/>
      <c r="H127" s="16" t="n"/>
      <c r="I127" s="16" t="n"/>
      <c r="J127" s="16" t="n"/>
      <c r="K127" s="16" t="n"/>
      <c r="L127" s="16" t="n"/>
      <c r="M127" s="16" t="n"/>
    </row>
    <row r="128">
      <c r="A128" s="16" t="n"/>
      <c r="B128" s="16" t="n"/>
      <c r="C128" s="16" t="n"/>
      <c r="D128" s="16" t="n"/>
      <c r="E128" s="16" t="n"/>
      <c r="F128" s="16" t="n"/>
      <c r="G128" s="16" t="n"/>
      <c r="H128" s="16" t="n"/>
      <c r="I128" s="16" t="n"/>
      <c r="J128" s="16" t="n"/>
      <c r="K128" s="16" t="n"/>
      <c r="L128" s="16" t="n"/>
      <c r="M128" s="16" t="n"/>
    </row>
    <row r="129">
      <c r="A129" s="16" t="n"/>
      <c r="B129" s="16" t="n"/>
      <c r="C129" s="16" t="n"/>
      <c r="D129" s="16" t="n"/>
      <c r="E129" s="16" t="n"/>
      <c r="F129" s="16" t="n"/>
      <c r="G129" s="16" t="n"/>
      <c r="H129" s="16" t="n"/>
      <c r="I129" s="16" t="n"/>
      <c r="J129" s="16" t="n"/>
      <c r="K129" s="16" t="n"/>
      <c r="L129" s="16" t="n"/>
      <c r="M129" s="16" t="n"/>
    </row>
    <row r="130">
      <c r="A130" s="16" t="n"/>
      <c r="B130" s="16" t="n"/>
      <c r="C130" s="16" t="n"/>
      <c r="D130" s="16" t="n"/>
      <c r="E130" s="16" t="n"/>
      <c r="F130" s="16" t="n"/>
      <c r="G130" s="16" t="n"/>
      <c r="H130" s="16" t="n"/>
      <c r="I130" s="16" t="n"/>
      <c r="J130" s="16" t="n"/>
      <c r="K130" s="16" t="n"/>
      <c r="L130" s="16" t="n"/>
      <c r="M130" s="16" t="n"/>
    </row>
    <row r="131">
      <c r="A131" s="16" t="n"/>
      <c r="B131" s="16" t="n"/>
      <c r="C131" s="16" t="n"/>
      <c r="D131" s="16" t="n"/>
      <c r="E131" s="16" t="n"/>
      <c r="F131" s="16" t="n"/>
      <c r="G131" s="16" t="n"/>
      <c r="H131" s="16" t="n"/>
      <c r="I131" s="16" t="n"/>
      <c r="J131" s="16" t="n"/>
      <c r="K131" s="16" t="n"/>
      <c r="L131" s="16" t="n"/>
      <c r="M131" s="16" t="n"/>
    </row>
    <row r="132">
      <c r="A132" s="16" t="n"/>
      <c r="B132" s="16" t="n"/>
      <c r="C132" s="16" t="n"/>
      <c r="D132" s="16" t="n"/>
      <c r="E132" s="16" t="n"/>
      <c r="F132" s="16" t="n"/>
      <c r="G132" s="16" t="n"/>
      <c r="H132" s="16" t="n"/>
      <c r="I132" s="16" t="n"/>
      <c r="J132" s="16" t="n"/>
      <c r="K132" s="16" t="n"/>
      <c r="L132" s="16" t="n"/>
      <c r="M132" s="16" t="n"/>
    </row>
    <row r="133">
      <c r="A133" s="16" t="n"/>
      <c r="B133" s="16" t="n"/>
      <c r="C133" s="16" t="n"/>
      <c r="D133" s="16" t="n"/>
      <c r="E133" s="16" t="n"/>
      <c r="F133" s="16" t="n"/>
      <c r="G133" s="16" t="n"/>
      <c r="H133" s="16" t="n"/>
      <c r="I133" s="16" t="n"/>
      <c r="J133" s="16" t="n"/>
      <c r="K133" s="16" t="n"/>
      <c r="L133" s="16" t="n"/>
      <c r="M133" s="16" t="n"/>
    </row>
    <row r="134">
      <c r="A134" s="16" t="n"/>
      <c r="B134" s="16" t="n"/>
      <c r="C134" s="16" t="n"/>
      <c r="D134" s="16" t="n"/>
      <c r="E134" s="16" t="n"/>
      <c r="F134" s="16" t="n"/>
      <c r="G134" s="16" t="n"/>
      <c r="H134" s="16" t="n"/>
      <c r="I134" s="16" t="n"/>
      <c r="J134" s="16" t="n"/>
      <c r="K134" s="16" t="n"/>
      <c r="L134" s="16" t="n"/>
      <c r="M134" s="16" t="n"/>
    </row>
    <row r="135">
      <c r="A135" s="16" t="n"/>
      <c r="B135" s="16" t="n"/>
      <c r="C135" s="16" t="n"/>
      <c r="D135" s="16" t="n"/>
      <c r="E135" s="16" t="n"/>
      <c r="F135" s="16" t="n"/>
      <c r="G135" s="16" t="n"/>
      <c r="H135" s="16" t="n"/>
      <c r="I135" s="16" t="n"/>
      <c r="J135" s="16" t="n"/>
      <c r="K135" s="16" t="n"/>
      <c r="L135" s="16" t="n"/>
      <c r="M135" s="16" t="n"/>
    </row>
    <row r="136">
      <c r="A136" s="16" t="n"/>
      <c r="B136" s="16" t="n"/>
      <c r="C136" s="16" t="n"/>
      <c r="D136" s="16" t="n"/>
      <c r="E136" s="16" t="n"/>
      <c r="F136" s="16" t="n"/>
      <c r="G136" s="16" t="n"/>
      <c r="H136" s="16" t="n"/>
      <c r="I136" s="16" t="n"/>
      <c r="J136" s="16" t="n"/>
      <c r="K136" s="16" t="n"/>
      <c r="L136" s="16" t="n"/>
      <c r="M136" s="16" t="n"/>
    </row>
    <row r="137">
      <c r="A137" s="16" t="n"/>
      <c r="B137" s="16" t="n"/>
      <c r="C137" s="16" t="n"/>
      <c r="D137" s="16" t="n"/>
      <c r="E137" s="16" t="n"/>
      <c r="F137" s="16" t="n"/>
      <c r="G137" s="16" t="n"/>
      <c r="H137" s="16" t="n"/>
      <c r="I137" s="16" t="n"/>
      <c r="J137" s="16" t="n"/>
      <c r="K137" s="16" t="n"/>
      <c r="L137" s="16" t="n"/>
      <c r="M137" s="16" t="n"/>
    </row>
    <row r="138">
      <c r="A138" s="16" t="n"/>
      <c r="B138" s="16" t="n"/>
      <c r="C138" s="16" t="n"/>
      <c r="D138" s="16" t="n"/>
      <c r="E138" s="16" t="n"/>
      <c r="F138" s="16" t="n"/>
      <c r="G138" s="16" t="n"/>
      <c r="H138" s="16" t="n"/>
      <c r="I138" s="16" t="n"/>
      <c r="J138" s="16" t="n"/>
      <c r="K138" s="16" t="n"/>
      <c r="L138" s="16" t="n"/>
      <c r="M138" s="16" t="n"/>
    </row>
    <row r="139">
      <c r="A139" s="16" t="n"/>
      <c r="B139" s="16" t="n"/>
      <c r="C139" s="16" t="n"/>
      <c r="D139" s="16" t="n"/>
      <c r="E139" s="16" t="n"/>
      <c r="F139" s="16" t="n"/>
      <c r="G139" s="16" t="n"/>
      <c r="H139" s="16" t="n"/>
      <c r="I139" s="16" t="n"/>
      <c r="J139" s="16" t="n"/>
      <c r="K139" s="16" t="n"/>
      <c r="L139" s="16" t="n"/>
      <c r="M139" s="16" t="n"/>
    </row>
    <row r="140">
      <c r="A140" s="16" t="n"/>
      <c r="B140" s="16" t="n"/>
      <c r="C140" s="16" t="n"/>
      <c r="D140" s="16" t="n"/>
      <c r="E140" s="16" t="n"/>
      <c r="F140" s="16" t="n"/>
      <c r="G140" s="16" t="n"/>
      <c r="H140" s="16" t="n"/>
      <c r="I140" s="16" t="n"/>
      <c r="J140" s="16" t="n"/>
      <c r="K140" s="16" t="n"/>
      <c r="L140" s="16" t="n"/>
      <c r="M140" s="16" t="n"/>
    </row>
    <row r="141">
      <c r="A141" s="16" t="n"/>
      <c r="B141" s="16" t="n"/>
      <c r="C141" s="16" t="n"/>
      <c r="D141" s="16" t="n"/>
      <c r="E141" s="16" t="n"/>
      <c r="F141" s="16" t="n"/>
      <c r="G141" s="16" t="n"/>
      <c r="H141" s="16" t="n"/>
      <c r="I141" s="16" t="n"/>
      <c r="J141" s="16" t="n"/>
      <c r="K141" s="16" t="n"/>
      <c r="L141" s="16" t="n"/>
      <c r="M141" s="16" t="n"/>
    </row>
    <row r="142">
      <c r="A142" s="16" t="n"/>
      <c r="B142" s="16" t="n"/>
      <c r="C142" s="16" t="n"/>
      <c r="D142" s="16" t="n"/>
      <c r="E142" s="16" t="n"/>
      <c r="F142" s="16" t="n"/>
      <c r="G142" s="16" t="n"/>
      <c r="H142" s="16" t="n"/>
      <c r="I142" s="16" t="n"/>
      <c r="J142" s="16" t="n"/>
      <c r="K142" s="16" t="n"/>
      <c r="L142" s="16" t="n"/>
      <c r="M142" s="16" t="n"/>
    </row>
    <row r="143">
      <c r="A143" s="16" t="n"/>
      <c r="B143" s="16" t="n"/>
      <c r="C143" s="16" t="n"/>
      <c r="D143" s="16" t="n"/>
      <c r="E143" s="16" t="n"/>
      <c r="F143" s="16" t="n"/>
      <c r="G143" s="16" t="n"/>
      <c r="H143" s="16" t="n"/>
      <c r="I143" s="16" t="n"/>
      <c r="J143" s="16" t="n"/>
      <c r="K143" s="16" t="n"/>
      <c r="L143" s="16" t="n"/>
      <c r="M143" s="16" t="n"/>
    </row>
    <row r="144">
      <c r="A144" s="16" t="n"/>
      <c r="B144" s="16" t="n"/>
      <c r="C144" s="16" t="n"/>
      <c r="D144" s="16" t="n"/>
      <c r="E144" s="16" t="n"/>
      <c r="F144" s="16" t="n"/>
      <c r="G144" s="16" t="n"/>
      <c r="H144" s="16" t="n"/>
      <c r="I144" s="16" t="n"/>
      <c r="J144" s="16" t="n"/>
      <c r="K144" s="16" t="n"/>
      <c r="L144" s="16" t="n"/>
      <c r="M144" s="16" t="n"/>
    </row>
    <row r="145">
      <c r="A145" s="16" t="n"/>
      <c r="B145" s="16" t="n"/>
      <c r="C145" s="16" t="n"/>
      <c r="D145" s="16" t="n"/>
      <c r="E145" s="16" t="n"/>
      <c r="F145" s="16" t="n"/>
      <c r="G145" s="16" t="n"/>
      <c r="H145" s="16" t="n"/>
      <c r="I145" s="16" t="n"/>
      <c r="J145" s="16" t="n"/>
      <c r="K145" s="16" t="n"/>
      <c r="L145" s="16" t="n"/>
      <c r="M145" s="16" t="n"/>
    </row>
    <row r="146">
      <c r="A146" s="16" t="n"/>
      <c r="B146" s="16" t="n"/>
      <c r="C146" s="16" t="n"/>
      <c r="D146" s="16" t="n"/>
      <c r="E146" s="16" t="n"/>
      <c r="F146" s="16" t="n"/>
      <c r="G146" s="16" t="n"/>
      <c r="H146" s="16" t="n"/>
      <c r="I146" s="16" t="n"/>
      <c r="J146" s="16" t="n"/>
      <c r="K146" s="16" t="n"/>
      <c r="L146" s="16" t="n"/>
      <c r="M146" s="16" t="n"/>
    </row>
    <row r="147">
      <c r="A147" s="16" t="n"/>
      <c r="B147" s="16" t="n"/>
      <c r="C147" s="16" t="n"/>
      <c r="D147" s="16" t="n"/>
      <c r="E147" s="16" t="n"/>
      <c r="F147" s="16" t="n"/>
      <c r="G147" s="16" t="n"/>
      <c r="H147" s="16" t="n"/>
      <c r="I147" s="16" t="n"/>
      <c r="J147" s="16" t="n"/>
      <c r="K147" s="16" t="n"/>
      <c r="L147" s="16" t="n"/>
      <c r="M147" s="16" t="n"/>
    </row>
    <row r="148">
      <c r="A148" s="16" t="n"/>
      <c r="B148" s="16" t="n"/>
      <c r="C148" s="16" t="n"/>
      <c r="D148" s="16" t="n"/>
      <c r="E148" s="16" t="n"/>
      <c r="F148" s="16" t="n"/>
      <c r="G148" s="16" t="n"/>
      <c r="H148" s="16" t="n"/>
      <c r="I148" s="16" t="n"/>
      <c r="J148" s="16" t="n"/>
      <c r="K148" s="16" t="n"/>
      <c r="L148" s="16" t="n"/>
      <c r="M148" s="16" t="n"/>
    </row>
    <row r="149">
      <c r="A149" s="16" t="n"/>
      <c r="B149" s="16" t="n"/>
      <c r="C149" s="16" t="n"/>
      <c r="D149" s="16" t="n"/>
      <c r="E149" s="16" t="n"/>
      <c r="F149" s="16" t="n"/>
      <c r="G149" s="16" t="n"/>
      <c r="H149" s="16" t="n"/>
      <c r="I149" s="16" t="n"/>
      <c r="J149" s="16" t="n"/>
      <c r="K149" s="16" t="n"/>
      <c r="L149" s="16" t="n"/>
      <c r="M149" s="16" t="n"/>
    </row>
    <row r="150">
      <c r="A150" s="16" t="n"/>
      <c r="B150" s="16" t="n"/>
      <c r="C150" s="16" t="n"/>
      <c r="D150" s="16" t="n"/>
      <c r="E150" s="16" t="n"/>
      <c r="F150" s="16" t="n"/>
      <c r="G150" s="16" t="n"/>
      <c r="H150" s="16" t="n"/>
      <c r="I150" s="16" t="n"/>
      <c r="J150" s="16" t="n"/>
      <c r="K150" s="16" t="n"/>
      <c r="L150" s="16" t="n"/>
      <c r="M150" s="16" t="n"/>
    </row>
    <row r="151">
      <c r="A151" s="16" t="n"/>
      <c r="B151" s="16" t="n"/>
      <c r="C151" s="16" t="n"/>
      <c r="D151" s="16" t="n"/>
      <c r="E151" s="16" t="n"/>
      <c r="F151" s="16" t="n"/>
      <c r="G151" s="16" t="n"/>
      <c r="H151" s="16" t="n"/>
      <c r="I151" s="16" t="n"/>
      <c r="J151" s="16" t="n"/>
      <c r="K151" s="16" t="n"/>
      <c r="L151" s="16" t="n"/>
      <c r="M151" s="16" t="n"/>
    </row>
    <row r="152">
      <c r="A152" s="16" t="n"/>
      <c r="B152" s="16" t="n"/>
      <c r="C152" s="16" t="n"/>
      <c r="D152" s="16" t="n"/>
      <c r="E152" s="16" t="n"/>
      <c r="F152" s="16" t="n"/>
      <c r="G152" s="16" t="n"/>
      <c r="H152" s="16" t="n"/>
      <c r="I152" s="16" t="n"/>
      <c r="J152" s="16" t="n"/>
      <c r="K152" s="16" t="n"/>
      <c r="L152" s="16" t="n"/>
      <c r="M152" s="16" t="n"/>
    </row>
    <row r="153">
      <c r="A153" s="16" t="n"/>
      <c r="B153" s="16" t="n"/>
      <c r="C153" s="16" t="n"/>
      <c r="D153" s="16" t="n"/>
      <c r="E153" s="16" t="n"/>
      <c r="F153" s="16" t="n"/>
      <c r="G153" s="16" t="n"/>
      <c r="H153" s="16" t="n"/>
      <c r="I153" s="16" t="n"/>
      <c r="J153" s="16" t="n"/>
      <c r="K153" s="16" t="n"/>
      <c r="L153" s="16" t="n"/>
      <c r="M153" s="16" t="n"/>
    </row>
    <row r="154">
      <c r="A154" s="16" t="n"/>
      <c r="B154" s="16" t="n"/>
      <c r="C154" s="16" t="n"/>
      <c r="D154" s="16" t="n"/>
      <c r="E154" s="16" t="n"/>
      <c r="F154" s="16" t="n"/>
      <c r="G154" s="16" t="n"/>
      <c r="H154" s="16" t="n"/>
      <c r="I154" s="16" t="n"/>
      <c r="J154" s="16" t="n"/>
      <c r="K154" s="16" t="n"/>
      <c r="L154" s="16" t="n"/>
      <c r="M154" s="16" t="n"/>
    </row>
    <row r="155">
      <c r="A155" s="16" t="n"/>
      <c r="B155" s="16" t="n"/>
      <c r="C155" s="16" t="n"/>
      <c r="D155" s="16" t="n"/>
      <c r="E155" s="16" t="n"/>
      <c r="F155" s="16" t="n"/>
      <c r="G155" s="16" t="n"/>
      <c r="H155" s="16" t="n"/>
      <c r="I155" s="16" t="n"/>
      <c r="J155" s="16" t="n"/>
      <c r="K155" s="16" t="n"/>
      <c r="L155" s="16" t="n"/>
      <c r="M155" s="16" t="n"/>
    </row>
    <row r="156">
      <c r="A156" s="16" t="n"/>
      <c r="B156" s="16" t="n"/>
      <c r="C156" s="16" t="n"/>
      <c r="D156" s="16" t="n"/>
      <c r="E156" s="16" t="n"/>
      <c r="F156" s="16" t="n"/>
      <c r="G156" s="16" t="n"/>
      <c r="H156" s="16" t="n"/>
      <c r="I156" s="16" t="n"/>
      <c r="J156" s="16" t="n"/>
      <c r="K156" s="16" t="n"/>
      <c r="L156" s="16" t="n"/>
      <c r="M156" s="16" t="n"/>
    </row>
    <row r="157">
      <c r="A157" s="16" t="n"/>
      <c r="B157" s="16" t="n"/>
      <c r="C157" s="16" t="n"/>
      <c r="D157" s="16" t="n"/>
      <c r="E157" s="16" t="n"/>
      <c r="F157" s="16" t="n"/>
      <c r="G157" s="16" t="n"/>
      <c r="H157" s="16" t="n"/>
      <c r="I157" s="16" t="n"/>
      <c r="J157" s="16" t="n"/>
      <c r="K157" s="16" t="n"/>
      <c r="L157" s="16" t="n"/>
      <c r="M157" s="16" t="n"/>
    </row>
    <row r="158">
      <c r="A158" s="16" t="n"/>
      <c r="B158" s="16" t="n"/>
      <c r="C158" s="16" t="n"/>
      <c r="D158" s="16" t="n"/>
      <c r="E158" s="16" t="n"/>
      <c r="F158" s="16" t="n"/>
      <c r="G158" s="16" t="n"/>
      <c r="H158" s="16" t="n"/>
      <c r="I158" s="16" t="n"/>
      <c r="J158" s="16" t="n"/>
      <c r="K158" s="16" t="n"/>
      <c r="L158" s="16" t="n"/>
      <c r="M158" s="16" t="n"/>
    </row>
    <row r="159">
      <c r="A159" s="16" t="n"/>
      <c r="B159" s="16" t="n"/>
      <c r="C159" s="16" t="n"/>
      <c r="D159" s="16" t="n"/>
      <c r="E159" s="16" t="n"/>
      <c r="F159" s="16" t="n"/>
      <c r="G159" s="16" t="n"/>
      <c r="H159" s="16" t="n"/>
      <c r="I159" s="16" t="n"/>
      <c r="J159" s="16" t="n"/>
      <c r="K159" s="16" t="n"/>
      <c r="L159" s="16" t="n"/>
      <c r="M159" s="16" t="n"/>
    </row>
    <row r="160">
      <c r="A160" s="16" t="n"/>
      <c r="B160" s="16" t="n"/>
      <c r="C160" s="16" t="n"/>
      <c r="D160" s="16" t="n"/>
      <c r="E160" s="16" t="n"/>
      <c r="F160" s="16" t="n"/>
      <c r="G160" s="16" t="n"/>
      <c r="H160" s="16" t="n"/>
      <c r="I160" s="16" t="n"/>
      <c r="J160" s="16" t="n"/>
      <c r="K160" s="16" t="n"/>
      <c r="L160" s="16" t="n"/>
      <c r="M160" s="16" t="n"/>
    </row>
    <row r="161">
      <c r="A161" s="16" t="n"/>
      <c r="B161" s="16" t="n"/>
      <c r="C161" s="16" t="n"/>
      <c r="D161" s="16" t="n"/>
      <c r="E161" s="16" t="n"/>
      <c r="F161" s="16" t="n"/>
      <c r="G161" s="16" t="n"/>
      <c r="H161" s="16" t="n"/>
      <c r="I161" s="16" t="n"/>
      <c r="J161" s="16" t="n"/>
      <c r="K161" s="16" t="n"/>
      <c r="L161" s="16" t="n"/>
      <c r="M161" s="16" t="n"/>
    </row>
    <row r="162">
      <c r="A162" s="16" t="n"/>
      <c r="B162" s="16" t="n"/>
      <c r="C162" s="16" t="n"/>
      <c r="D162" s="16" t="n"/>
      <c r="E162" s="16" t="n"/>
      <c r="F162" s="16" t="n"/>
      <c r="G162" s="16" t="n"/>
      <c r="H162" s="16" t="n"/>
      <c r="I162" s="16" t="n"/>
      <c r="J162" s="16" t="n"/>
      <c r="K162" s="16" t="n"/>
      <c r="L162" s="16" t="n"/>
      <c r="M162" s="16" t="n"/>
    </row>
    <row r="163">
      <c r="A163" s="16" t="n"/>
      <c r="B163" s="16" t="n"/>
      <c r="C163" s="16" t="n"/>
      <c r="D163" s="16" t="n"/>
      <c r="E163" s="16" t="n"/>
      <c r="F163" s="16" t="n"/>
      <c r="G163" s="16" t="n"/>
      <c r="H163" s="16" t="n"/>
      <c r="I163" s="16" t="n"/>
      <c r="J163" s="16" t="n"/>
      <c r="K163" s="16" t="n"/>
      <c r="L163" s="16" t="n"/>
      <c r="M163" s="16" t="n"/>
    </row>
    <row r="164">
      <c r="A164" s="16" t="n"/>
      <c r="B164" s="16" t="n"/>
      <c r="C164" s="16" t="n"/>
      <c r="D164" s="16" t="n"/>
      <c r="E164" s="16" t="n"/>
      <c r="F164" s="16" t="n"/>
      <c r="G164" s="16" t="n"/>
      <c r="H164" s="16" t="n"/>
      <c r="I164" s="16" t="n"/>
      <c r="J164" s="16" t="n"/>
      <c r="K164" s="16" t="n"/>
      <c r="L164" s="16" t="n"/>
      <c r="M164" s="16" t="n"/>
    </row>
    <row r="165">
      <c r="A165" s="16" t="n"/>
      <c r="B165" s="16" t="n"/>
      <c r="C165" s="16" t="n"/>
      <c r="D165" s="16" t="n"/>
      <c r="E165" s="16" t="n"/>
      <c r="F165" s="16" t="n"/>
      <c r="G165" s="16" t="n"/>
      <c r="H165" s="16" t="n"/>
      <c r="I165" s="16" t="n"/>
      <c r="J165" s="16" t="n"/>
      <c r="K165" s="16" t="n"/>
      <c r="L165" s="16" t="n"/>
      <c r="M165" s="16" t="n"/>
    </row>
    <row r="166">
      <c r="A166" s="16" t="n"/>
      <c r="B166" s="16" t="n"/>
      <c r="C166" s="16" t="n"/>
      <c r="D166" s="16" t="n"/>
      <c r="E166" s="16" t="n"/>
      <c r="F166" s="16" t="n"/>
      <c r="G166" s="16" t="n"/>
      <c r="H166" s="16" t="n"/>
      <c r="I166" s="16" t="n"/>
      <c r="J166" s="16" t="n"/>
      <c r="K166" s="16" t="n"/>
      <c r="L166" s="16" t="n"/>
      <c r="M166" s="16" t="n"/>
    </row>
    <row r="167">
      <c r="A167" s="16" t="n"/>
      <c r="B167" s="16" t="n"/>
      <c r="C167" s="16" t="n"/>
      <c r="D167" s="16" t="n"/>
      <c r="E167" s="16" t="n"/>
      <c r="F167" s="16" t="n"/>
      <c r="G167" s="16" t="n"/>
      <c r="H167" s="16" t="n"/>
      <c r="I167" s="16" t="n"/>
      <c r="J167" s="16" t="n"/>
      <c r="K167" s="16" t="n"/>
      <c r="L167" s="16" t="n"/>
      <c r="M167" s="16" t="n"/>
    </row>
    <row r="168">
      <c r="A168" s="16" t="n"/>
      <c r="B168" s="16" t="n"/>
      <c r="C168" s="16" t="n"/>
      <c r="D168" s="16" t="n"/>
      <c r="E168" s="16" t="n"/>
      <c r="F168" s="16" t="n"/>
      <c r="G168" s="16" t="n"/>
      <c r="H168" s="16" t="n"/>
      <c r="I168" s="16" t="n"/>
      <c r="J168" s="16" t="n"/>
      <c r="K168" s="16" t="n"/>
      <c r="L168" s="16" t="n"/>
      <c r="M168" s="16" t="n"/>
    </row>
    <row r="169">
      <c r="A169" s="16" t="n"/>
      <c r="B169" s="16" t="n"/>
      <c r="C169" s="16" t="n"/>
      <c r="D169" s="16" t="n"/>
      <c r="E169" s="16" t="n"/>
      <c r="F169" s="16" t="n"/>
      <c r="G169" s="16" t="n"/>
      <c r="H169" s="16" t="n"/>
      <c r="I169" s="16" t="n"/>
      <c r="J169" s="16" t="n"/>
      <c r="K169" s="16" t="n"/>
      <c r="L169" s="16" t="n"/>
      <c r="M169" s="16" t="n"/>
    </row>
    <row r="170">
      <c r="A170" s="16" t="n"/>
      <c r="B170" s="16" t="n"/>
      <c r="C170" s="16" t="n"/>
      <c r="D170" s="16" t="n"/>
      <c r="E170" s="16" t="n"/>
      <c r="F170" s="16" t="n"/>
      <c r="G170" s="16" t="n"/>
      <c r="H170" s="16" t="n"/>
      <c r="I170" s="16" t="n"/>
      <c r="J170" s="16" t="n"/>
      <c r="K170" s="16" t="n"/>
      <c r="L170" s="16" t="n"/>
      <c r="M170" s="16" t="n"/>
    </row>
    <row r="171">
      <c r="A171" s="16" t="n"/>
      <c r="B171" s="16" t="n"/>
      <c r="C171" s="16" t="n"/>
      <c r="D171" s="16" t="n"/>
      <c r="E171" s="16" t="n"/>
      <c r="F171" s="16" t="n"/>
      <c r="G171" s="16" t="n"/>
      <c r="H171" s="16" t="n"/>
      <c r="I171" s="16" t="n"/>
      <c r="J171" s="16" t="n"/>
      <c r="K171" s="16" t="n"/>
      <c r="L171" s="16" t="n"/>
      <c r="M171" s="16" t="n"/>
    </row>
    <row r="172">
      <c r="A172" s="16" t="n"/>
      <c r="B172" s="16" t="n"/>
      <c r="C172" s="16" t="n"/>
      <c r="D172" s="16" t="n"/>
      <c r="E172" s="16" t="n"/>
      <c r="F172" s="16" t="n"/>
      <c r="G172" s="16" t="n"/>
      <c r="H172" s="16" t="n"/>
      <c r="I172" s="16" t="n"/>
      <c r="J172" s="16" t="n"/>
      <c r="K172" s="16" t="n"/>
      <c r="L172" s="16" t="n"/>
      <c r="M172" s="16" t="n"/>
    </row>
    <row r="173">
      <c r="A173" s="16" t="n"/>
      <c r="B173" s="16" t="n"/>
      <c r="C173" s="16" t="n"/>
      <c r="D173" s="16" t="n"/>
      <c r="E173" s="16" t="n"/>
      <c r="F173" s="16" t="n"/>
      <c r="G173" s="16" t="n"/>
      <c r="H173" s="16" t="n"/>
      <c r="I173" s="16" t="n"/>
      <c r="J173" s="16" t="n"/>
      <c r="K173" s="16" t="n"/>
      <c r="L173" s="16" t="n"/>
      <c r="M173" s="16" t="n"/>
    </row>
    <row r="174">
      <c r="A174" s="16" t="n"/>
      <c r="B174" s="16" t="n"/>
      <c r="C174" s="16" t="n"/>
      <c r="D174" s="16" t="n"/>
      <c r="E174" s="16" t="n"/>
      <c r="F174" s="16" t="n"/>
      <c r="G174" s="16" t="n"/>
      <c r="H174" s="16" t="n"/>
      <c r="I174" s="16" t="n"/>
      <c r="J174" s="16" t="n"/>
      <c r="K174" s="16" t="n"/>
      <c r="L174" s="16" t="n"/>
      <c r="M174" s="16" t="n"/>
    </row>
    <row r="175">
      <c r="A175" s="16" t="n"/>
      <c r="B175" s="16" t="n"/>
      <c r="C175" s="16" t="n"/>
      <c r="D175" s="16" t="n"/>
      <c r="E175" s="16" t="n"/>
      <c r="F175" s="16" t="n"/>
      <c r="G175" s="16" t="n"/>
      <c r="H175" s="16" t="n"/>
      <c r="I175" s="16" t="n"/>
      <c r="J175" s="16" t="n"/>
      <c r="K175" s="16" t="n"/>
      <c r="L175" s="16" t="n"/>
      <c r="M175" s="16" t="n"/>
    </row>
    <row r="176">
      <c r="A176" s="16" t="n"/>
      <c r="B176" s="16" t="n"/>
      <c r="C176" s="16" t="n"/>
      <c r="D176" s="16" t="n"/>
      <c r="E176" s="16" t="n"/>
      <c r="F176" s="16" t="n"/>
      <c r="G176" s="16" t="n"/>
      <c r="H176" s="16" t="n"/>
      <c r="I176" s="16" t="n"/>
      <c r="J176" s="16" t="n"/>
      <c r="K176" s="16" t="n"/>
      <c r="L176" s="16" t="n"/>
      <c r="M176" s="16" t="n"/>
    </row>
    <row r="177">
      <c r="A177" s="16" t="n"/>
      <c r="B177" s="16" t="n"/>
      <c r="C177" s="16" t="n"/>
      <c r="D177" s="16" t="n"/>
      <c r="E177" s="16" t="n"/>
      <c r="F177" s="16" t="n"/>
      <c r="G177" s="16" t="n"/>
      <c r="H177" s="16" t="n"/>
      <c r="I177" s="16" t="n"/>
      <c r="J177" s="16" t="n"/>
      <c r="K177" s="16" t="n"/>
      <c r="L177" s="16" t="n"/>
      <c r="M177" s="16" t="n"/>
    </row>
    <row r="178">
      <c r="A178" s="16" t="n"/>
      <c r="B178" s="16" t="n"/>
      <c r="C178" s="16" t="n"/>
      <c r="D178" s="16" t="n"/>
      <c r="E178" s="16" t="n"/>
      <c r="F178" s="16" t="n"/>
      <c r="G178" s="16" t="n"/>
      <c r="H178" s="16" t="n"/>
      <c r="I178" s="16" t="n"/>
      <c r="J178" s="16" t="n"/>
      <c r="K178" s="16" t="n"/>
      <c r="L178" s="16" t="n"/>
      <c r="M178" s="16" t="n"/>
    </row>
    <row r="179">
      <c r="A179" s="16" t="n"/>
      <c r="B179" s="16" t="n"/>
      <c r="C179" s="16" t="n"/>
      <c r="D179" s="16" t="n"/>
      <c r="E179" s="16" t="n"/>
      <c r="F179" s="16" t="n"/>
      <c r="G179" s="16" t="n"/>
      <c r="H179" s="16" t="n"/>
      <c r="I179" s="16" t="n"/>
      <c r="J179" s="16" t="n"/>
      <c r="K179" s="16" t="n"/>
      <c r="L179" s="16" t="n"/>
      <c r="M179" s="16" t="n"/>
    </row>
    <row r="180">
      <c r="A180" s="16" t="n"/>
      <c r="B180" s="16" t="n"/>
      <c r="C180" s="16" t="n"/>
      <c r="D180" s="16" t="n"/>
      <c r="E180" s="16" t="n"/>
      <c r="F180" s="16" t="n"/>
      <c r="G180" s="16" t="n"/>
      <c r="H180" s="16" t="n"/>
      <c r="I180" s="16" t="n"/>
      <c r="J180" s="16" t="n"/>
      <c r="K180" s="16" t="n"/>
      <c r="L180" s="16" t="n"/>
      <c r="M180" s="16" t="n"/>
    </row>
    <row r="181">
      <c r="A181" s="16" t="n"/>
      <c r="B181" s="16" t="n"/>
      <c r="C181" s="16" t="n"/>
      <c r="D181" s="16" t="n"/>
      <c r="E181" s="16" t="n"/>
      <c r="F181" s="16" t="n"/>
      <c r="G181" s="16" t="n"/>
      <c r="H181" s="16" t="n"/>
      <c r="I181" s="16" t="n"/>
      <c r="J181" s="16" t="n"/>
      <c r="K181" s="16" t="n"/>
      <c r="L181" s="16" t="n"/>
      <c r="M181" s="16" t="n"/>
    </row>
    <row r="182">
      <c r="A182" s="16" t="n"/>
      <c r="B182" s="16" t="n"/>
      <c r="C182" s="16" t="n"/>
      <c r="D182" s="16" t="n"/>
      <c r="E182" s="16" t="n"/>
      <c r="F182" s="16" t="n"/>
      <c r="G182" s="16" t="n"/>
      <c r="H182" s="16" t="n"/>
      <c r="I182" s="16" t="n"/>
      <c r="J182" s="16" t="n"/>
      <c r="K182" s="16" t="n"/>
      <c r="L182" s="16" t="n"/>
      <c r="M182" s="16" t="n"/>
    </row>
    <row r="183">
      <c r="A183" s="16" t="n"/>
      <c r="B183" s="16" t="n"/>
      <c r="C183" s="16" t="n"/>
      <c r="D183" s="16" t="n"/>
      <c r="E183" s="16" t="n"/>
      <c r="F183" s="16" t="n"/>
      <c r="G183" s="16" t="n"/>
      <c r="H183" s="16" t="n"/>
      <c r="I183" s="16" t="n"/>
      <c r="J183" s="16" t="n"/>
      <c r="K183" s="16" t="n"/>
      <c r="L183" s="16" t="n"/>
      <c r="M183" s="16" t="n"/>
    </row>
    <row r="184">
      <c r="A184" s="16" t="n"/>
      <c r="B184" s="16" t="n"/>
      <c r="C184" s="16" t="n"/>
      <c r="D184" s="16" t="n"/>
      <c r="E184" s="16" t="n"/>
      <c r="F184" s="16" t="n"/>
      <c r="G184" s="16" t="n"/>
      <c r="H184" s="16" t="n"/>
      <c r="I184" s="16" t="n"/>
      <c r="J184" s="16" t="n"/>
      <c r="K184" s="16" t="n"/>
      <c r="L184" s="16" t="n"/>
      <c r="M184" s="16" t="n"/>
    </row>
    <row r="185">
      <c r="A185" s="16" t="n"/>
      <c r="B185" s="16" t="n"/>
      <c r="C185" s="16" t="n"/>
      <c r="D185" s="16" t="n"/>
      <c r="E185" s="16" t="n"/>
      <c r="F185" s="16" t="n"/>
      <c r="G185" s="16" t="n"/>
      <c r="H185" s="16" t="n"/>
      <c r="I185" s="16" t="n"/>
      <c r="J185" s="16" t="n"/>
      <c r="K185" s="16" t="n"/>
      <c r="L185" s="16" t="n"/>
      <c r="M185" s="16" t="n"/>
    </row>
    <row r="186">
      <c r="A186" s="16" t="n"/>
      <c r="B186" s="16" t="n"/>
      <c r="C186" s="16" t="n"/>
      <c r="D186" s="16" t="n"/>
      <c r="E186" s="16" t="n"/>
      <c r="F186" s="16" t="n"/>
      <c r="G186" s="16" t="n"/>
      <c r="H186" s="16" t="n"/>
      <c r="I186" s="16" t="n"/>
      <c r="J186" s="16" t="n"/>
      <c r="K186" s="16" t="n"/>
      <c r="L186" s="16" t="n"/>
      <c r="M186" s="16" t="n"/>
    </row>
    <row r="187">
      <c r="A187" s="16" t="n"/>
      <c r="B187" s="16" t="n"/>
      <c r="C187" s="16" t="n"/>
      <c r="D187" s="16" t="n"/>
      <c r="E187" s="16" t="n"/>
      <c r="F187" s="16" t="n"/>
      <c r="G187" s="16" t="n"/>
      <c r="H187" s="16" t="n"/>
      <c r="I187" s="16" t="n"/>
      <c r="J187" s="16" t="n"/>
      <c r="K187" s="16" t="n"/>
      <c r="L187" s="16" t="n"/>
      <c r="M187" s="16" t="n"/>
    </row>
    <row r="188">
      <c r="A188" s="16" t="n"/>
      <c r="B188" s="16" t="n"/>
      <c r="C188" s="16" t="n"/>
      <c r="D188" s="16" t="n"/>
      <c r="E188" s="16" t="n"/>
      <c r="F188" s="16" t="n"/>
      <c r="G188" s="16" t="n"/>
      <c r="H188" s="16" t="n"/>
      <c r="I188" s="16" t="n"/>
      <c r="J188" s="16" t="n"/>
      <c r="K188" s="16" t="n"/>
      <c r="L188" s="16" t="n"/>
      <c r="M188" s="16" t="n"/>
    </row>
    <row r="189">
      <c r="A189" s="16" t="n"/>
      <c r="B189" s="16" t="n"/>
      <c r="C189" s="16" t="n"/>
      <c r="D189" s="16" t="n"/>
      <c r="E189" s="16" t="n"/>
      <c r="F189" s="16" t="n"/>
      <c r="G189" s="16" t="n"/>
      <c r="H189" s="16" t="n"/>
      <c r="I189" s="16" t="n"/>
      <c r="J189" s="16" t="n"/>
      <c r="K189" s="16" t="n"/>
      <c r="L189" s="16" t="n"/>
      <c r="M189" s="16" t="n"/>
    </row>
    <row r="190">
      <c r="A190" s="16" t="n"/>
      <c r="B190" s="16" t="n"/>
      <c r="C190" s="16" t="n"/>
      <c r="D190" s="16" t="n"/>
      <c r="E190" s="16" t="n"/>
      <c r="F190" s="16" t="n"/>
      <c r="G190" s="16" t="n"/>
      <c r="H190" s="16" t="n"/>
      <c r="I190" s="16" t="n"/>
      <c r="J190" s="16" t="n"/>
      <c r="K190" s="16" t="n"/>
      <c r="L190" s="16" t="n"/>
      <c r="M190" s="16" t="n"/>
    </row>
    <row r="191">
      <c r="A191" s="16" t="n"/>
      <c r="B191" s="16" t="n"/>
      <c r="C191" s="16" t="n"/>
      <c r="D191" s="16" t="n"/>
      <c r="E191" s="16" t="n"/>
      <c r="F191" s="16" t="n"/>
      <c r="G191" s="16" t="n"/>
      <c r="H191" s="16" t="n"/>
      <c r="I191" s="16" t="n"/>
      <c r="J191" s="16" t="n"/>
      <c r="K191" s="16" t="n"/>
      <c r="L191" s="16" t="n"/>
      <c r="M191" s="16" t="n"/>
    </row>
    <row r="192">
      <c r="A192" s="16" t="n"/>
      <c r="B192" s="16" t="n"/>
      <c r="C192" s="16" t="n"/>
      <c r="D192" s="16" t="n"/>
      <c r="E192" s="16" t="n"/>
      <c r="F192" s="16" t="n"/>
      <c r="G192" s="16" t="n"/>
      <c r="H192" s="16" t="n"/>
      <c r="I192" s="16" t="n"/>
      <c r="J192" s="16" t="n"/>
      <c r="K192" s="16" t="n"/>
      <c r="L192" s="16" t="n"/>
      <c r="M192" s="16" t="n"/>
    </row>
    <row r="193">
      <c r="A193" s="16" t="n"/>
      <c r="B193" s="16" t="n"/>
      <c r="C193" s="16" t="n"/>
      <c r="D193" s="16" t="n"/>
      <c r="E193" s="16" t="n"/>
      <c r="F193" s="16" t="n"/>
      <c r="G193" s="16" t="n"/>
      <c r="H193" s="16" t="n"/>
      <c r="I193" s="16" t="n"/>
      <c r="J193" s="16" t="n"/>
      <c r="K193" s="16" t="n"/>
      <c r="L193" s="16" t="n"/>
      <c r="M193" s="16" t="n"/>
    </row>
    <row r="194">
      <c r="A194" s="16" t="n"/>
      <c r="B194" s="16" t="n"/>
      <c r="C194" s="16" t="n"/>
      <c r="D194" s="16" t="n"/>
      <c r="E194" s="16" t="n"/>
      <c r="F194" s="16" t="n"/>
      <c r="G194" s="16" t="n"/>
      <c r="H194" s="16" t="n"/>
      <c r="I194" s="16" t="n"/>
      <c r="J194" s="16" t="n"/>
      <c r="K194" s="16" t="n"/>
      <c r="L194" s="16" t="n"/>
      <c r="M194" s="16" t="n"/>
    </row>
    <row r="195">
      <c r="A195" s="16" t="n"/>
      <c r="B195" s="16" t="n"/>
      <c r="C195" s="16" t="n"/>
      <c r="D195" s="16" t="n"/>
      <c r="E195" s="16" t="n"/>
      <c r="F195" s="16" t="n"/>
      <c r="G195" s="16" t="n"/>
      <c r="H195" s="16" t="n"/>
      <c r="I195" s="16" t="n"/>
      <c r="J195" s="16" t="n"/>
      <c r="K195" s="16" t="n"/>
      <c r="L195" s="16" t="n"/>
      <c r="M195" s="16" t="n"/>
    </row>
    <row r="196">
      <c r="A196" s="16" t="n"/>
      <c r="B196" s="16" t="n"/>
      <c r="C196" s="16" t="n"/>
      <c r="D196" s="16" t="n"/>
      <c r="E196" s="16" t="n"/>
      <c r="F196" s="16" t="n"/>
      <c r="G196" s="16" t="n"/>
      <c r="H196" s="16" t="n"/>
      <c r="I196" s="16" t="n"/>
      <c r="J196" s="16" t="n"/>
      <c r="K196" s="16" t="n"/>
      <c r="L196" s="16" t="n"/>
      <c r="M196" s="16" t="n"/>
    </row>
    <row r="197">
      <c r="A197" s="16" t="n"/>
      <c r="B197" s="16" t="n"/>
      <c r="C197" s="16" t="n"/>
      <c r="D197" s="16" t="n"/>
      <c r="E197" s="16" t="n"/>
      <c r="F197" s="16" t="n"/>
      <c r="G197" s="16" t="n"/>
      <c r="H197" s="16" t="n"/>
      <c r="I197" s="16" t="n"/>
      <c r="J197" s="16" t="n"/>
      <c r="K197" s="16" t="n"/>
      <c r="L197" s="16" t="n"/>
      <c r="M197" s="16" t="n"/>
    </row>
    <row r="198">
      <c r="A198" s="16" t="n"/>
      <c r="B198" s="16" t="n"/>
      <c r="C198" s="16" t="n"/>
      <c r="D198" s="16" t="n"/>
      <c r="E198" s="16" t="n"/>
      <c r="F198" s="16" t="n"/>
      <c r="G198" s="16" t="n"/>
      <c r="H198" s="16" t="n"/>
      <c r="I198" s="16" t="n"/>
      <c r="J198" s="16" t="n"/>
      <c r="K198" s="16" t="n"/>
      <c r="L198" s="16" t="n"/>
      <c r="M198" s="16" t="n"/>
    </row>
    <row r="199">
      <c r="A199" s="16" t="n"/>
      <c r="B199" s="16" t="n"/>
      <c r="C199" s="16" t="n"/>
      <c r="D199" s="16" t="n"/>
      <c r="E199" s="16" t="n"/>
      <c r="F199" s="16" t="n"/>
      <c r="G199" s="16" t="n"/>
      <c r="H199" s="16" t="n"/>
      <c r="I199" s="16" t="n"/>
      <c r="J199" s="16" t="n"/>
      <c r="K199" s="16" t="n"/>
      <c r="L199" s="16" t="n"/>
      <c r="M199" s="16" t="n"/>
    </row>
    <row r="200">
      <c r="A200" s="16" t="n"/>
      <c r="B200" s="16" t="n"/>
      <c r="C200" s="16" t="n"/>
      <c r="D200" s="16" t="n"/>
      <c r="E200" s="16" t="n"/>
      <c r="F200" s="16" t="n"/>
      <c r="G200" s="16" t="n"/>
      <c r="H200" s="16" t="n"/>
      <c r="I200" s="16" t="n"/>
      <c r="J200" s="16" t="n"/>
      <c r="K200" s="16" t="n"/>
      <c r="L200" s="16" t="n"/>
      <c r="M200" s="16" t="n"/>
    </row>
    <row r="201">
      <c r="A201" s="16" t="n"/>
      <c r="B201" s="16" t="n"/>
      <c r="C201" s="16" t="n"/>
      <c r="D201" s="16" t="n"/>
      <c r="E201" s="16" t="n"/>
      <c r="F201" s="16" t="n"/>
      <c r="G201" s="16" t="n"/>
      <c r="H201" s="16" t="n"/>
      <c r="I201" s="16" t="n"/>
      <c r="J201" s="16" t="n"/>
      <c r="K201" s="16" t="n"/>
      <c r="L201" s="16" t="n"/>
      <c r="M201" s="16" t="n"/>
    </row>
  </sheetData>
  <dataValidations count="2">
    <dataValidation sqref="E2:E201" showDropDown="0" showInputMessage="0" showErrorMessage="0" allowBlank="1" type="list">
      <formula1>"Critical,High,Medium,Low"</formula1>
    </dataValidation>
    <dataValidation sqref="L2:L201" showDropDown="0" showInputMessage="0" showErrorMessage="0" allowBlank="1" type="list">
      <formula1>"Open,In progress,Fixed,Retest,Closed,Rejected"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zoomScale="100" workbookViewId="0">
      <selection activeCell="A1" sqref="A1"/>
    </sheetView>
  </sheetViews>
  <sheetFormatPr baseColWidth="8" defaultRowHeight="15"/>
  <cols>
    <col width="16" customWidth="1" min="1" max="1"/>
    <col width="34" customWidth="1" min="2" max="2"/>
    <col width="28" customWidth="1" min="3" max="3"/>
    <col width="14" customWidth="1" min="4" max="4"/>
    <col width="80" customWidth="1" min="5" max="5"/>
  </cols>
  <sheetData>
    <row r="1">
      <c r="A1" s="9" t="inlineStr">
        <is>
          <t>Person</t>
        </is>
      </c>
      <c r="B1" s="9" t="inlineStr">
        <is>
          <t>Sign in as</t>
        </is>
      </c>
      <c r="C1" s="9" t="inlineStr">
        <is>
          <t>Role</t>
        </is>
      </c>
      <c r="D1" s="9" t="inlineStr">
        <is>
          <t>Where</t>
        </is>
      </c>
      <c r="E1" s="9" t="inlineStr">
        <is>
          <t>What they do</t>
        </is>
      </c>
    </row>
    <row r="2">
      <c r="A2" s="10" t="inlineStr">
        <is>
          <t>Priya Menon</t>
        </is>
      </c>
      <c r="B2" s="11" t="inlineStr">
        <is>
          <t>dpo@cmp.local</t>
        </is>
      </c>
      <c r="C2" s="11" t="inlineStr">
        <is>
          <t>DPO (Data Protection Officer)</t>
        </is>
      </c>
      <c r="D2" s="11" t="inlineStr">
        <is>
          <t>Console</t>
        </is>
      </c>
      <c r="E2" s="11" t="inlineStr">
        <is>
          <t>Runs the Privacy Office: purposes, notices, approvals, rights requests, audit, legal holds, restricted countries.</t>
        </is>
      </c>
    </row>
    <row r="3">
      <c r="A3" s="10" t="inlineStr">
        <is>
          <t>System Admin</t>
        </is>
      </c>
      <c r="B3" s="11" t="inlineStr">
        <is>
          <t>admin@cmp.local</t>
        </is>
      </c>
      <c r="C3" s="11" t="inlineStr">
        <is>
          <t>Administrator</t>
        </is>
      </c>
      <c r="D3" s="11" t="inlineStr">
        <is>
          <t>Console</t>
        </is>
      </c>
      <c r="E3" s="11" t="inlineStr">
        <is>
          <t>Creates staff accounts and sets roles; reviews grievances about the DPO.</t>
        </is>
      </c>
    </row>
    <row r="4">
      <c r="A4" s="10" t="inlineStr">
        <is>
          <t>Kavya Rao</t>
        </is>
      </c>
      <c r="B4" s="11" t="inlineStr">
        <is>
          <t>rnd@cmp.local</t>
        </is>
      </c>
      <c r="C4" s="11" t="inlineStr">
        <is>
          <t>R&amp;D User</t>
        </is>
      </c>
      <c r="D4" s="11" t="inlineStr">
        <is>
          <t>Console</t>
        </is>
      </c>
      <c r="E4" s="11" t="inlineStr">
        <is>
          <t>Registers research projects, brings the notice, submits for approval.</t>
        </is>
      </c>
    </row>
    <row r="5">
      <c r="A5" s="10" t="inlineStr">
        <is>
          <t>Nikhil Bose</t>
        </is>
      </c>
      <c r="B5" s="11" t="inlineStr">
        <is>
          <t>dcoadmin@cmp.local</t>
        </is>
      </c>
      <c r="C5" s="11" t="inlineStr">
        <is>
          <t>DCO Admin</t>
        </is>
      </c>
      <c r="D5" s="11" t="inlineStr">
        <is>
          <t>Console</t>
        </is>
      </c>
      <c r="E5" s="11" t="inlineStr">
        <is>
          <t>Routes approved third-party projects: assigns data sources and a DCO.</t>
        </is>
      </c>
    </row>
    <row r="6">
      <c r="A6" s="10" t="inlineStr">
        <is>
          <t>Arun Shetty</t>
        </is>
      </c>
      <c r="B6" s="11" t="inlineStr">
        <is>
          <t>dco@cmp.local</t>
        </is>
      </c>
      <c r="C6" s="11" t="inlineStr">
        <is>
          <t>DCO (Data Collection Owner)</t>
        </is>
      </c>
      <c r="D6" s="11" t="inlineStr">
        <is>
          <t>Console</t>
        </is>
      </c>
      <c r="E6" s="11" t="inlineStr">
        <is>
          <t>Runs collection sites: consent links, exports, imports.</t>
        </is>
      </c>
    </row>
    <row r="7">
      <c r="A7" s="10" t="inlineStr">
        <is>
          <t>Meera Iyer</t>
        </is>
      </c>
      <c r="B7" s="11" t="inlineStr">
        <is>
          <t>rco@cmp.local</t>
        </is>
      </c>
      <c r="C7" s="11" t="inlineStr">
        <is>
          <t>RCO (R&amp;D Collection Owner)</t>
        </is>
      </c>
      <c r="D7" s="11" t="inlineStr">
        <is>
          <t>Console</t>
        </is>
      </c>
      <c r="E7" s="11" t="inlineStr">
        <is>
          <t>Runs in-house collection; answers rights tickets addressed to in-house teams.</t>
        </is>
      </c>
    </row>
    <row r="8">
      <c r="A8" s="10" t="inlineStr">
        <is>
          <t>Anjali Verma</t>
        </is>
      </c>
      <c r="B8" s="11" t="inlineStr">
        <is>
          <t>subject@cmp.local / +91 90000 00001</t>
        </is>
      </c>
      <c r="C8" s="11" t="inlineStr">
        <is>
          <t>Data principal</t>
        </is>
      </c>
      <c r="D8" s="11" t="inlineStr">
        <is>
          <t>Portal</t>
        </is>
      </c>
      <c r="E8" s="11" t="inlineStr">
        <is>
          <t>Gives and withdraws consent, raises rights requests. No password - one-time code.</t>
        </is>
      </c>
    </row>
    <row r="10">
      <c r="A10" s="4" t="inlineStr">
        <is>
          <t>Staff password</t>
        </is>
      </c>
      <c r="B10" s="18" t="inlineStr">
        <is>
          <t>SeedPassw0rd!2026 (test environment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2026-10-08T07:13:03Z</dcterms:created>
  <dcterms:modified xsi:type="dcterms:W3CDTF">2026-10-08T07:13:04Z</dcterms:modified>
</cp:coreProperties>
</file>